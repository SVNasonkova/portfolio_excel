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ml.chartshape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ml.chartshapes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25.xml" ContentType="application/vnd.openxmlformats-officedocument.drawingml.chart+xml"/>
  <Override PartName="/xl/drawings/drawing18.xml" ContentType="application/vnd.openxmlformats-officedocument.drawingml.chartshapes+xml"/>
  <Override PartName="/xl/pivotTables/pivotTable15.xml" ContentType="application/vnd.openxmlformats-officedocument.spreadsheetml.pivotTable+xml"/>
  <Override PartName="/xl/drawings/drawing19.xml" ContentType="application/vnd.openxmlformats-officedocument.drawing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0.xml" ContentType="application/vnd.openxmlformats-officedocument.drawing+xml"/>
  <Override PartName="/xl/charts/chart27.xml" ContentType="application/vnd.openxmlformats-officedocument.drawingml.chart+xml"/>
  <Override PartName="/xl/drawings/drawing21.xml" ContentType="application/vnd.openxmlformats-officedocument.drawingml.chartshapes+xml"/>
  <Override PartName="/xl/pivotTables/pivotTable18.xml" ContentType="application/vnd.openxmlformats-officedocument.spreadsheetml.pivotTable+xml"/>
  <Override PartName="/xl/drawings/drawing22.xml" ContentType="application/vnd.openxmlformats-officedocument.drawing+xml"/>
  <Override PartName="/xl/charts/chart2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2E496CF-1751-45C0-ABAE-810E4BDE9FB0}" xr6:coauthVersionLast="47" xr6:coauthVersionMax="47" xr10:uidLastSave="{00000000-0000-0000-0000-000000000000}"/>
  <bookViews>
    <workbookView xWindow="-120" yWindow="-120" windowWidth="29040" windowHeight="15840" tabRatio="899" xr2:uid="{00000000-000D-0000-FFFF-FFFF00000000}"/>
  </bookViews>
  <sheets>
    <sheet name="интро" sheetId="5" r:id="rId1"/>
    <sheet name="Дашборд" sheetId="22" r:id="rId2"/>
    <sheet name="продажи" sheetId="1" r:id="rId3"/>
    <sheet name="клиенты" sheetId="4" r:id="rId4"/>
    <sheet name="товар" sheetId="2" r:id="rId5"/>
    <sheet name="лайфтайм клиента" sheetId="24" r:id="rId6"/>
    <sheet name="география клиентов" sheetId="23" r:id="rId7"/>
    <sheet name="продажи магазинов" sheetId="6" r:id="rId8"/>
    <sheet name="Магнит" sheetId="9" r:id="rId9"/>
    <sheet name="выгода клиентам" sheetId="7" r:id="rId10"/>
    <sheet name="цены внутри категории" sheetId="11" r:id="rId11"/>
    <sheet name="GMV по категориям" sheetId="14" r:id="rId12"/>
    <sheet name="GMV по магазинам" sheetId="8" r:id="rId13"/>
    <sheet name="GMV по поставщикам" sheetId="12" r:id="rId14"/>
    <sheet name="GMV по странам" sheetId="21" r:id="rId15"/>
    <sheet name="ср. кол-во по категориям" sheetId="15" r:id="rId16"/>
    <sheet name="кол-во дней с регистрации" sheetId="18" r:id="rId17"/>
    <sheet name="клиенты по программе лоял-ти" sheetId="17" r:id="rId18"/>
    <sheet name="частотность имен" sheetId="20" r:id="rId19"/>
    <sheet name="коды стран" sheetId="3" r:id="rId20"/>
  </sheets>
  <definedNames>
    <definedName name="_xlchart.v1.0" hidden="1">клиенты!$I$2:$I$435</definedName>
    <definedName name="_xlnm._FilterDatabase" localSheetId="3" hidden="1">клиенты!$A$1:$W$435</definedName>
    <definedName name="Срез_Годы__дата_создания_чека">#N/A</definedName>
    <definedName name="Срез_Категория">#N/A</definedName>
    <definedName name="Срез_Кварталы__дата_создания_чека">#N/A</definedName>
    <definedName name="Срез_магазин_покупки">#N/A</definedName>
    <definedName name="Срез_Месяцы__дата_создания_чека">#N/A</definedName>
    <definedName name="Срез_Поставщик">#N/A</definedName>
    <definedName name="Срез_Страна">#N/A</definedName>
    <definedName name="Срез_участие_в_программе_лояльности">#N/A</definedName>
  </definedNames>
  <calcPr calcId="191029"/>
  <pivotCaches>
    <pivotCache cacheId="0" r:id="rId21"/>
    <pivotCache cacheId="1" r:id="rId22"/>
  </pivotCaches>
  <extLst>
    <ext xmlns:x14="http://schemas.microsoft.com/office/spreadsheetml/2009/9/main" uri="{BBE1A952-AA13-448e-AADC-164F8A28A991}">
      <x14:slicerCaches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I3" i="4" s="1"/>
  <c r="H4" i="4"/>
  <c r="I4" i="4" s="1"/>
  <c r="H5" i="4"/>
  <c r="I5" i="4" s="1"/>
  <c r="T543" i="1" s="1"/>
  <c r="H6" i="4"/>
  <c r="I6" i="4" s="1"/>
  <c r="T6" i="1" s="1"/>
  <c r="H7" i="4"/>
  <c r="I7" i="4" s="1"/>
  <c r="H8" i="4"/>
  <c r="I8" i="4" s="1"/>
  <c r="T8" i="1" s="1"/>
  <c r="H9" i="4"/>
  <c r="I9" i="4" s="1"/>
  <c r="H10" i="4"/>
  <c r="I10" i="4" s="1"/>
  <c r="T10" i="1" s="1"/>
  <c r="H11" i="4"/>
  <c r="I11" i="4" s="1"/>
  <c r="H12" i="4"/>
  <c r="I12" i="4" s="1"/>
  <c r="H13" i="4"/>
  <c r="I13" i="4" s="1"/>
  <c r="T13" i="1" s="1"/>
  <c r="H14" i="4"/>
  <c r="I14" i="4" s="1"/>
  <c r="H15" i="4"/>
  <c r="I15" i="4" s="1"/>
  <c r="T15" i="1" s="1"/>
  <c r="H16" i="4"/>
  <c r="I16" i="4" s="1"/>
  <c r="H17" i="4"/>
  <c r="I17" i="4" s="1"/>
  <c r="H18" i="4"/>
  <c r="I18" i="4" s="1"/>
  <c r="T744" i="1" s="1"/>
  <c r="H19" i="4"/>
  <c r="I19" i="4" s="1"/>
  <c r="H20" i="4"/>
  <c r="I20" i="4" s="1"/>
  <c r="H21" i="4"/>
  <c r="I21" i="4" s="1"/>
  <c r="T992" i="1" s="1"/>
  <c r="H22" i="4"/>
  <c r="I22" i="4" s="1"/>
  <c r="H23" i="4"/>
  <c r="I23" i="4" s="1"/>
  <c r="H24" i="4"/>
  <c r="I24" i="4" s="1"/>
  <c r="T24" i="1" s="1"/>
  <c r="H25" i="4"/>
  <c r="I25" i="4" s="1"/>
  <c r="H26" i="4"/>
  <c r="I26" i="4" s="1"/>
  <c r="T26" i="1" s="1"/>
  <c r="H27" i="4"/>
  <c r="I27" i="4" s="1"/>
  <c r="H28" i="4"/>
  <c r="I28" i="4" s="1"/>
  <c r="H29" i="4"/>
  <c r="I29" i="4" s="1"/>
  <c r="T29" i="1" s="1"/>
  <c r="H30" i="4"/>
  <c r="I30" i="4" s="1"/>
  <c r="T30" i="1" s="1"/>
  <c r="H31" i="4"/>
  <c r="I31" i="4" s="1"/>
  <c r="T31" i="1" s="1"/>
  <c r="H32" i="4"/>
  <c r="I32" i="4" s="1"/>
  <c r="H33" i="4"/>
  <c r="I33" i="4" s="1"/>
  <c r="H34" i="4"/>
  <c r="I34" i="4" s="1"/>
  <c r="T864" i="1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T40" i="1" s="1"/>
  <c r="H41" i="4"/>
  <c r="I41" i="4" s="1"/>
  <c r="T41" i="1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T49" i="1" s="1"/>
  <c r="H49" i="4"/>
  <c r="I49" i="4" s="1"/>
  <c r="T647" i="1" s="1"/>
  <c r="H50" i="4"/>
  <c r="I50" i="4" s="1"/>
  <c r="H51" i="4"/>
  <c r="I51" i="4" s="1"/>
  <c r="H52" i="4"/>
  <c r="I52" i="4" s="1"/>
  <c r="T912" i="1" s="1"/>
  <c r="H53" i="4"/>
  <c r="I53" i="4" s="1"/>
  <c r="T972" i="1" s="1"/>
  <c r="H54" i="4"/>
  <c r="I54" i="4" s="1"/>
  <c r="H55" i="4"/>
  <c r="I55" i="4" s="1"/>
  <c r="H56" i="4"/>
  <c r="I56" i="4" s="1"/>
  <c r="H57" i="4"/>
  <c r="I57" i="4" s="1"/>
  <c r="T59" i="1" s="1"/>
  <c r="H58" i="4"/>
  <c r="I58" i="4" s="1"/>
  <c r="H59" i="4"/>
  <c r="I59" i="4" s="1"/>
  <c r="T62" i="1" s="1"/>
  <c r="H60" i="4"/>
  <c r="I60" i="4" s="1"/>
  <c r="H61" i="4"/>
  <c r="I61" i="4" s="1"/>
  <c r="T64" i="1" s="1"/>
  <c r="H62" i="4"/>
  <c r="I62" i="4" s="1"/>
  <c r="T999" i="1" s="1"/>
  <c r="H63" i="4"/>
  <c r="I63" i="4" s="1"/>
  <c r="T221" i="1" s="1"/>
  <c r="H64" i="4"/>
  <c r="I64" i="4" s="1"/>
  <c r="T67" i="1" s="1"/>
  <c r="H65" i="4"/>
  <c r="I65" i="4" s="1"/>
  <c r="H66" i="4"/>
  <c r="I66" i="4" s="1"/>
  <c r="H67" i="4"/>
  <c r="I67" i="4" s="1"/>
  <c r="H68" i="4"/>
  <c r="I68" i="4" s="1"/>
  <c r="H69" i="4"/>
  <c r="I69" i="4" s="1"/>
  <c r="T72" i="1" s="1"/>
  <c r="H70" i="4"/>
  <c r="I70" i="4" s="1"/>
  <c r="H71" i="4"/>
  <c r="I71" i="4" s="1"/>
  <c r="H72" i="4"/>
  <c r="I72" i="4" s="1"/>
  <c r="T76" i="1" s="1"/>
  <c r="H73" i="4"/>
  <c r="I73" i="4" s="1"/>
  <c r="T719" i="1" s="1"/>
  <c r="H74" i="4"/>
  <c r="I74" i="4" s="1"/>
  <c r="T78" i="1" s="1"/>
  <c r="H75" i="4"/>
  <c r="I75" i="4" s="1"/>
  <c r="H76" i="4"/>
  <c r="I76" i="4" s="1"/>
  <c r="H77" i="4"/>
  <c r="I77" i="4" s="1"/>
  <c r="H78" i="4"/>
  <c r="I78" i="4" s="1"/>
  <c r="H79" i="4"/>
  <c r="I79" i="4" s="1"/>
  <c r="T832" i="1" s="1"/>
  <c r="H80" i="4"/>
  <c r="I80" i="4" s="1"/>
  <c r="H81" i="4"/>
  <c r="I81" i="4" s="1"/>
  <c r="H82" i="4"/>
  <c r="I82" i="4" s="1"/>
  <c r="H83" i="4"/>
  <c r="I83" i="4" s="1"/>
  <c r="T816" i="1" s="1"/>
  <c r="H84" i="4"/>
  <c r="I84" i="4" s="1"/>
  <c r="T715" i="1" s="1"/>
  <c r="H85" i="4"/>
  <c r="I85" i="4" s="1"/>
  <c r="T91" i="1" s="1"/>
  <c r="H86" i="4"/>
  <c r="I86" i="4" s="1"/>
  <c r="H87" i="4"/>
  <c r="I87" i="4" s="1"/>
  <c r="H88" i="4"/>
  <c r="I88" i="4" s="1"/>
  <c r="H89" i="4"/>
  <c r="I89" i="4" s="1"/>
  <c r="H90" i="4"/>
  <c r="I90" i="4" s="1"/>
  <c r="T791" i="1" s="1"/>
  <c r="H91" i="4"/>
  <c r="I91" i="4" s="1"/>
  <c r="T98" i="1" s="1"/>
  <c r="H92" i="4"/>
  <c r="I92" i="4" s="1"/>
  <c r="T100" i="1" s="1"/>
  <c r="H93" i="4"/>
  <c r="I93" i="4" s="1"/>
  <c r="H94" i="4"/>
  <c r="I94" i="4" s="1"/>
  <c r="T102" i="1" s="1"/>
  <c r="H95" i="4"/>
  <c r="I95" i="4" s="1"/>
  <c r="H96" i="4"/>
  <c r="I96" i="4" s="1"/>
  <c r="T935" i="1" s="1"/>
  <c r="H97" i="4"/>
  <c r="I97" i="4" s="1"/>
  <c r="H98" i="4"/>
  <c r="I98" i="4" s="1"/>
  <c r="H99" i="4"/>
  <c r="I99" i="4" s="1"/>
  <c r="T107" i="1" s="1"/>
  <c r="H100" i="4"/>
  <c r="I100" i="4" s="1"/>
  <c r="H101" i="4"/>
  <c r="I101" i="4" s="1"/>
  <c r="T109" i="1" s="1"/>
  <c r="H102" i="4"/>
  <c r="I102" i="4" s="1"/>
  <c r="T110" i="1" s="1"/>
  <c r="H103" i="4"/>
  <c r="I103" i="4" s="1"/>
  <c r="H104" i="4"/>
  <c r="I104" i="4" s="1"/>
  <c r="H105" i="4"/>
  <c r="I105" i="4" s="1"/>
  <c r="H106" i="4"/>
  <c r="I106" i="4" s="1"/>
  <c r="T924" i="1" s="1"/>
  <c r="H107" i="4"/>
  <c r="I107" i="4" s="1"/>
  <c r="T116" i="1" s="1"/>
  <c r="H108" i="4"/>
  <c r="I108" i="4" s="1"/>
  <c r="T117" i="1" s="1"/>
  <c r="H109" i="4"/>
  <c r="I109" i="4" s="1"/>
  <c r="T118" i="1" s="1"/>
  <c r="H110" i="4"/>
  <c r="I110" i="4" s="1"/>
  <c r="T119" i="1" s="1"/>
  <c r="H111" i="4"/>
  <c r="I111" i="4" s="1"/>
  <c r="H112" i="4"/>
  <c r="I112" i="4" s="1"/>
  <c r="T121" i="1" s="1"/>
  <c r="H113" i="4"/>
  <c r="I113" i="4" s="1"/>
  <c r="H114" i="4"/>
  <c r="I114" i="4" s="1"/>
  <c r="H115" i="4"/>
  <c r="I115" i="4" s="1"/>
  <c r="T127" i="1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T964" i="1" s="1"/>
  <c r="H123" i="4"/>
  <c r="I123" i="4" s="1"/>
  <c r="H124" i="4"/>
  <c r="I124" i="4" s="1"/>
  <c r="H125" i="4"/>
  <c r="I125" i="4" s="1"/>
  <c r="H126" i="4"/>
  <c r="I126" i="4" s="1"/>
  <c r="T967" i="1" s="1"/>
  <c r="H127" i="4"/>
  <c r="I127" i="4" s="1"/>
  <c r="T139" i="1" s="1"/>
  <c r="H128" i="4"/>
  <c r="I128" i="4" s="1"/>
  <c r="H129" i="4"/>
  <c r="I129" i="4" s="1"/>
  <c r="H130" i="4"/>
  <c r="I130" i="4" s="1"/>
  <c r="T142" i="1" s="1"/>
  <c r="H131" i="4"/>
  <c r="I131" i="4" s="1"/>
  <c r="H132" i="4"/>
  <c r="I132" i="4" s="1"/>
  <c r="H133" i="4"/>
  <c r="I133" i="4" s="1"/>
  <c r="T149" i="1" s="1"/>
  <c r="H134" i="4"/>
  <c r="I134" i="4" s="1"/>
  <c r="T150" i="1" s="1"/>
  <c r="H135" i="4"/>
  <c r="I135" i="4" s="1"/>
  <c r="H136" i="4"/>
  <c r="I136" i="4" s="1"/>
  <c r="T154" i="1" s="1"/>
  <c r="H137" i="4"/>
  <c r="I137" i="4" s="1"/>
  <c r="H138" i="4"/>
  <c r="I138" i="4" s="1"/>
  <c r="H139" i="4"/>
  <c r="I139" i="4" s="1"/>
  <c r="T591" i="1" s="1"/>
  <c r="H140" i="4"/>
  <c r="I140" i="4" s="1"/>
  <c r="H141" i="4"/>
  <c r="I141" i="4" s="1"/>
  <c r="H142" i="4"/>
  <c r="I142" i="4" s="1"/>
  <c r="T164" i="1" s="1"/>
  <c r="H143" i="4"/>
  <c r="I143" i="4" s="1"/>
  <c r="H144" i="4"/>
  <c r="I144" i="4" s="1"/>
  <c r="H145" i="4"/>
  <c r="I145" i="4" s="1"/>
  <c r="H146" i="4"/>
  <c r="I146" i="4" s="1"/>
  <c r="T899" i="1" s="1"/>
  <c r="H147" i="4"/>
  <c r="I147" i="4" s="1"/>
  <c r="H148" i="4"/>
  <c r="I148" i="4" s="1"/>
  <c r="T828" i="1" s="1"/>
  <c r="H149" i="4"/>
  <c r="I149" i="4" s="1"/>
  <c r="H150" i="4"/>
  <c r="I150" i="4" s="1"/>
  <c r="H151" i="4"/>
  <c r="I151" i="4" s="1"/>
  <c r="T175" i="1" s="1"/>
  <c r="H152" i="4"/>
  <c r="I152" i="4" s="1"/>
  <c r="T176" i="1" s="1"/>
  <c r="H153" i="4"/>
  <c r="I153" i="4" s="1"/>
  <c r="T177" i="1" s="1"/>
  <c r="H154" i="4"/>
  <c r="I154" i="4" s="1"/>
  <c r="T178" i="1" s="1"/>
  <c r="H155" i="4"/>
  <c r="I155" i="4" s="1"/>
  <c r="T179" i="1" s="1"/>
  <c r="H156" i="4"/>
  <c r="I156" i="4" s="1"/>
  <c r="T182" i="1" s="1"/>
  <c r="H157" i="4"/>
  <c r="I157" i="4" s="1"/>
  <c r="T183" i="1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T655" i="1" s="1"/>
  <c r="H165" i="4"/>
  <c r="I165" i="4" s="1"/>
  <c r="T198" i="1" s="1"/>
  <c r="H166" i="4"/>
  <c r="I166" i="4" s="1"/>
  <c r="T201" i="1" s="1"/>
  <c r="H167" i="4"/>
  <c r="I167" i="4" s="1"/>
  <c r="H168" i="4"/>
  <c r="I168" i="4" s="1"/>
  <c r="H169" i="4"/>
  <c r="I169" i="4" s="1"/>
  <c r="T206" i="1" s="1"/>
  <c r="H170" i="4"/>
  <c r="I170" i="4" s="1"/>
  <c r="T209" i="1" s="1"/>
  <c r="H171" i="4"/>
  <c r="I171" i="4" s="1"/>
  <c r="H172" i="4"/>
  <c r="I172" i="4" s="1"/>
  <c r="T211" i="1" s="1"/>
  <c r="H173" i="4"/>
  <c r="I173" i="4" s="1"/>
  <c r="H174" i="4"/>
  <c r="I174" i="4" s="1"/>
  <c r="H175" i="4"/>
  <c r="I175" i="4" s="1"/>
  <c r="T214" i="1" s="1"/>
  <c r="H176" i="4"/>
  <c r="I176" i="4" s="1"/>
  <c r="H177" i="4"/>
  <c r="I177" i="4" s="1"/>
  <c r="T871" i="1" s="1"/>
  <c r="H178" i="4"/>
  <c r="I178" i="4" s="1"/>
  <c r="H179" i="4"/>
  <c r="I179" i="4" s="1"/>
  <c r="H180" i="4"/>
  <c r="I180" i="4" s="1"/>
  <c r="H181" i="4"/>
  <c r="I181" i="4" s="1"/>
  <c r="T951" i="1" s="1"/>
  <c r="H182" i="4"/>
  <c r="I182" i="4" s="1"/>
  <c r="H183" i="4"/>
  <c r="I183" i="4" s="1"/>
  <c r="H184" i="4"/>
  <c r="I184" i="4" s="1"/>
  <c r="H185" i="4"/>
  <c r="I185" i="4" s="1"/>
  <c r="T234" i="1" s="1"/>
  <c r="H186" i="4"/>
  <c r="I186" i="4" s="1"/>
  <c r="T235" i="1" s="1"/>
  <c r="H187" i="4"/>
  <c r="I187" i="4" s="1"/>
  <c r="T237" i="1" s="1"/>
  <c r="H188" i="4"/>
  <c r="I188" i="4" s="1"/>
  <c r="T568" i="1" s="1"/>
  <c r="H189" i="4"/>
  <c r="I189" i="4" s="1"/>
  <c r="T242" i="1" s="1"/>
  <c r="H190" i="4"/>
  <c r="I190" i="4" s="1"/>
  <c r="T243" i="1" s="1"/>
  <c r="H191" i="4"/>
  <c r="I191" i="4" s="1"/>
  <c r="H192" i="4"/>
  <c r="I192" i="4" s="1"/>
  <c r="H193" i="4"/>
  <c r="I193" i="4" s="1"/>
  <c r="T252" i="1" s="1"/>
  <c r="H194" i="4"/>
  <c r="I194" i="4" s="1"/>
  <c r="H195" i="4"/>
  <c r="I195" i="4" s="1"/>
  <c r="H196" i="4"/>
  <c r="I196" i="4" s="1"/>
  <c r="H197" i="4"/>
  <c r="I197" i="4" s="1"/>
  <c r="T258" i="1" s="1"/>
  <c r="H198" i="4"/>
  <c r="I198" i="4" s="1"/>
  <c r="T259" i="1" s="1"/>
  <c r="H199" i="4"/>
  <c r="I199" i="4" s="1"/>
  <c r="H200" i="4"/>
  <c r="I200" i="4" s="1"/>
  <c r="T261" i="1" s="1"/>
  <c r="H201" i="4"/>
  <c r="I201" i="4" s="1"/>
  <c r="T740" i="1" s="1"/>
  <c r="H202" i="4"/>
  <c r="I202" i="4" s="1"/>
  <c r="H203" i="4"/>
  <c r="I203" i="4" s="1"/>
  <c r="H204" i="4"/>
  <c r="I204" i="4" s="1"/>
  <c r="T268" i="1" s="1"/>
  <c r="H205" i="4"/>
  <c r="I205" i="4" s="1"/>
  <c r="T270" i="1" s="1"/>
  <c r="H206" i="4"/>
  <c r="I206" i="4" s="1"/>
  <c r="T271" i="1" s="1"/>
  <c r="H207" i="4"/>
  <c r="I207" i="4" s="1"/>
  <c r="T273" i="1" s="1"/>
  <c r="H208" i="4"/>
  <c r="I208" i="4" s="1"/>
  <c r="T274" i="1" s="1"/>
  <c r="H209" i="4"/>
  <c r="I209" i="4" s="1"/>
  <c r="H210" i="4"/>
  <c r="I210" i="4" s="1"/>
  <c r="H211" i="4"/>
  <c r="I211" i="4" s="1"/>
  <c r="H212" i="4"/>
  <c r="I212" i="4" s="1"/>
  <c r="H213" i="4"/>
  <c r="I213" i="4" s="1"/>
  <c r="T820" i="1" s="1"/>
  <c r="H214" i="4"/>
  <c r="I214" i="4" s="1"/>
  <c r="T291" i="1" s="1"/>
  <c r="H215" i="4"/>
  <c r="I215" i="4" s="1"/>
  <c r="H216" i="4"/>
  <c r="I216" i="4" s="1"/>
  <c r="T293" i="1" s="1"/>
  <c r="H217" i="4"/>
  <c r="I217" i="4" s="1"/>
  <c r="H218" i="4"/>
  <c r="I218" i="4" s="1"/>
  <c r="T736" i="1" s="1"/>
  <c r="H219" i="4"/>
  <c r="I219" i="4" s="1"/>
  <c r="T297" i="1" s="1"/>
  <c r="H220" i="4"/>
  <c r="I220" i="4" s="1"/>
  <c r="H221" i="4"/>
  <c r="I221" i="4" s="1"/>
  <c r="T301" i="1" s="1"/>
  <c r="H222" i="4"/>
  <c r="I222" i="4" s="1"/>
  <c r="T903" i="1" s="1"/>
  <c r="H223" i="4"/>
  <c r="I223" i="4" s="1"/>
  <c r="H224" i="4"/>
  <c r="I224" i="4" s="1"/>
  <c r="T314" i="1" s="1"/>
  <c r="H225" i="4"/>
  <c r="I225" i="4" s="1"/>
  <c r="T316" i="1" s="1"/>
  <c r="H226" i="4"/>
  <c r="I226" i="4" s="1"/>
  <c r="H227" i="4"/>
  <c r="I227" i="4" s="1"/>
  <c r="H228" i="4"/>
  <c r="I228" i="4" s="1"/>
  <c r="H229" i="4"/>
  <c r="I229" i="4" s="1"/>
  <c r="T994" i="1" s="1"/>
  <c r="H230" i="4"/>
  <c r="I230" i="4" s="1"/>
  <c r="T807" i="1" s="1"/>
  <c r="H231" i="4"/>
  <c r="I231" i="4" s="1"/>
  <c r="T327" i="1" s="1"/>
  <c r="H232" i="4"/>
  <c r="I232" i="4" s="1"/>
  <c r="H233" i="4"/>
  <c r="I233" i="4" s="1"/>
  <c r="T329" i="1" s="1"/>
  <c r="H234" i="4"/>
  <c r="I234" i="4" s="1"/>
  <c r="T331" i="1" s="1"/>
  <c r="H235" i="4"/>
  <c r="I235" i="4" s="1"/>
  <c r="T333" i="1" s="1"/>
  <c r="H236" i="4"/>
  <c r="I236" i="4" s="1"/>
  <c r="H237" i="4"/>
  <c r="I237" i="4" s="1"/>
  <c r="T338" i="1" s="1"/>
  <c r="H238" i="4"/>
  <c r="I238" i="4" s="1"/>
  <c r="H239" i="4"/>
  <c r="I239" i="4" s="1"/>
  <c r="T573" i="1" s="1"/>
  <c r="H240" i="4"/>
  <c r="I240" i="4" s="1"/>
  <c r="T342" i="1" s="1"/>
  <c r="H241" i="4"/>
  <c r="I241" i="4" s="1"/>
  <c r="H242" i="4"/>
  <c r="I242" i="4" s="1"/>
  <c r="T344" i="1" s="1"/>
  <c r="H243" i="4"/>
  <c r="I243" i="4" s="1"/>
  <c r="T345" i="1" s="1"/>
  <c r="H244" i="4"/>
  <c r="I244" i="4" s="1"/>
  <c r="T348" i="1" s="1"/>
  <c r="H245" i="4"/>
  <c r="I245" i="4" s="1"/>
  <c r="T349" i="1" s="1"/>
  <c r="H246" i="4"/>
  <c r="I246" i="4" s="1"/>
  <c r="H247" i="4"/>
  <c r="I247" i="4" s="1"/>
  <c r="T352" i="1" s="1"/>
  <c r="H248" i="4"/>
  <c r="I248" i="4" s="1"/>
  <c r="H249" i="4"/>
  <c r="I249" i="4" s="1"/>
  <c r="T354" i="1" s="1"/>
  <c r="H250" i="4"/>
  <c r="I250" i="4" s="1"/>
  <c r="T355" i="1" s="1"/>
  <c r="H251" i="4"/>
  <c r="I251" i="4" s="1"/>
  <c r="T369" i="1" s="1"/>
  <c r="H252" i="4"/>
  <c r="I252" i="4" s="1"/>
  <c r="T357" i="1" s="1"/>
  <c r="H253" i="4"/>
  <c r="I253" i="4" s="1"/>
  <c r="T359" i="1" s="1"/>
  <c r="H254" i="4"/>
  <c r="I254" i="4" s="1"/>
  <c r="T360" i="1" s="1"/>
  <c r="H255" i="4"/>
  <c r="I255" i="4" s="1"/>
  <c r="T362" i="1" s="1"/>
  <c r="H256" i="4"/>
  <c r="I256" i="4" s="1"/>
  <c r="H257" i="4"/>
  <c r="I257" i="4" s="1"/>
  <c r="T364" i="1" s="1"/>
  <c r="H258" i="4"/>
  <c r="I258" i="4" s="1"/>
  <c r="T366" i="1" s="1"/>
  <c r="H259" i="4"/>
  <c r="I259" i="4" s="1"/>
  <c r="H260" i="4"/>
  <c r="I260" i="4" s="1"/>
  <c r="H261" i="4"/>
  <c r="I261" i="4" s="1"/>
  <c r="H262" i="4"/>
  <c r="I262" i="4" s="1"/>
  <c r="T381" i="1" s="1"/>
  <c r="H263" i="4"/>
  <c r="I263" i="4" s="1"/>
  <c r="H264" i="4"/>
  <c r="I264" i="4" s="1"/>
  <c r="T383" i="1" s="1"/>
  <c r="H265" i="4"/>
  <c r="I265" i="4" s="1"/>
  <c r="T384" i="1" s="1"/>
  <c r="H266" i="4"/>
  <c r="I266" i="4" s="1"/>
  <c r="T386" i="1" s="1"/>
  <c r="H267" i="4"/>
  <c r="I267" i="4" s="1"/>
  <c r="T391" i="1" s="1"/>
  <c r="H268" i="4"/>
  <c r="I268" i="4" s="1"/>
  <c r="H269" i="4"/>
  <c r="I269" i="4" s="1"/>
  <c r="T394" i="1" s="1"/>
  <c r="H270" i="4"/>
  <c r="I270" i="4" s="1"/>
  <c r="T395" i="1" s="1"/>
  <c r="H271" i="4"/>
  <c r="I271" i="4" s="1"/>
  <c r="H272" i="4"/>
  <c r="I272" i="4" s="1"/>
  <c r="H273" i="4"/>
  <c r="I273" i="4" s="1"/>
  <c r="H274" i="4"/>
  <c r="I274" i="4" s="1"/>
  <c r="H275" i="4"/>
  <c r="I275" i="4" s="1"/>
  <c r="T400" i="1" s="1"/>
  <c r="H276" i="4"/>
  <c r="I276" i="4" s="1"/>
  <c r="T401" i="1" s="1"/>
  <c r="H277" i="4"/>
  <c r="I277" i="4" s="1"/>
  <c r="T403" i="1" s="1"/>
  <c r="H278" i="4"/>
  <c r="I278" i="4" s="1"/>
  <c r="H279" i="4"/>
  <c r="I279" i="4" s="1"/>
  <c r="H280" i="4"/>
  <c r="I280" i="4" s="1"/>
  <c r="T836" i="1" s="1"/>
  <c r="H281" i="4"/>
  <c r="I281" i="4" s="1"/>
  <c r="T409" i="1" s="1"/>
  <c r="H282" i="4"/>
  <c r="I282" i="4" s="1"/>
  <c r="T412" i="1" s="1"/>
  <c r="H283" i="4"/>
  <c r="I283" i="4" s="1"/>
  <c r="T413" i="1" s="1"/>
  <c r="H284" i="4"/>
  <c r="I284" i="4" s="1"/>
  <c r="H285" i="4"/>
  <c r="I285" i="4" s="1"/>
  <c r="T470" i="1" s="1"/>
  <c r="H286" i="4"/>
  <c r="I286" i="4" s="1"/>
  <c r="T418" i="1" s="1"/>
  <c r="H287" i="4"/>
  <c r="I287" i="4" s="1"/>
  <c r="H288" i="4"/>
  <c r="I288" i="4" s="1"/>
  <c r="H289" i="4"/>
  <c r="I289" i="4" s="1"/>
  <c r="T423" i="1" s="1"/>
  <c r="H290" i="4"/>
  <c r="I290" i="4" s="1"/>
  <c r="T424" i="1" s="1"/>
  <c r="H291" i="4"/>
  <c r="I291" i="4" s="1"/>
  <c r="T426" i="1" s="1"/>
  <c r="H292" i="4"/>
  <c r="I292" i="4" s="1"/>
  <c r="T651" i="1" s="1"/>
  <c r="H293" i="4"/>
  <c r="I293" i="4" s="1"/>
  <c r="T890" i="1" s="1"/>
  <c r="H294" i="4"/>
  <c r="I294" i="4" s="1"/>
  <c r="T852" i="1" s="1"/>
  <c r="H295" i="4"/>
  <c r="I295" i="4" s="1"/>
  <c r="T435" i="1" s="1"/>
  <c r="H296" i="4"/>
  <c r="I296" i="4" s="1"/>
  <c r="T438" i="1" s="1"/>
  <c r="H297" i="4"/>
  <c r="I297" i="4" s="1"/>
  <c r="T878" i="1" s="1"/>
  <c r="H298" i="4"/>
  <c r="I298" i="4" s="1"/>
  <c r="T441" i="1" s="1"/>
  <c r="H299" i="4"/>
  <c r="I299" i="4" s="1"/>
  <c r="T442" i="1" s="1"/>
  <c r="H300" i="4"/>
  <c r="I300" i="4" s="1"/>
  <c r="H301" i="4"/>
  <c r="I301" i="4" s="1"/>
  <c r="T444" i="1" s="1"/>
  <c r="H302" i="4"/>
  <c r="I302" i="4" s="1"/>
  <c r="T447" i="1" s="1"/>
  <c r="H303" i="4"/>
  <c r="I303" i="4" s="1"/>
  <c r="H304" i="4"/>
  <c r="I304" i="4" s="1"/>
  <c r="T587" i="1" s="1"/>
  <c r="H305" i="4"/>
  <c r="I305" i="4" s="1"/>
  <c r="T450" i="1" s="1"/>
  <c r="H306" i="4"/>
  <c r="I306" i="4" s="1"/>
  <c r="T451" i="1" s="1"/>
  <c r="H307" i="4"/>
  <c r="I307" i="4" s="1"/>
  <c r="H308" i="4"/>
  <c r="I308" i="4" s="1"/>
  <c r="T456" i="1" s="1"/>
  <c r="H309" i="4"/>
  <c r="I309" i="4" s="1"/>
  <c r="T457" i="1" s="1"/>
  <c r="H310" i="4"/>
  <c r="I310" i="4" s="1"/>
  <c r="H311" i="4"/>
  <c r="I311" i="4" s="1"/>
  <c r="T459" i="1" s="1"/>
  <c r="H312" i="4"/>
  <c r="I312" i="4" s="1"/>
  <c r="T460" i="1" s="1"/>
  <c r="H313" i="4"/>
  <c r="I313" i="4" s="1"/>
  <c r="H314" i="4"/>
  <c r="I314" i="4" s="1"/>
  <c r="T462" i="1" s="1"/>
  <c r="H315" i="4"/>
  <c r="I315" i="4" s="1"/>
  <c r="H316" i="4"/>
  <c r="I316" i="4" s="1"/>
  <c r="H317" i="4"/>
  <c r="I317" i="4" s="1"/>
  <c r="T892" i="1" s="1"/>
  <c r="H318" i="4"/>
  <c r="I318" i="4" s="1"/>
  <c r="T483" i="1" s="1"/>
  <c r="H319" i="4"/>
  <c r="I319" i="4" s="1"/>
  <c r="H320" i="4"/>
  <c r="I320" i="4" s="1"/>
  <c r="T492" i="1" s="1"/>
  <c r="H321" i="4"/>
  <c r="I321" i="4" s="1"/>
  <c r="H322" i="4"/>
  <c r="I322" i="4" s="1"/>
  <c r="T497" i="1" s="1"/>
  <c r="H323" i="4"/>
  <c r="I323" i="4" s="1"/>
  <c r="T516" i="1" s="1"/>
  <c r="H324" i="4"/>
  <c r="I324" i="4" s="1"/>
  <c r="T517" i="1" s="1"/>
  <c r="H325" i="4"/>
  <c r="I325" i="4" s="1"/>
  <c r="T518" i="1" s="1"/>
  <c r="H326" i="4"/>
  <c r="I326" i="4" s="1"/>
  <c r="T519" i="1" s="1"/>
  <c r="H327" i="4"/>
  <c r="I327" i="4" s="1"/>
  <c r="T525" i="1" s="1"/>
  <c r="H328" i="4"/>
  <c r="I328" i="4" s="1"/>
  <c r="T527" i="1" s="1"/>
  <c r="H329" i="4"/>
  <c r="I329" i="4" s="1"/>
  <c r="T581" i="1" s="1"/>
  <c r="H330" i="4"/>
  <c r="I330" i="4" s="1"/>
  <c r="T532" i="1" s="1"/>
  <c r="H331" i="4"/>
  <c r="I331" i="4" s="1"/>
  <c r="T533" i="1" s="1"/>
  <c r="H332" i="4"/>
  <c r="I332" i="4" s="1"/>
  <c r="T534" i="1" s="1"/>
  <c r="H333" i="4"/>
  <c r="I333" i="4" s="1"/>
  <c r="H334" i="4"/>
  <c r="I334" i="4" s="1"/>
  <c r="T540" i="1" s="1"/>
  <c r="H335" i="4"/>
  <c r="I335" i="4" s="1"/>
  <c r="T542" i="1" s="1"/>
  <c r="H336" i="4"/>
  <c r="I336" i="4" s="1"/>
  <c r="T552" i="1" s="1"/>
  <c r="H337" i="4"/>
  <c r="I337" i="4" s="1"/>
  <c r="T555" i="1" s="1"/>
  <c r="H338" i="4"/>
  <c r="I338" i="4" s="1"/>
  <c r="T558" i="1" s="1"/>
  <c r="H339" i="4"/>
  <c r="I339" i="4" s="1"/>
  <c r="T560" i="1" s="1"/>
  <c r="H340" i="4"/>
  <c r="I340" i="4" s="1"/>
  <c r="H341" i="4"/>
  <c r="I341" i="4" s="1"/>
  <c r="T567" i="1" s="1"/>
  <c r="H342" i="4"/>
  <c r="I342" i="4" s="1"/>
  <c r="T574" i="1" s="1"/>
  <c r="H343" i="4"/>
  <c r="I343" i="4" s="1"/>
  <c r="H344" i="4"/>
  <c r="I344" i="4" s="1"/>
  <c r="T579" i="1" s="1"/>
  <c r="H345" i="4"/>
  <c r="I345" i="4" s="1"/>
  <c r="T588" i="1" s="1"/>
  <c r="H346" i="4"/>
  <c r="I346" i="4" s="1"/>
  <c r="T589" i="1" s="1"/>
  <c r="H347" i="4"/>
  <c r="I347" i="4" s="1"/>
  <c r="H348" i="4"/>
  <c r="I348" i="4" s="1"/>
  <c r="T595" i="1" s="1"/>
  <c r="H349" i="4"/>
  <c r="I349" i="4" s="1"/>
  <c r="T600" i="1" s="1"/>
  <c r="H350" i="4"/>
  <c r="I350" i="4" s="1"/>
  <c r="H351" i="4"/>
  <c r="I351" i="4" s="1"/>
  <c r="T606" i="1" s="1"/>
  <c r="H352" i="4"/>
  <c r="I352" i="4" s="1"/>
  <c r="T761" i="1" s="1"/>
  <c r="H353" i="4"/>
  <c r="I353" i="4" s="1"/>
  <c r="T609" i="1" s="1"/>
  <c r="H354" i="4"/>
  <c r="I354" i="4" s="1"/>
  <c r="T613" i="1" s="1"/>
  <c r="H355" i="4"/>
  <c r="I355" i="4" s="1"/>
  <c r="H356" i="4"/>
  <c r="I356" i="4" s="1"/>
  <c r="T917" i="1" s="1"/>
  <c r="H357" i="4"/>
  <c r="I357" i="4" s="1"/>
  <c r="T616" i="1" s="1"/>
  <c r="H358" i="4"/>
  <c r="I358" i="4" s="1"/>
  <c r="T750" i="1" s="1"/>
  <c r="H359" i="4"/>
  <c r="I359" i="4" s="1"/>
  <c r="T622" i="1" s="1"/>
  <c r="H360" i="4"/>
  <c r="I360" i="4" s="1"/>
  <c r="T623" i="1" s="1"/>
  <c r="H361" i="4"/>
  <c r="I361" i="4" s="1"/>
  <c r="T627" i="1" s="1"/>
  <c r="H362" i="4"/>
  <c r="I362" i="4" s="1"/>
  <c r="H363" i="4"/>
  <c r="I363" i="4" s="1"/>
  <c r="T637" i="1" s="1"/>
  <c r="H364" i="4"/>
  <c r="I364" i="4" s="1"/>
  <c r="H365" i="4"/>
  <c r="I365" i="4" s="1"/>
  <c r="T962" i="1" s="1"/>
  <c r="H366" i="4"/>
  <c r="I366" i="4" s="1"/>
  <c r="T641" i="1" s="1"/>
  <c r="H367" i="4"/>
  <c r="I367" i="4" s="1"/>
  <c r="T644" i="1" s="1"/>
  <c r="H368" i="4"/>
  <c r="I368" i="4" s="1"/>
  <c r="T658" i="1" s="1"/>
  <c r="H369" i="4"/>
  <c r="I369" i="4" s="1"/>
  <c r="T681" i="1" s="1"/>
  <c r="H370" i="4"/>
  <c r="I370" i="4" s="1"/>
  <c r="H371" i="4"/>
  <c r="I371" i="4" s="1"/>
  <c r="T666" i="1" s="1"/>
  <c r="H372" i="4"/>
  <c r="I372" i="4" s="1"/>
  <c r="T764" i="1" s="1"/>
  <c r="H373" i="4"/>
  <c r="I373" i="4" s="1"/>
  <c r="T668" i="1" s="1"/>
  <c r="H374" i="4"/>
  <c r="I374" i="4" s="1"/>
  <c r="T671" i="1" s="1"/>
  <c r="H375" i="4"/>
  <c r="I375" i="4" s="1"/>
  <c r="T677" i="1" s="1"/>
  <c r="H376" i="4"/>
  <c r="I376" i="4" s="1"/>
  <c r="T684" i="1" s="1"/>
  <c r="H377" i="4"/>
  <c r="I377" i="4" s="1"/>
  <c r="T690" i="1" s="1"/>
  <c r="H378" i="4"/>
  <c r="I378" i="4" s="1"/>
  <c r="T692" i="1" s="1"/>
  <c r="H379" i="4"/>
  <c r="I379" i="4" s="1"/>
  <c r="T693" i="1" s="1"/>
  <c r="H380" i="4"/>
  <c r="I380" i="4" s="1"/>
  <c r="T697" i="1" s="1"/>
  <c r="H381" i="4"/>
  <c r="I381" i="4" s="1"/>
  <c r="T699" i="1" s="1"/>
  <c r="H382" i="4"/>
  <c r="I382" i="4" s="1"/>
  <c r="T700" i="1" s="1"/>
  <c r="H383" i="4"/>
  <c r="I383" i="4" s="1"/>
  <c r="T701" i="1" s="1"/>
  <c r="H384" i="4"/>
  <c r="I384" i="4" s="1"/>
  <c r="T702" i="1" s="1"/>
  <c r="H385" i="4"/>
  <c r="I385" i="4" s="1"/>
  <c r="T703" i="1" s="1"/>
  <c r="H386" i="4"/>
  <c r="I386" i="4" s="1"/>
  <c r="T705" i="1" s="1"/>
  <c r="H387" i="4"/>
  <c r="I387" i="4" s="1"/>
  <c r="T706" i="1" s="1"/>
  <c r="H388" i="4"/>
  <c r="I388" i="4" s="1"/>
  <c r="T717" i="1" s="1"/>
  <c r="H389" i="4"/>
  <c r="I389" i="4" s="1"/>
  <c r="H390" i="4"/>
  <c r="I390" i="4" s="1"/>
  <c r="T722" i="1" s="1"/>
  <c r="H391" i="4"/>
  <c r="I391" i="4" s="1"/>
  <c r="T881" i="1" s="1"/>
  <c r="H392" i="4"/>
  <c r="I392" i="4" s="1"/>
  <c r="T729" i="1" s="1"/>
  <c r="H393" i="4"/>
  <c r="I393" i="4" s="1"/>
  <c r="T786" i="1" s="1"/>
  <c r="H394" i="4"/>
  <c r="I394" i="4" s="1"/>
  <c r="T749" i="1" s="1"/>
  <c r="H395" i="4"/>
  <c r="I395" i="4" s="1"/>
  <c r="T756" i="1" s="1"/>
  <c r="H396" i="4"/>
  <c r="I396" i="4" s="1"/>
  <c r="T757" i="1" s="1"/>
  <c r="H397" i="4"/>
  <c r="I397" i="4" s="1"/>
  <c r="T886" i="1" s="1"/>
  <c r="H398" i="4"/>
  <c r="I398" i="4" s="1"/>
  <c r="T844" i="1" s="1"/>
  <c r="H399" i="4"/>
  <c r="I399" i="4" s="1"/>
  <c r="T766" i="1" s="1"/>
  <c r="H400" i="4"/>
  <c r="I400" i="4" s="1"/>
  <c r="T965" i="1" s="1"/>
  <c r="H401" i="4"/>
  <c r="I401" i="4" s="1"/>
  <c r="T770" i="1" s="1"/>
  <c r="H402" i="4"/>
  <c r="I402" i="4" s="1"/>
  <c r="T776" i="1" s="1"/>
  <c r="H403" i="4"/>
  <c r="I403" i="4" s="1"/>
  <c r="T779" i="1" s="1"/>
  <c r="H404" i="4"/>
  <c r="I404" i="4" s="1"/>
  <c r="T784" i="1" s="1"/>
  <c r="H405" i="4"/>
  <c r="I405" i="4" s="1"/>
  <c r="T785" i="1" s="1"/>
  <c r="H406" i="4"/>
  <c r="I406" i="4" s="1"/>
  <c r="T790" i="1" s="1"/>
  <c r="H407" i="4"/>
  <c r="I407" i="4" s="1"/>
  <c r="T859" i="1" s="1"/>
  <c r="H408" i="4"/>
  <c r="I408" i="4" s="1"/>
  <c r="T797" i="1" s="1"/>
  <c r="H409" i="4"/>
  <c r="I409" i="4" s="1"/>
  <c r="T806" i="1" s="1"/>
  <c r="H410" i="4"/>
  <c r="I410" i="4" s="1"/>
  <c r="T808" i="1" s="1"/>
  <c r="H411" i="4"/>
  <c r="I411" i="4" s="1"/>
  <c r="T823" i="1" s="1"/>
  <c r="H412" i="4"/>
  <c r="I412" i="4" s="1"/>
  <c r="T825" i="1" s="1"/>
  <c r="H413" i="4"/>
  <c r="I413" i="4" s="1"/>
  <c r="T826" i="1" s="1"/>
  <c r="H414" i="4"/>
  <c r="I414" i="4" s="1"/>
  <c r="T831" i="1" s="1"/>
  <c r="H415" i="4"/>
  <c r="I415" i="4" s="1"/>
  <c r="T838" i="1" s="1"/>
  <c r="H416" i="4"/>
  <c r="I416" i="4" s="1"/>
  <c r="T839" i="1" s="1"/>
  <c r="H417" i="4"/>
  <c r="I417" i="4" s="1"/>
  <c r="T841" i="1" s="1"/>
  <c r="H418" i="4"/>
  <c r="I418" i="4" s="1"/>
  <c r="T843" i="1" s="1"/>
  <c r="H419" i="4"/>
  <c r="I419" i="4" s="1"/>
  <c r="T848" i="1" s="1"/>
  <c r="H420" i="4"/>
  <c r="I420" i="4" s="1"/>
  <c r="T858" i="1" s="1"/>
  <c r="H421" i="4"/>
  <c r="I421" i="4" s="1"/>
  <c r="T863" i="1" s="1"/>
  <c r="H422" i="4"/>
  <c r="I422" i="4" s="1"/>
  <c r="T963" i="1" s="1"/>
  <c r="H423" i="4"/>
  <c r="I423" i="4" s="1"/>
  <c r="T896" i="1" s="1"/>
  <c r="H424" i="4"/>
  <c r="I424" i="4" s="1"/>
  <c r="T902" i="1" s="1"/>
  <c r="H425" i="4"/>
  <c r="I425" i="4" s="1"/>
  <c r="T905" i="1" s="1"/>
  <c r="H426" i="4"/>
  <c r="I426" i="4" s="1"/>
  <c r="T915" i="1" s="1"/>
  <c r="H427" i="4"/>
  <c r="I427" i="4" s="1"/>
  <c r="T970" i="1" s="1"/>
  <c r="H428" i="4"/>
  <c r="I428" i="4" s="1"/>
  <c r="T919" i="1" s="1"/>
  <c r="H429" i="4"/>
  <c r="I429" i="4" s="1"/>
  <c r="T942" i="1" s="1"/>
  <c r="H430" i="4"/>
  <c r="I430" i="4" s="1"/>
  <c r="T947" i="1" s="1"/>
  <c r="H431" i="4"/>
  <c r="I431" i="4" s="1"/>
  <c r="T974" i="1" s="1"/>
  <c r="H432" i="4"/>
  <c r="I432" i="4" s="1"/>
  <c r="T956" i="1" s="1"/>
  <c r="H433" i="4"/>
  <c r="I433" i="4" s="1"/>
  <c r="T968" i="1" s="1"/>
  <c r="H434" i="4"/>
  <c r="I434" i="4" s="1"/>
  <c r="T977" i="1" s="1"/>
  <c r="H435" i="4"/>
  <c r="I435" i="4" s="1"/>
  <c r="T983" i="1" s="1"/>
  <c r="H2" i="4"/>
  <c r="I2" i="4" s="1"/>
  <c r="T884" i="1" s="1"/>
  <c r="D1" i="24"/>
  <c r="E1" i="24" s="1"/>
  <c r="D2" i="24"/>
  <c r="F30" i="24" s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I4" i="2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O4" i="22"/>
  <c r="AA4" i="22"/>
  <c r="U4" i="22"/>
  <c r="C4" i="22"/>
  <c r="K3" i="4"/>
  <c r="K4" i="4"/>
  <c r="N4" i="4" s="1"/>
  <c r="K5" i="4"/>
  <c r="N5" i="4" s="1"/>
  <c r="K6" i="4"/>
  <c r="K7" i="4"/>
  <c r="K8" i="4"/>
  <c r="M8" i="4" s="1"/>
  <c r="K9" i="4"/>
  <c r="K10" i="4"/>
  <c r="K11" i="4"/>
  <c r="K12" i="4"/>
  <c r="M12" i="4" s="1"/>
  <c r="K13" i="4"/>
  <c r="N13" i="4" s="1"/>
  <c r="K14" i="4"/>
  <c r="K15" i="4"/>
  <c r="K16" i="4"/>
  <c r="M16" i="4" s="1"/>
  <c r="K17" i="4"/>
  <c r="M17" i="4" s="1"/>
  <c r="K18" i="4"/>
  <c r="K19" i="4"/>
  <c r="K20" i="4"/>
  <c r="K21" i="4"/>
  <c r="K22" i="4"/>
  <c r="K23" i="4"/>
  <c r="K24" i="4"/>
  <c r="K25" i="4"/>
  <c r="K26" i="4"/>
  <c r="K27" i="4"/>
  <c r="K28" i="4"/>
  <c r="L28" i="4" s="1"/>
  <c r="K29" i="4"/>
  <c r="N29" i="4" s="1"/>
  <c r="K30" i="4"/>
  <c r="K31" i="4"/>
  <c r="K32" i="4"/>
  <c r="M32" i="4" s="1"/>
  <c r="K33" i="4"/>
  <c r="M33" i="4" s="1"/>
  <c r="K34" i="4"/>
  <c r="K35" i="4"/>
  <c r="K36" i="4"/>
  <c r="L36" i="4" s="1"/>
  <c r="K37" i="4"/>
  <c r="K38" i="4"/>
  <c r="K39" i="4"/>
  <c r="K40" i="4"/>
  <c r="N40" i="4" s="1"/>
  <c r="K41" i="4"/>
  <c r="K42" i="4"/>
  <c r="K43" i="4"/>
  <c r="K44" i="4"/>
  <c r="L44" i="4" s="1"/>
  <c r="K45" i="4"/>
  <c r="N45" i="4" s="1"/>
  <c r="K46" i="4"/>
  <c r="K47" i="4"/>
  <c r="K48" i="4"/>
  <c r="N48" i="4" s="1"/>
  <c r="K49" i="4"/>
  <c r="M49" i="4" s="1"/>
  <c r="K50" i="4"/>
  <c r="K51" i="4"/>
  <c r="K52" i="4"/>
  <c r="L52" i="4" s="1"/>
  <c r="K53" i="4"/>
  <c r="K54" i="4"/>
  <c r="K55" i="4"/>
  <c r="K56" i="4"/>
  <c r="N56" i="4" s="1"/>
  <c r="K57" i="4"/>
  <c r="M57" i="4" s="1"/>
  <c r="K58" i="4"/>
  <c r="K59" i="4"/>
  <c r="K60" i="4"/>
  <c r="L60" i="4" s="1"/>
  <c r="K61" i="4"/>
  <c r="N61" i="4" s="1"/>
  <c r="K62" i="4"/>
  <c r="K63" i="4"/>
  <c r="K64" i="4"/>
  <c r="N64" i="4" s="1"/>
  <c r="K65" i="4"/>
  <c r="M65" i="4" s="1"/>
  <c r="K66" i="4"/>
  <c r="K67" i="4"/>
  <c r="K68" i="4"/>
  <c r="L68" i="4" s="1"/>
  <c r="K69" i="4"/>
  <c r="K70" i="4"/>
  <c r="K71" i="4"/>
  <c r="K72" i="4"/>
  <c r="N72" i="4" s="1"/>
  <c r="K73" i="4"/>
  <c r="K74" i="4"/>
  <c r="K75" i="4"/>
  <c r="K76" i="4"/>
  <c r="L76" i="4" s="1"/>
  <c r="K77" i="4"/>
  <c r="N77" i="4" s="1"/>
  <c r="K78" i="4"/>
  <c r="K79" i="4"/>
  <c r="K80" i="4"/>
  <c r="N80" i="4" s="1"/>
  <c r="K81" i="4"/>
  <c r="M81" i="4" s="1"/>
  <c r="K82" i="4"/>
  <c r="K83" i="4"/>
  <c r="K84" i="4"/>
  <c r="K85" i="4"/>
  <c r="K86" i="4"/>
  <c r="K87" i="4"/>
  <c r="K88" i="4"/>
  <c r="N88" i="4" s="1"/>
  <c r="K89" i="4"/>
  <c r="K90" i="4"/>
  <c r="K91" i="4"/>
  <c r="K92" i="4"/>
  <c r="K93" i="4"/>
  <c r="N93" i="4" s="1"/>
  <c r="K94" i="4"/>
  <c r="K95" i="4"/>
  <c r="K96" i="4"/>
  <c r="K97" i="4"/>
  <c r="M97" i="4" s="1"/>
  <c r="K98" i="4"/>
  <c r="K99" i="4"/>
  <c r="K100" i="4"/>
  <c r="N100" i="4" s="1"/>
  <c r="K101" i="4"/>
  <c r="K102" i="4"/>
  <c r="K103" i="4"/>
  <c r="K104" i="4"/>
  <c r="K105" i="4"/>
  <c r="K106" i="4"/>
  <c r="K107" i="4"/>
  <c r="K108" i="4"/>
  <c r="N108" i="4" s="1"/>
  <c r="K109" i="4"/>
  <c r="N109" i="4" s="1"/>
  <c r="K110" i="4"/>
  <c r="K111" i="4"/>
  <c r="K112" i="4"/>
  <c r="K113" i="4"/>
  <c r="M113" i="4" s="1"/>
  <c r="K114" i="4"/>
  <c r="K115" i="4"/>
  <c r="K116" i="4"/>
  <c r="M116" i="4" s="1"/>
  <c r="K117" i="4"/>
  <c r="K118" i="4"/>
  <c r="K119" i="4"/>
  <c r="K120" i="4"/>
  <c r="K121" i="4"/>
  <c r="K122" i="4"/>
  <c r="K123" i="4"/>
  <c r="K124" i="4"/>
  <c r="M124" i="4" s="1"/>
  <c r="K125" i="4"/>
  <c r="N125" i="4" s="1"/>
  <c r="K126" i="4"/>
  <c r="K127" i="4"/>
  <c r="K128" i="4"/>
  <c r="M128" i="4" s="1"/>
  <c r="K129" i="4"/>
  <c r="M129" i="4" s="1"/>
  <c r="K130" i="4"/>
  <c r="K131" i="4"/>
  <c r="K132" i="4"/>
  <c r="M132" i="4" s="1"/>
  <c r="K133" i="4"/>
  <c r="K134" i="4"/>
  <c r="K135" i="4"/>
  <c r="K136" i="4"/>
  <c r="L136" i="4" s="1"/>
  <c r="K137" i="4"/>
  <c r="K138" i="4"/>
  <c r="K139" i="4"/>
  <c r="K140" i="4"/>
  <c r="M140" i="4" s="1"/>
  <c r="K141" i="4"/>
  <c r="N141" i="4" s="1"/>
  <c r="K142" i="4"/>
  <c r="K143" i="4"/>
  <c r="K144" i="4"/>
  <c r="L144" i="4" s="1"/>
  <c r="K145" i="4"/>
  <c r="M145" i="4" s="1"/>
  <c r="K146" i="4"/>
  <c r="K147" i="4"/>
  <c r="K148" i="4"/>
  <c r="M148" i="4" s="1"/>
  <c r="K149" i="4"/>
  <c r="K150" i="4"/>
  <c r="K151" i="4"/>
  <c r="K152" i="4"/>
  <c r="N152" i="4" s="1"/>
  <c r="K153" i="4"/>
  <c r="K154" i="4"/>
  <c r="K155" i="4"/>
  <c r="K156" i="4"/>
  <c r="M156" i="4" s="1"/>
  <c r="K157" i="4"/>
  <c r="N157" i="4" s="1"/>
  <c r="K158" i="4"/>
  <c r="K159" i="4"/>
  <c r="K160" i="4"/>
  <c r="N160" i="4" s="1"/>
  <c r="K161" i="4"/>
  <c r="M161" i="4" s="1"/>
  <c r="K162" i="4"/>
  <c r="K163" i="4"/>
  <c r="K164" i="4"/>
  <c r="K165" i="4"/>
  <c r="K166" i="4"/>
  <c r="K167" i="4"/>
  <c r="K168" i="4"/>
  <c r="N168" i="4" s="1"/>
  <c r="K169" i="4"/>
  <c r="K170" i="4"/>
  <c r="K171" i="4"/>
  <c r="K172" i="4"/>
  <c r="K173" i="4"/>
  <c r="N173" i="4" s="1"/>
  <c r="K174" i="4"/>
  <c r="K175" i="4"/>
  <c r="K176" i="4"/>
  <c r="M176" i="4" s="1"/>
  <c r="K177" i="4"/>
  <c r="M177" i="4" s="1"/>
  <c r="K178" i="4"/>
  <c r="K179" i="4"/>
  <c r="K180" i="4"/>
  <c r="K181" i="4"/>
  <c r="K182" i="4"/>
  <c r="K183" i="4"/>
  <c r="K184" i="4"/>
  <c r="M184" i="4" s="1"/>
  <c r="K185" i="4"/>
  <c r="M185" i="4" s="1"/>
  <c r="K186" i="4"/>
  <c r="K187" i="4"/>
  <c r="K188" i="4"/>
  <c r="K189" i="4"/>
  <c r="N189" i="4" s="1"/>
  <c r="K190" i="4"/>
  <c r="K191" i="4"/>
  <c r="K192" i="4"/>
  <c r="N192" i="4" s="1"/>
  <c r="K193" i="4"/>
  <c r="M193" i="4" s="1"/>
  <c r="K194" i="4"/>
  <c r="K195" i="4"/>
  <c r="K196" i="4"/>
  <c r="M196" i="4" s="1"/>
  <c r="K197" i="4"/>
  <c r="K198" i="4"/>
  <c r="K199" i="4"/>
  <c r="K200" i="4"/>
  <c r="L200" i="4" s="1"/>
  <c r="K201" i="4"/>
  <c r="K202" i="4"/>
  <c r="K203" i="4"/>
  <c r="K204" i="4"/>
  <c r="M204" i="4" s="1"/>
  <c r="K205" i="4"/>
  <c r="N205" i="4" s="1"/>
  <c r="K206" i="4"/>
  <c r="K207" i="4"/>
  <c r="K208" i="4"/>
  <c r="M208" i="4" s="1"/>
  <c r="K209" i="4"/>
  <c r="M209" i="4" s="1"/>
  <c r="K210" i="4"/>
  <c r="K211" i="4"/>
  <c r="K212" i="4"/>
  <c r="K213" i="4"/>
  <c r="K214" i="4"/>
  <c r="K215" i="4"/>
  <c r="K216" i="4"/>
  <c r="M216" i="4" s="1"/>
  <c r="K217" i="4"/>
  <c r="M217" i="4" s="1"/>
  <c r="K218" i="4"/>
  <c r="K219" i="4"/>
  <c r="K220" i="4"/>
  <c r="L220" i="4" s="1"/>
  <c r="K221" i="4"/>
  <c r="N221" i="4" s="1"/>
  <c r="K222" i="4"/>
  <c r="K223" i="4"/>
  <c r="K224" i="4"/>
  <c r="M224" i="4" s="1"/>
  <c r="K225" i="4"/>
  <c r="M225" i="4" s="1"/>
  <c r="K226" i="4"/>
  <c r="K227" i="4"/>
  <c r="K228" i="4"/>
  <c r="L228" i="4" s="1"/>
  <c r="K229" i="4"/>
  <c r="K230" i="4"/>
  <c r="K231" i="4"/>
  <c r="K232" i="4"/>
  <c r="M232" i="4" s="1"/>
  <c r="K233" i="4"/>
  <c r="K234" i="4"/>
  <c r="K235" i="4"/>
  <c r="K236" i="4"/>
  <c r="L236" i="4" s="1"/>
  <c r="K237" i="4"/>
  <c r="N237" i="4" s="1"/>
  <c r="K238" i="4"/>
  <c r="K239" i="4"/>
  <c r="K240" i="4"/>
  <c r="L240" i="4" s="1"/>
  <c r="K241" i="4"/>
  <c r="M241" i="4" s="1"/>
  <c r="K242" i="4"/>
  <c r="K243" i="4"/>
  <c r="K244" i="4"/>
  <c r="N244" i="4" s="1"/>
  <c r="K245" i="4"/>
  <c r="K246" i="4"/>
  <c r="K247" i="4"/>
  <c r="K248" i="4"/>
  <c r="M248" i="4" s="1"/>
  <c r="K249" i="4"/>
  <c r="M249" i="4" s="1"/>
  <c r="K250" i="4"/>
  <c r="K251" i="4"/>
  <c r="K252" i="4"/>
  <c r="N252" i="4" s="1"/>
  <c r="K253" i="4"/>
  <c r="N253" i="4" s="1"/>
  <c r="K254" i="4"/>
  <c r="K255" i="4"/>
  <c r="K256" i="4"/>
  <c r="M256" i="4" s="1"/>
  <c r="K257" i="4"/>
  <c r="K258" i="4"/>
  <c r="K259" i="4"/>
  <c r="K260" i="4"/>
  <c r="K261" i="4"/>
  <c r="K262" i="4"/>
  <c r="K263" i="4"/>
  <c r="K264" i="4"/>
  <c r="K265" i="4"/>
  <c r="K266" i="4"/>
  <c r="K267" i="4"/>
  <c r="K268" i="4"/>
  <c r="M268" i="4" s="1"/>
  <c r="K269" i="4"/>
  <c r="N269" i="4" s="1"/>
  <c r="K270" i="4"/>
  <c r="K271" i="4"/>
  <c r="K272" i="4"/>
  <c r="K273" i="4"/>
  <c r="K274" i="4"/>
  <c r="K275" i="4"/>
  <c r="K276" i="4"/>
  <c r="M276" i="4" s="1"/>
  <c r="K277" i="4"/>
  <c r="K278" i="4"/>
  <c r="K279" i="4"/>
  <c r="K280" i="4"/>
  <c r="K281" i="4"/>
  <c r="K282" i="4"/>
  <c r="K283" i="4"/>
  <c r="K284" i="4"/>
  <c r="M284" i="4" s="1"/>
  <c r="K285" i="4"/>
  <c r="N285" i="4" s="1"/>
  <c r="K286" i="4"/>
  <c r="K287" i="4"/>
  <c r="K288" i="4"/>
  <c r="N288" i="4" s="1"/>
  <c r="K289" i="4"/>
  <c r="M289" i="4" s="1"/>
  <c r="K290" i="4"/>
  <c r="K291" i="4"/>
  <c r="K292" i="4"/>
  <c r="N292" i="4" s="1"/>
  <c r="K293" i="4"/>
  <c r="K294" i="4"/>
  <c r="K295" i="4"/>
  <c r="K296" i="4"/>
  <c r="N296" i="4" s="1"/>
  <c r="K297" i="4"/>
  <c r="K298" i="4"/>
  <c r="K299" i="4"/>
  <c r="K300" i="4"/>
  <c r="M300" i="4" s="1"/>
  <c r="K301" i="4"/>
  <c r="N301" i="4" s="1"/>
  <c r="K302" i="4"/>
  <c r="K303" i="4"/>
  <c r="K304" i="4"/>
  <c r="N304" i="4" s="1"/>
  <c r="K305" i="4"/>
  <c r="M305" i="4" s="1"/>
  <c r="K306" i="4"/>
  <c r="K307" i="4"/>
  <c r="K308" i="4"/>
  <c r="M308" i="4" s="1"/>
  <c r="K309" i="4"/>
  <c r="K310" i="4"/>
  <c r="K311" i="4"/>
  <c r="K312" i="4"/>
  <c r="N312" i="4" s="1"/>
  <c r="K313" i="4"/>
  <c r="M313" i="4" s="1"/>
  <c r="K314" i="4"/>
  <c r="K315" i="4"/>
  <c r="K316" i="4"/>
  <c r="M316" i="4" s="1"/>
  <c r="K317" i="4"/>
  <c r="N317" i="4" s="1"/>
  <c r="K318" i="4"/>
  <c r="K319" i="4"/>
  <c r="K320" i="4"/>
  <c r="N320" i="4" s="1"/>
  <c r="K321" i="4"/>
  <c r="M321" i="4" s="1"/>
  <c r="K322" i="4"/>
  <c r="K323" i="4"/>
  <c r="K324" i="4"/>
  <c r="N324" i="4" s="1"/>
  <c r="K325" i="4"/>
  <c r="N325" i="4" s="1"/>
  <c r="K326" i="4"/>
  <c r="K327" i="4"/>
  <c r="K328" i="4"/>
  <c r="N328" i="4" s="1"/>
  <c r="K329" i="4"/>
  <c r="K330" i="4"/>
  <c r="K331" i="4"/>
  <c r="K332" i="4"/>
  <c r="M332" i="4" s="1"/>
  <c r="K333" i="4"/>
  <c r="N333" i="4" s="1"/>
  <c r="K334" i="4"/>
  <c r="K335" i="4"/>
  <c r="K336" i="4"/>
  <c r="N336" i="4" s="1"/>
  <c r="K337" i="4"/>
  <c r="M337" i="4" s="1"/>
  <c r="K338" i="4"/>
  <c r="K339" i="4"/>
  <c r="K340" i="4"/>
  <c r="M340" i="4" s="1"/>
  <c r="K341" i="4"/>
  <c r="K342" i="4"/>
  <c r="K343" i="4"/>
  <c r="K344" i="4"/>
  <c r="N344" i="4" s="1"/>
  <c r="K345" i="4"/>
  <c r="K346" i="4"/>
  <c r="K347" i="4"/>
  <c r="K348" i="4"/>
  <c r="M348" i="4" s="1"/>
  <c r="K349" i="4"/>
  <c r="N349" i="4" s="1"/>
  <c r="K350" i="4"/>
  <c r="N350" i="4" s="1"/>
  <c r="K351" i="4"/>
  <c r="K352" i="4"/>
  <c r="N352" i="4" s="1"/>
  <c r="K353" i="4"/>
  <c r="M353" i="4" s="1"/>
  <c r="K354" i="4"/>
  <c r="N354" i="4" s="1"/>
  <c r="K355" i="4"/>
  <c r="K356" i="4"/>
  <c r="M356" i="4" s="1"/>
  <c r="K357" i="4"/>
  <c r="M357" i="4" s="1"/>
  <c r="K358" i="4"/>
  <c r="N358" i="4" s="1"/>
  <c r="K359" i="4"/>
  <c r="K360" i="4"/>
  <c r="N360" i="4" s="1"/>
  <c r="K361" i="4"/>
  <c r="N361" i="4" s="1"/>
  <c r="K362" i="4"/>
  <c r="N362" i="4" s="1"/>
  <c r="K363" i="4"/>
  <c r="K364" i="4"/>
  <c r="M364" i="4" s="1"/>
  <c r="K365" i="4"/>
  <c r="N365" i="4" s="1"/>
  <c r="K366" i="4"/>
  <c r="N366" i="4" s="1"/>
  <c r="K367" i="4"/>
  <c r="K368" i="4"/>
  <c r="N368" i="4" s="1"/>
  <c r="K369" i="4"/>
  <c r="M369" i="4" s="1"/>
  <c r="K370" i="4"/>
  <c r="N370" i="4" s="1"/>
  <c r="K371" i="4"/>
  <c r="K372" i="4"/>
  <c r="M372" i="4" s="1"/>
  <c r="K373" i="4"/>
  <c r="M373" i="4" s="1"/>
  <c r="K374" i="4"/>
  <c r="N374" i="4" s="1"/>
  <c r="K375" i="4"/>
  <c r="K376" i="4"/>
  <c r="N376" i="4" s="1"/>
  <c r="K377" i="4"/>
  <c r="N377" i="4" s="1"/>
  <c r="K378" i="4"/>
  <c r="N378" i="4" s="1"/>
  <c r="K379" i="4"/>
  <c r="K380" i="4"/>
  <c r="M380" i="4" s="1"/>
  <c r="K381" i="4"/>
  <c r="N381" i="4" s="1"/>
  <c r="K382" i="4"/>
  <c r="N382" i="4" s="1"/>
  <c r="K383" i="4"/>
  <c r="K384" i="4"/>
  <c r="N384" i="4" s="1"/>
  <c r="K385" i="4"/>
  <c r="M385" i="4" s="1"/>
  <c r="K386" i="4"/>
  <c r="N386" i="4" s="1"/>
  <c r="K387" i="4"/>
  <c r="K388" i="4"/>
  <c r="M388" i="4" s="1"/>
  <c r="K389" i="4"/>
  <c r="M389" i="4" s="1"/>
  <c r="K390" i="4"/>
  <c r="N390" i="4" s="1"/>
  <c r="K391" i="4"/>
  <c r="K392" i="4"/>
  <c r="L392" i="4" s="1"/>
  <c r="K393" i="4"/>
  <c r="N393" i="4" s="1"/>
  <c r="K394" i="4"/>
  <c r="N394" i="4" s="1"/>
  <c r="K395" i="4"/>
  <c r="K396" i="4"/>
  <c r="M396" i="4" s="1"/>
  <c r="K397" i="4"/>
  <c r="N397" i="4" s="1"/>
  <c r="K398" i="4"/>
  <c r="N398" i="4" s="1"/>
  <c r="K399" i="4"/>
  <c r="K400" i="4"/>
  <c r="M400" i="4" s="1"/>
  <c r="K401" i="4"/>
  <c r="M401" i="4" s="1"/>
  <c r="K402" i="4"/>
  <c r="N402" i="4" s="1"/>
  <c r="K403" i="4"/>
  <c r="K404" i="4"/>
  <c r="M404" i="4" s="1"/>
  <c r="K405" i="4"/>
  <c r="M405" i="4" s="1"/>
  <c r="K406" i="4"/>
  <c r="N406" i="4" s="1"/>
  <c r="K407" i="4"/>
  <c r="K408" i="4"/>
  <c r="L408" i="4" s="1"/>
  <c r="K409" i="4"/>
  <c r="N409" i="4" s="1"/>
  <c r="K410" i="4"/>
  <c r="N410" i="4" s="1"/>
  <c r="K411" i="4"/>
  <c r="K412" i="4"/>
  <c r="M412" i="4" s="1"/>
  <c r="K413" i="4"/>
  <c r="N413" i="4" s="1"/>
  <c r="K414" i="4"/>
  <c r="N414" i="4" s="1"/>
  <c r="K415" i="4"/>
  <c r="K416" i="4"/>
  <c r="L416" i="4" s="1"/>
  <c r="K417" i="4"/>
  <c r="M417" i="4" s="1"/>
  <c r="K418" i="4"/>
  <c r="N418" i="4" s="1"/>
  <c r="K419" i="4"/>
  <c r="K420" i="4"/>
  <c r="K421" i="4"/>
  <c r="M421" i="4" s="1"/>
  <c r="K422" i="4"/>
  <c r="N422" i="4" s="1"/>
  <c r="K423" i="4"/>
  <c r="K424" i="4"/>
  <c r="M424" i="4" s="1"/>
  <c r="K425" i="4"/>
  <c r="N425" i="4" s="1"/>
  <c r="K426" i="4"/>
  <c r="N426" i="4" s="1"/>
  <c r="K427" i="4"/>
  <c r="K428" i="4"/>
  <c r="K429" i="4"/>
  <c r="N429" i="4" s="1"/>
  <c r="K430" i="4"/>
  <c r="N430" i="4" s="1"/>
  <c r="K431" i="4"/>
  <c r="K432" i="4"/>
  <c r="M432" i="4" s="1"/>
  <c r="K433" i="4"/>
  <c r="M433" i="4" s="1"/>
  <c r="K434" i="4"/>
  <c r="N434" i="4" s="1"/>
  <c r="K435" i="4"/>
  <c r="K2" i="4"/>
  <c r="N2" i="4" s="1"/>
  <c r="L4" i="4"/>
  <c r="N9" i="4"/>
  <c r="D30" i="20"/>
  <c r="N3" i="4"/>
  <c r="N6" i="4"/>
  <c r="N7" i="4"/>
  <c r="N8" i="4"/>
  <c r="N11" i="4"/>
  <c r="N12" i="4"/>
  <c r="N15" i="4"/>
  <c r="N16" i="4"/>
  <c r="N19" i="4"/>
  <c r="N20" i="4"/>
  <c r="N23" i="4"/>
  <c r="N24" i="4"/>
  <c r="N27" i="4"/>
  <c r="N28" i="4"/>
  <c r="N31" i="4"/>
  <c r="N32" i="4"/>
  <c r="N33" i="4"/>
  <c r="N35" i="4"/>
  <c r="N39" i="4"/>
  <c r="N43" i="4"/>
  <c r="N44" i="4"/>
  <c r="N47" i="4"/>
  <c r="N51" i="4"/>
  <c r="N52" i="4"/>
  <c r="N55" i="4"/>
  <c r="N59" i="4"/>
  <c r="N60" i="4"/>
  <c r="N63" i="4"/>
  <c r="N67" i="4"/>
  <c r="N71" i="4"/>
  <c r="N75" i="4"/>
  <c r="N79" i="4"/>
  <c r="N83" i="4"/>
  <c r="N84" i="4"/>
  <c r="N87" i="4"/>
  <c r="N91" i="4"/>
  <c r="N92" i="4"/>
  <c r="N95" i="4"/>
  <c r="N99" i="4"/>
  <c r="N103" i="4"/>
  <c r="N107" i="4"/>
  <c r="N111" i="4"/>
  <c r="N115" i="4"/>
  <c r="N119" i="4"/>
  <c r="N123" i="4"/>
  <c r="N124" i="4"/>
  <c r="N127" i="4"/>
  <c r="N129" i="4"/>
  <c r="N131" i="4"/>
  <c r="N132" i="4"/>
  <c r="N135" i="4"/>
  <c r="N139" i="4"/>
  <c r="N140" i="4"/>
  <c r="N143" i="4"/>
  <c r="N147" i="4"/>
  <c r="N148" i="4"/>
  <c r="N151" i="4"/>
  <c r="N155" i="4"/>
  <c r="N156" i="4"/>
  <c r="N159" i="4"/>
  <c r="N161" i="4"/>
  <c r="N163" i="4"/>
  <c r="N167" i="4"/>
  <c r="N171" i="4"/>
  <c r="N175" i="4"/>
  <c r="N179" i="4"/>
  <c r="N183" i="4"/>
  <c r="N184" i="4"/>
  <c r="N187" i="4"/>
  <c r="N191" i="4"/>
  <c r="N193" i="4"/>
  <c r="N195" i="4"/>
  <c r="N199" i="4"/>
  <c r="N200" i="4"/>
  <c r="N203" i="4"/>
  <c r="N207" i="4"/>
  <c r="N208" i="4"/>
  <c r="N211" i="4"/>
  <c r="N215" i="4"/>
  <c r="N216" i="4"/>
  <c r="N219" i="4"/>
  <c r="N223" i="4"/>
  <c r="N224" i="4"/>
  <c r="N227" i="4"/>
  <c r="N231" i="4"/>
  <c r="N232" i="4"/>
  <c r="N235" i="4"/>
  <c r="N239" i="4"/>
  <c r="N240" i="4"/>
  <c r="N243" i="4"/>
  <c r="N247" i="4"/>
  <c r="N248" i="4"/>
  <c r="N251" i="4"/>
  <c r="N255" i="4"/>
  <c r="N256" i="4"/>
  <c r="N259" i="4"/>
  <c r="N260" i="4"/>
  <c r="N263" i="4"/>
  <c r="N267" i="4"/>
  <c r="N271" i="4"/>
  <c r="N275" i="4"/>
  <c r="N276" i="4"/>
  <c r="N279" i="4"/>
  <c r="N283" i="4"/>
  <c r="N287" i="4"/>
  <c r="N291" i="4"/>
  <c r="N295" i="4"/>
  <c r="N299" i="4"/>
  <c r="N303" i="4"/>
  <c r="N307" i="4"/>
  <c r="N308" i="4"/>
  <c r="N311" i="4"/>
  <c r="N315" i="4"/>
  <c r="N319" i="4"/>
  <c r="N323" i="4"/>
  <c r="N327" i="4"/>
  <c r="N331" i="4"/>
  <c r="N335" i="4"/>
  <c r="N339" i="4"/>
  <c r="N340" i="4"/>
  <c r="N343" i="4"/>
  <c r="N347" i="4"/>
  <c r="N351" i="4"/>
  <c r="N355" i="4"/>
  <c r="N359" i="4"/>
  <c r="N363" i="4"/>
  <c r="N367" i="4"/>
  <c r="N371" i="4"/>
  <c r="N372" i="4"/>
  <c r="N375" i="4"/>
  <c r="N379" i="4"/>
  <c r="N383" i="4"/>
  <c r="N385" i="4"/>
  <c r="N387" i="4"/>
  <c r="N391" i="4"/>
  <c r="N395" i="4"/>
  <c r="N399" i="4"/>
  <c r="N403" i="4"/>
  <c r="N407" i="4"/>
  <c r="N411" i="4"/>
  <c r="N415" i="4"/>
  <c r="N417" i="4"/>
  <c r="N419" i="4"/>
  <c r="N423" i="4"/>
  <c r="N427" i="4"/>
  <c r="N431" i="4"/>
  <c r="N432" i="4"/>
  <c r="N435" i="4"/>
  <c r="M3" i="4"/>
  <c r="M7" i="4"/>
  <c r="M11" i="4"/>
  <c r="M15" i="4"/>
  <c r="M19" i="4"/>
  <c r="M23" i="4"/>
  <c r="M24" i="4"/>
  <c r="M25" i="4"/>
  <c r="M27" i="4"/>
  <c r="M28" i="4"/>
  <c r="M31" i="4"/>
  <c r="M35" i="4"/>
  <c r="M36" i="4"/>
  <c r="M39" i="4"/>
  <c r="M43" i="4"/>
  <c r="M44" i="4"/>
  <c r="M47" i="4"/>
  <c r="M51" i="4"/>
  <c r="M52" i="4"/>
  <c r="M55" i="4"/>
  <c r="M59" i="4"/>
  <c r="M60" i="4"/>
  <c r="M63" i="4"/>
  <c r="M67" i="4"/>
  <c r="M68" i="4"/>
  <c r="M71" i="4"/>
  <c r="M75" i="4"/>
  <c r="M76" i="4"/>
  <c r="M79" i="4"/>
  <c r="M83" i="4"/>
  <c r="M84" i="4"/>
  <c r="M87" i="4"/>
  <c r="M89" i="4"/>
  <c r="M91" i="4"/>
  <c r="M92" i="4"/>
  <c r="M95" i="4"/>
  <c r="M99" i="4"/>
  <c r="M100" i="4"/>
  <c r="M103" i="4"/>
  <c r="M107" i="4"/>
  <c r="M108" i="4"/>
  <c r="M111" i="4"/>
  <c r="M115" i="4"/>
  <c r="M119" i="4"/>
  <c r="M121" i="4"/>
  <c r="M123" i="4"/>
  <c r="M127" i="4"/>
  <c r="M131" i="4"/>
  <c r="M135" i="4"/>
  <c r="M139" i="4"/>
  <c r="M143" i="4"/>
  <c r="M147" i="4"/>
  <c r="M151" i="4"/>
  <c r="M153" i="4"/>
  <c r="M155" i="4"/>
  <c r="M159" i="4"/>
  <c r="M163" i="4"/>
  <c r="M167" i="4"/>
  <c r="M168" i="4"/>
  <c r="M171" i="4"/>
  <c r="M175" i="4"/>
  <c r="M179" i="4"/>
  <c r="M183" i="4"/>
  <c r="M187" i="4"/>
  <c r="M191" i="4"/>
  <c r="M195" i="4"/>
  <c r="M199" i="4"/>
  <c r="M200" i="4"/>
  <c r="M203" i="4"/>
  <c r="M207" i="4"/>
  <c r="M211" i="4"/>
  <c r="M215" i="4"/>
  <c r="M219" i="4"/>
  <c r="M223" i="4"/>
  <c r="M227" i="4"/>
  <c r="M231" i="4"/>
  <c r="M235" i="4"/>
  <c r="M239" i="4"/>
  <c r="M243" i="4"/>
  <c r="M247" i="4"/>
  <c r="M251" i="4"/>
  <c r="M255" i="4"/>
  <c r="M259" i="4"/>
  <c r="M260" i="4"/>
  <c r="M263" i="4"/>
  <c r="M267" i="4"/>
  <c r="M271" i="4"/>
  <c r="M275" i="4"/>
  <c r="M279" i="4"/>
  <c r="M281" i="4"/>
  <c r="M283" i="4"/>
  <c r="M287" i="4"/>
  <c r="M288" i="4"/>
  <c r="M291" i="4"/>
  <c r="M295" i="4"/>
  <c r="M296" i="4"/>
  <c r="M299" i="4"/>
  <c r="M303" i="4"/>
  <c r="M304" i="4"/>
  <c r="M307" i="4"/>
  <c r="M311" i="4"/>
  <c r="M312" i="4"/>
  <c r="M315" i="4"/>
  <c r="M319" i="4"/>
  <c r="M320" i="4"/>
  <c r="M323" i="4"/>
  <c r="M327" i="4"/>
  <c r="M328" i="4"/>
  <c r="M331" i="4"/>
  <c r="M335" i="4"/>
  <c r="M336" i="4"/>
  <c r="M339" i="4"/>
  <c r="M343" i="4"/>
  <c r="M344" i="4"/>
  <c r="M345" i="4"/>
  <c r="M347" i="4"/>
  <c r="M351" i="4"/>
  <c r="M352" i="4"/>
  <c r="M355" i="4"/>
  <c r="M359" i="4"/>
  <c r="M363" i="4"/>
  <c r="M367" i="4"/>
  <c r="M371" i="4"/>
  <c r="M375" i="4"/>
  <c r="M379" i="4"/>
  <c r="M383" i="4"/>
  <c r="M384" i="4"/>
  <c r="M387" i="4"/>
  <c r="M391" i="4"/>
  <c r="M395" i="4"/>
  <c r="M399" i="4"/>
  <c r="M403" i="4"/>
  <c r="M407" i="4"/>
  <c r="M411" i="4"/>
  <c r="M415" i="4"/>
  <c r="M416" i="4"/>
  <c r="M419" i="4"/>
  <c r="M423" i="4"/>
  <c r="M427" i="4"/>
  <c r="M431" i="4"/>
  <c r="M435" i="4"/>
  <c r="L3" i="4"/>
  <c r="L7" i="4"/>
  <c r="L11" i="4"/>
  <c r="L15" i="4"/>
  <c r="L16" i="4"/>
  <c r="L17" i="4"/>
  <c r="L19" i="4"/>
  <c r="L23" i="4"/>
  <c r="L24" i="4"/>
  <c r="L27" i="4"/>
  <c r="L31" i="4"/>
  <c r="L32" i="4"/>
  <c r="L35" i="4"/>
  <c r="L39" i="4"/>
  <c r="L43" i="4"/>
  <c r="L47" i="4"/>
  <c r="L48" i="4"/>
  <c r="L51" i="4"/>
  <c r="L55" i="4"/>
  <c r="L56" i="4"/>
  <c r="L59" i="4"/>
  <c r="L63" i="4"/>
  <c r="L64" i="4"/>
  <c r="L67" i="4"/>
  <c r="L71" i="4"/>
  <c r="L75" i="4"/>
  <c r="L79" i="4"/>
  <c r="L80" i="4"/>
  <c r="L81" i="4"/>
  <c r="L83" i="4"/>
  <c r="L84" i="4"/>
  <c r="L87" i="4"/>
  <c r="L91" i="4"/>
  <c r="L92" i="4"/>
  <c r="L95" i="4"/>
  <c r="L99" i="4"/>
  <c r="L100" i="4"/>
  <c r="L103" i="4"/>
  <c r="L107" i="4"/>
  <c r="L108" i="4"/>
  <c r="L111" i="4"/>
  <c r="L113" i="4"/>
  <c r="L115" i="4"/>
  <c r="L116" i="4"/>
  <c r="L119" i="4"/>
  <c r="L123" i="4"/>
  <c r="L124" i="4"/>
  <c r="L127" i="4"/>
  <c r="L131" i="4"/>
  <c r="L132" i="4"/>
  <c r="L135" i="4"/>
  <c r="L139" i="4"/>
  <c r="L143" i="4"/>
  <c r="L145" i="4"/>
  <c r="L147" i="4"/>
  <c r="L151" i="4"/>
  <c r="L152" i="4"/>
  <c r="L155" i="4"/>
  <c r="L159" i="4"/>
  <c r="L163" i="4"/>
  <c r="L167" i="4"/>
  <c r="L171" i="4"/>
  <c r="L175" i="4"/>
  <c r="L179" i="4"/>
  <c r="L183" i="4"/>
  <c r="L187" i="4"/>
  <c r="L191" i="4"/>
  <c r="L195" i="4"/>
  <c r="L199" i="4"/>
  <c r="L203" i="4"/>
  <c r="L207" i="4"/>
  <c r="L209" i="4"/>
  <c r="L211" i="4"/>
  <c r="L215" i="4"/>
  <c r="L219" i="4"/>
  <c r="L223" i="4"/>
  <c r="L224" i="4"/>
  <c r="L227" i="4"/>
  <c r="L231" i="4"/>
  <c r="L235" i="4"/>
  <c r="L239" i="4"/>
  <c r="L243" i="4"/>
  <c r="L247" i="4"/>
  <c r="L251" i="4"/>
  <c r="L255" i="4"/>
  <c r="L259" i="4"/>
  <c r="L260" i="4"/>
  <c r="L263" i="4"/>
  <c r="L267" i="4"/>
  <c r="L271" i="4"/>
  <c r="L275" i="4"/>
  <c r="L279" i="4"/>
  <c r="L283" i="4"/>
  <c r="L284" i="4"/>
  <c r="L287" i="4"/>
  <c r="L291" i="4"/>
  <c r="L292" i="4"/>
  <c r="L295" i="4"/>
  <c r="L299" i="4"/>
  <c r="L300" i="4"/>
  <c r="L303" i="4"/>
  <c r="L307" i="4"/>
  <c r="L308" i="4"/>
  <c r="L311" i="4"/>
  <c r="L315" i="4"/>
  <c r="L316" i="4"/>
  <c r="L319" i="4"/>
  <c r="L323" i="4"/>
  <c r="L324" i="4"/>
  <c r="L327" i="4"/>
  <c r="L331" i="4"/>
  <c r="L332" i="4"/>
  <c r="L335" i="4"/>
  <c r="L339" i="4"/>
  <c r="L343" i="4"/>
  <c r="L347" i="4"/>
  <c r="L350" i="4"/>
  <c r="L351" i="4"/>
  <c r="L352" i="4"/>
  <c r="L354" i="4"/>
  <c r="L355" i="4"/>
  <c r="L358" i="4"/>
  <c r="L359" i="4"/>
  <c r="L363" i="4"/>
  <c r="L366" i="4"/>
  <c r="L367" i="4"/>
  <c r="L368" i="4"/>
  <c r="L370" i="4"/>
  <c r="L371" i="4"/>
  <c r="L374" i="4"/>
  <c r="L375" i="4"/>
  <c r="L379" i="4"/>
  <c r="L382" i="4"/>
  <c r="L383" i="4"/>
  <c r="L384" i="4"/>
  <c r="L386" i="4"/>
  <c r="L387" i="4"/>
  <c r="L390" i="4"/>
  <c r="L391" i="4"/>
  <c r="L395" i="4"/>
  <c r="L398" i="4"/>
  <c r="L399" i="4"/>
  <c r="L400" i="4"/>
  <c r="L402" i="4"/>
  <c r="L403" i="4"/>
  <c r="L406" i="4"/>
  <c r="L407" i="4"/>
  <c r="L411" i="4"/>
  <c r="L412" i="4"/>
  <c r="L414" i="4"/>
  <c r="L415" i="4"/>
  <c r="L418" i="4"/>
  <c r="L419" i="4"/>
  <c r="L423" i="4"/>
  <c r="L424" i="4"/>
  <c r="L427" i="4"/>
  <c r="L431" i="4"/>
  <c r="L434" i="4"/>
  <c r="L435" i="4"/>
  <c r="M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2" i="4"/>
  <c r="O2" i="1"/>
  <c r="O3" i="1"/>
  <c r="O4" i="1"/>
  <c r="P4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P36" i="1" s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P68" i="1" s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P100" i="1" s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P132" i="1" s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P160" i="1" s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P176" i="1" s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P191" i="1" s="1"/>
  <c r="O192" i="1"/>
  <c r="O193" i="1"/>
  <c r="O194" i="1"/>
  <c r="O195" i="1"/>
  <c r="O196" i="1"/>
  <c r="O197" i="1"/>
  <c r="O198" i="1"/>
  <c r="O199" i="1"/>
  <c r="O200" i="1"/>
  <c r="O201" i="1"/>
  <c r="O202" i="1"/>
  <c r="O203" i="1"/>
  <c r="P203" i="1" s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P219" i="1" s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P234" i="1" s="1"/>
  <c r="O235" i="1"/>
  <c r="O236" i="1"/>
  <c r="O237" i="1"/>
  <c r="O238" i="1"/>
  <c r="O239" i="1"/>
  <c r="O240" i="1"/>
  <c r="O241" i="1"/>
  <c r="O242" i="1"/>
  <c r="O243" i="1"/>
  <c r="O244" i="1"/>
  <c r="O245" i="1"/>
  <c r="O246" i="1"/>
  <c r="P246" i="1" s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P262" i="1" s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P276" i="1" s="1"/>
  <c r="O277" i="1"/>
  <c r="O278" i="1"/>
  <c r="O279" i="1"/>
  <c r="O280" i="1"/>
  <c r="O281" i="1"/>
  <c r="O282" i="1"/>
  <c r="O283" i="1"/>
  <c r="O284" i="1"/>
  <c r="O285" i="1"/>
  <c r="O286" i="1"/>
  <c r="O287" i="1"/>
  <c r="O288" i="1"/>
  <c r="P288" i="1" s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P304" i="1" s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P319" i="1" s="1"/>
  <c r="O320" i="1"/>
  <c r="O321" i="1"/>
  <c r="O322" i="1"/>
  <c r="O323" i="1"/>
  <c r="O324" i="1"/>
  <c r="O325" i="1"/>
  <c r="O326" i="1"/>
  <c r="O327" i="1"/>
  <c r="O328" i="1"/>
  <c r="O329" i="1"/>
  <c r="O330" i="1"/>
  <c r="O331" i="1"/>
  <c r="P331" i="1" s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P346" i="1" s="1"/>
  <c r="O347" i="1"/>
  <c r="O348" i="1"/>
  <c r="O349" i="1"/>
  <c r="O350" i="1"/>
  <c r="O351" i="1"/>
  <c r="O352" i="1"/>
  <c r="O353" i="1"/>
  <c r="O354" i="1"/>
  <c r="O355" i="1"/>
  <c r="O356" i="1"/>
  <c r="O357" i="1"/>
  <c r="P357" i="1" s="1"/>
  <c r="O358" i="1"/>
  <c r="O359" i="1"/>
  <c r="O360" i="1"/>
  <c r="O361" i="1"/>
  <c r="O362" i="1"/>
  <c r="O363" i="1"/>
  <c r="O364" i="1"/>
  <c r="O365" i="1"/>
  <c r="O366" i="1"/>
  <c r="P366" i="1" s="1"/>
  <c r="O367" i="1"/>
  <c r="O368" i="1"/>
  <c r="O369" i="1"/>
  <c r="O370" i="1"/>
  <c r="O371" i="1"/>
  <c r="O372" i="1"/>
  <c r="O373" i="1"/>
  <c r="O374" i="1"/>
  <c r="O375" i="1"/>
  <c r="O376" i="1"/>
  <c r="O377" i="1"/>
  <c r="O378" i="1"/>
  <c r="P378" i="1" s="1"/>
  <c r="O379" i="1"/>
  <c r="O380" i="1"/>
  <c r="O381" i="1"/>
  <c r="O382" i="1"/>
  <c r="O383" i="1"/>
  <c r="O384" i="1"/>
  <c r="O385" i="1"/>
  <c r="O386" i="1"/>
  <c r="O387" i="1"/>
  <c r="O388" i="1"/>
  <c r="O389" i="1"/>
  <c r="P389" i="1" s="1"/>
  <c r="O390" i="1"/>
  <c r="O391" i="1"/>
  <c r="O392" i="1"/>
  <c r="O393" i="1"/>
  <c r="O394" i="1"/>
  <c r="O395" i="1"/>
  <c r="O396" i="1"/>
  <c r="O397" i="1"/>
  <c r="O398" i="1"/>
  <c r="P398" i="1" s="1"/>
  <c r="O399" i="1"/>
  <c r="O400" i="1"/>
  <c r="O401" i="1"/>
  <c r="O402" i="1"/>
  <c r="O403" i="1"/>
  <c r="O404" i="1"/>
  <c r="O405" i="1"/>
  <c r="O406" i="1"/>
  <c r="O407" i="1"/>
  <c r="O408" i="1"/>
  <c r="O409" i="1"/>
  <c r="O410" i="1"/>
  <c r="P410" i="1" s="1"/>
  <c r="O411" i="1"/>
  <c r="O412" i="1"/>
  <c r="O413" i="1"/>
  <c r="O414" i="1"/>
  <c r="O415" i="1"/>
  <c r="O416" i="1"/>
  <c r="O417" i="1"/>
  <c r="O418" i="1"/>
  <c r="O419" i="1"/>
  <c r="O420" i="1"/>
  <c r="O421" i="1"/>
  <c r="P421" i="1" s="1"/>
  <c r="O422" i="1"/>
  <c r="O423" i="1"/>
  <c r="O424" i="1"/>
  <c r="O425" i="1"/>
  <c r="O426" i="1"/>
  <c r="O427" i="1"/>
  <c r="O428" i="1"/>
  <c r="O429" i="1"/>
  <c r="O430" i="1"/>
  <c r="P430" i="1" s="1"/>
  <c r="O431" i="1"/>
  <c r="O432" i="1"/>
  <c r="O433" i="1"/>
  <c r="O434" i="1"/>
  <c r="O435" i="1"/>
  <c r="O436" i="1"/>
  <c r="O437" i="1"/>
  <c r="O438" i="1"/>
  <c r="O439" i="1"/>
  <c r="O440" i="1"/>
  <c r="O441" i="1"/>
  <c r="O442" i="1"/>
  <c r="P442" i="1" s="1"/>
  <c r="O443" i="1"/>
  <c r="O444" i="1"/>
  <c r="O445" i="1"/>
  <c r="O446" i="1"/>
  <c r="O447" i="1"/>
  <c r="O448" i="1"/>
  <c r="O449" i="1"/>
  <c r="O450" i="1"/>
  <c r="O451" i="1"/>
  <c r="O452" i="1"/>
  <c r="O453" i="1"/>
  <c r="P453" i="1" s="1"/>
  <c r="O454" i="1"/>
  <c r="O455" i="1"/>
  <c r="O456" i="1"/>
  <c r="O457" i="1"/>
  <c r="O458" i="1"/>
  <c r="O459" i="1"/>
  <c r="O460" i="1"/>
  <c r="O461" i="1"/>
  <c r="O462" i="1"/>
  <c r="P462" i="1" s="1"/>
  <c r="O463" i="1"/>
  <c r="O464" i="1"/>
  <c r="O465" i="1"/>
  <c r="O466" i="1"/>
  <c r="O467" i="1"/>
  <c r="O468" i="1"/>
  <c r="O469" i="1"/>
  <c r="O470" i="1"/>
  <c r="O471" i="1"/>
  <c r="O472" i="1"/>
  <c r="P472" i="1" s="1"/>
  <c r="O473" i="1"/>
  <c r="O474" i="1"/>
  <c r="O475" i="1"/>
  <c r="O476" i="1"/>
  <c r="O477" i="1"/>
  <c r="O478" i="1"/>
  <c r="P478" i="1" s="1"/>
  <c r="O479" i="1"/>
  <c r="O480" i="1"/>
  <c r="O481" i="1"/>
  <c r="O482" i="1"/>
  <c r="O483" i="1"/>
  <c r="O484" i="1"/>
  <c r="O485" i="1"/>
  <c r="P485" i="1" s="1"/>
  <c r="O486" i="1"/>
  <c r="O487" i="1"/>
  <c r="O488" i="1"/>
  <c r="O489" i="1"/>
  <c r="O490" i="1"/>
  <c r="O491" i="1"/>
  <c r="O492" i="1"/>
  <c r="O493" i="1"/>
  <c r="P493" i="1" s="1"/>
  <c r="O494" i="1"/>
  <c r="O495" i="1"/>
  <c r="O496" i="1"/>
  <c r="O497" i="1"/>
  <c r="O498" i="1"/>
  <c r="O499" i="1"/>
  <c r="O500" i="1"/>
  <c r="P500" i="1" s="1"/>
  <c r="O501" i="1"/>
  <c r="O502" i="1"/>
  <c r="O503" i="1"/>
  <c r="O504" i="1"/>
  <c r="O505" i="1"/>
  <c r="P505" i="1" s="1"/>
  <c r="O506" i="1"/>
  <c r="O507" i="1"/>
  <c r="O508" i="1"/>
  <c r="O509" i="1"/>
  <c r="O510" i="1"/>
  <c r="O511" i="1"/>
  <c r="P511" i="1" s="1"/>
  <c r="O512" i="1"/>
  <c r="O513" i="1"/>
  <c r="O514" i="1"/>
  <c r="O515" i="1"/>
  <c r="O516" i="1"/>
  <c r="P516" i="1" s="1"/>
  <c r="O517" i="1"/>
  <c r="O518" i="1"/>
  <c r="O519" i="1"/>
  <c r="O520" i="1"/>
  <c r="O521" i="1"/>
  <c r="P521" i="1" s="1"/>
  <c r="O522" i="1"/>
  <c r="O523" i="1"/>
  <c r="O524" i="1"/>
  <c r="O525" i="1"/>
  <c r="O526" i="1"/>
  <c r="O527" i="1"/>
  <c r="P527" i="1" s="1"/>
  <c r="O528" i="1"/>
  <c r="O529" i="1"/>
  <c r="O530" i="1"/>
  <c r="O531" i="1"/>
  <c r="O532" i="1"/>
  <c r="P532" i="1" s="1"/>
  <c r="O533" i="1"/>
  <c r="O534" i="1"/>
  <c r="O535" i="1"/>
  <c r="O536" i="1"/>
  <c r="O537" i="1"/>
  <c r="P537" i="1" s="1"/>
  <c r="O538" i="1"/>
  <c r="O539" i="1"/>
  <c r="O540" i="1"/>
  <c r="O541" i="1"/>
  <c r="O542" i="1"/>
  <c r="O543" i="1"/>
  <c r="P543" i="1" s="1"/>
  <c r="O544" i="1"/>
  <c r="O545" i="1"/>
  <c r="O546" i="1"/>
  <c r="O547" i="1"/>
  <c r="O548" i="1"/>
  <c r="P548" i="1" s="1"/>
  <c r="O549" i="1"/>
  <c r="O550" i="1"/>
  <c r="O551" i="1"/>
  <c r="O552" i="1"/>
  <c r="O553" i="1"/>
  <c r="P553" i="1" s="1"/>
  <c r="O554" i="1"/>
  <c r="O555" i="1"/>
  <c r="O556" i="1"/>
  <c r="O557" i="1"/>
  <c r="O558" i="1"/>
  <c r="O559" i="1"/>
  <c r="P559" i="1" s="1"/>
  <c r="O560" i="1"/>
  <c r="O561" i="1"/>
  <c r="O562" i="1"/>
  <c r="O563" i="1"/>
  <c r="O564" i="1"/>
  <c r="P564" i="1" s="1"/>
  <c r="O565" i="1"/>
  <c r="O566" i="1"/>
  <c r="O567" i="1"/>
  <c r="O568" i="1"/>
  <c r="O569" i="1"/>
  <c r="P569" i="1" s="1"/>
  <c r="O570" i="1"/>
  <c r="O571" i="1"/>
  <c r="O572" i="1"/>
  <c r="O573" i="1"/>
  <c r="O574" i="1"/>
  <c r="O575" i="1"/>
  <c r="P575" i="1" s="1"/>
  <c r="O576" i="1"/>
  <c r="O577" i="1"/>
  <c r="O578" i="1"/>
  <c r="O579" i="1"/>
  <c r="O580" i="1"/>
  <c r="P580" i="1" s="1"/>
  <c r="O581" i="1"/>
  <c r="O582" i="1"/>
  <c r="O583" i="1"/>
  <c r="O584" i="1"/>
  <c r="O585" i="1"/>
  <c r="P585" i="1" s="1"/>
  <c r="O586" i="1"/>
  <c r="O587" i="1"/>
  <c r="O588" i="1"/>
  <c r="O589" i="1"/>
  <c r="O590" i="1"/>
  <c r="O591" i="1"/>
  <c r="P591" i="1" s="1"/>
  <c r="O592" i="1"/>
  <c r="O593" i="1"/>
  <c r="O594" i="1"/>
  <c r="O595" i="1"/>
  <c r="O596" i="1"/>
  <c r="P596" i="1" s="1"/>
  <c r="O597" i="1"/>
  <c r="O598" i="1"/>
  <c r="O599" i="1"/>
  <c r="O600" i="1"/>
  <c r="O601" i="1"/>
  <c r="P601" i="1" s="1"/>
  <c r="O602" i="1"/>
  <c r="O603" i="1"/>
  <c r="O604" i="1"/>
  <c r="O605" i="1"/>
  <c r="O606" i="1"/>
  <c r="O607" i="1"/>
  <c r="P607" i="1" s="1"/>
  <c r="O608" i="1"/>
  <c r="O609" i="1"/>
  <c r="O610" i="1"/>
  <c r="O611" i="1"/>
  <c r="O612" i="1"/>
  <c r="P612" i="1" s="1"/>
  <c r="O613" i="1"/>
  <c r="O614" i="1"/>
  <c r="O615" i="1"/>
  <c r="O616" i="1"/>
  <c r="O617" i="1"/>
  <c r="P617" i="1" s="1"/>
  <c r="O618" i="1"/>
  <c r="O619" i="1"/>
  <c r="O620" i="1"/>
  <c r="O621" i="1"/>
  <c r="O622" i="1"/>
  <c r="O623" i="1"/>
  <c r="P623" i="1" s="1"/>
  <c r="O624" i="1"/>
  <c r="O625" i="1"/>
  <c r="O626" i="1"/>
  <c r="O627" i="1"/>
  <c r="O628" i="1"/>
  <c r="P628" i="1" s="1"/>
  <c r="O629" i="1"/>
  <c r="O630" i="1"/>
  <c r="O631" i="1"/>
  <c r="O632" i="1"/>
  <c r="O633" i="1"/>
  <c r="P633" i="1" s="1"/>
  <c r="O634" i="1"/>
  <c r="O635" i="1"/>
  <c r="O636" i="1"/>
  <c r="O637" i="1"/>
  <c r="O638" i="1"/>
  <c r="O639" i="1"/>
  <c r="P639" i="1" s="1"/>
  <c r="O640" i="1"/>
  <c r="O641" i="1"/>
  <c r="O642" i="1"/>
  <c r="O643" i="1"/>
  <c r="O644" i="1"/>
  <c r="P644" i="1" s="1"/>
  <c r="O645" i="1"/>
  <c r="O646" i="1"/>
  <c r="O647" i="1"/>
  <c r="O648" i="1"/>
  <c r="O649" i="1"/>
  <c r="P649" i="1" s="1"/>
  <c r="O650" i="1"/>
  <c r="O651" i="1"/>
  <c r="O652" i="1"/>
  <c r="O653" i="1"/>
  <c r="O654" i="1"/>
  <c r="O655" i="1"/>
  <c r="P655" i="1" s="1"/>
  <c r="O656" i="1"/>
  <c r="O657" i="1"/>
  <c r="O658" i="1"/>
  <c r="O659" i="1"/>
  <c r="O660" i="1"/>
  <c r="P660" i="1" s="1"/>
  <c r="O661" i="1"/>
  <c r="O662" i="1"/>
  <c r="O663" i="1"/>
  <c r="O664" i="1"/>
  <c r="O665" i="1"/>
  <c r="P665" i="1" s="1"/>
  <c r="O666" i="1"/>
  <c r="O667" i="1"/>
  <c r="O668" i="1"/>
  <c r="O669" i="1"/>
  <c r="O670" i="1"/>
  <c r="O671" i="1"/>
  <c r="P671" i="1" s="1"/>
  <c r="O672" i="1"/>
  <c r="O673" i="1"/>
  <c r="O674" i="1"/>
  <c r="O675" i="1"/>
  <c r="O676" i="1"/>
  <c r="P676" i="1" s="1"/>
  <c r="O677" i="1"/>
  <c r="O678" i="1"/>
  <c r="O679" i="1"/>
  <c r="O680" i="1"/>
  <c r="O681" i="1"/>
  <c r="P681" i="1" s="1"/>
  <c r="O682" i="1"/>
  <c r="O683" i="1"/>
  <c r="O684" i="1"/>
  <c r="O685" i="1"/>
  <c r="O686" i="1"/>
  <c r="O687" i="1"/>
  <c r="P687" i="1" s="1"/>
  <c r="O688" i="1"/>
  <c r="O689" i="1"/>
  <c r="O690" i="1"/>
  <c r="O691" i="1"/>
  <c r="O692" i="1"/>
  <c r="P692" i="1" s="1"/>
  <c r="O693" i="1"/>
  <c r="O694" i="1"/>
  <c r="O695" i="1"/>
  <c r="O696" i="1"/>
  <c r="O697" i="1"/>
  <c r="P697" i="1" s="1"/>
  <c r="O698" i="1"/>
  <c r="O699" i="1"/>
  <c r="O700" i="1"/>
  <c r="O701" i="1"/>
  <c r="O702" i="1"/>
  <c r="O703" i="1"/>
  <c r="P703" i="1" s="1"/>
  <c r="O704" i="1"/>
  <c r="O705" i="1"/>
  <c r="O706" i="1"/>
  <c r="O707" i="1"/>
  <c r="O708" i="1"/>
  <c r="P708" i="1" s="1"/>
  <c r="O709" i="1"/>
  <c r="O710" i="1"/>
  <c r="O711" i="1"/>
  <c r="O712" i="1"/>
  <c r="O713" i="1"/>
  <c r="P713" i="1" s="1"/>
  <c r="O714" i="1"/>
  <c r="O715" i="1"/>
  <c r="O716" i="1"/>
  <c r="O717" i="1"/>
  <c r="O718" i="1"/>
  <c r="O719" i="1"/>
  <c r="P719" i="1" s="1"/>
  <c r="O720" i="1"/>
  <c r="O721" i="1"/>
  <c r="O722" i="1"/>
  <c r="O723" i="1"/>
  <c r="O724" i="1"/>
  <c r="P724" i="1" s="1"/>
  <c r="O725" i="1"/>
  <c r="O726" i="1"/>
  <c r="O727" i="1"/>
  <c r="O728" i="1"/>
  <c r="O729" i="1"/>
  <c r="P729" i="1" s="1"/>
  <c r="O730" i="1"/>
  <c r="O731" i="1"/>
  <c r="O732" i="1"/>
  <c r="O733" i="1"/>
  <c r="O734" i="1"/>
  <c r="O735" i="1"/>
  <c r="P735" i="1" s="1"/>
  <c r="O736" i="1"/>
  <c r="O737" i="1"/>
  <c r="O738" i="1"/>
  <c r="O739" i="1"/>
  <c r="O740" i="1"/>
  <c r="P740" i="1" s="1"/>
  <c r="O741" i="1"/>
  <c r="O742" i="1"/>
  <c r="O743" i="1"/>
  <c r="O744" i="1"/>
  <c r="O745" i="1"/>
  <c r="P745" i="1" s="1"/>
  <c r="O746" i="1"/>
  <c r="O747" i="1"/>
  <c r="O748" i="1"/>
  <c r="O749" i="1"/>
  <c r="O750" i="1"/>
  <c r="O751" i="1"/>
  <c r="P751" i="1" s="1"/>
  <c r="O752" i="1"/>
  <c r="O753" i="1"/>
  <c r="O754" i="1"/>
  <c r="O755" i="1"/>
  <c r="O756" i="1"/>
  <c r="P756" i="1" s="1"/>
  <c r="O757" i="1"/>
  <c r="O758" i="1"/>
  <c r="O759" i="1"/>
  <c r="O760" i="1"/>
  <c r="O761" i="1"/>
  <c r="P761" i="1" s="1"/>
  <c r="O762" i="1"/>
  <c r="O763" i="1"/>
  <c r="O764" i="1"/>
  <c r="O765" i="1"/>
  <c r="O766" i="1"/>
  <c r="O767" i="1"/>
  <c r="P767" i="1" s="1"/>
  <c r="O768" i="1"/>
  <c r="O769" i="1"/>
  <c r="O770" i="1"/>
  <c r="O771" i="1"/>
  <c r="P771" i="1" s="1"/>
  <c r="O772" i="1"/>
  <c r="P772" i="1" s="1"/>
  <c r="O773" i="1"/>
  <c r="O774" i="1"/>
  <c r="O775" i="1"/>
  <c r="O776" i="1"/>
  <c r="P776" i="1" s="1"/>
  <c r="O777" i="1"/>
  <c r="P777" i="1" s="1"/>
  <c r="O778" i="1"/>
  <c r="O779" i="1"/>
  <c r="O780" i="1"/>
  <c r="O781" i="1"/>
  <c r="P781" i="1" s="1"/>
  <c r="O782" i="1"/>
  <c r="O783" i="1"/>
  <c r="P783" i="1" s="1"/>
  <c r="O784" i="1"/>
  <c r="O785" i="1"/>
  <c r="O786" i="1"/>
  <c r="O787" i="1"/>
  <c r="P787" i="1" s="1"/>
  <c r="O788" i="1"/>
  <c r="P788" i="1" s="1"/>
  <c r="O789" i="1"/>
  <c r="O790" i="1"/>
  <c r="O791" i="1"/>
  <c r="O792" i="1"/>
  <c r="P792" i="1" s="1"/>
  <c r="O793" i="1"/>
  <c r="P793" i="1" s="1"/>
  <c r="O794" i="1"/>
  <c r="O795" i="1"/>
  <c r="O796" i="1"/>
  <c r="O797" i="1"/>
  <c r="P797" i="1" s="1"/>
  <c r="O798" i="1"/>
  <c r="O799" i="1"/>
  <c r="P799" i="1" s="1"/>
  <c r="O800" i="1"/>
  <c r="O801" i="1"/>
  <c r="O802" i="1"/>
  <c r="O803" i="1"/>
  <c r="P803" i="1" s="1"/>
  <c r="O804" i="1"/>
  <c r="P804" i="1" s="1"/>
  <c r="O805" i="1"/>
  <c r="O806" i="1"/>
  <c r="O807" i="1"/>
  <c r="O808" i="1"/>
  <c r="P808" i="1" s="1"/>
  <c r="O809" i="1"/>
  <c r="P809" i="1" s="1"/>
  <c r="O810" i="1"/>
  <c r="O811" i="1"/>
  <c r="O812" i="1"/>
  <c r="O813" i="1"/>
  <c r="P813" i="1" s="1"/>
  <c r="O814" i="1"/>
  <c r="O815" i="1"/>
  <c r="P815" i="1" s="1"/>
  <c r="O816" i="1"/>
  <c r="O817" i="1"/>
  <c r="O818" i="1"/>
  <c r="O819" i="1"/>
  <c r="P819" i="1" s="1"/>
  <c r="O820" i="1"/>
  <c r="P820" i="1" s="1"/>
  <c r="O821" i="1"/>
  <c r="O822" i="1"/>
  <c r="O823" i="1"/>
  <c r="O824" i="1"/>
  <c r="P824" i="1" s="1"/>
  <c r="O825" i="1"/>
  <c r="P825" i="1" s="1"/>
  <c r="O826" i="1"/>
  <c r="O827" i="1"/>
  <c r="O828" i="1"/>
  <c r="O829" i="1"/>
  <c r="P829" i="1" s="1"/>
  <c r="O830" i="1"/>
  <c r="O831" i="1"/>
  <c r="P831" i="1" s="1"/>
  <c r="O832" i="1"/>
  <c r="O833" i="1"/>
  <c r="O834" i="1"/>
  <c r="O835" i="1"/>
  <c r="P835" i="1" s="1"/>
  <c r="O836" i="1"/>
  <c r="P836" i="1" s="1"/>
  <c r="O837" i="1"/>
  <c r="O838" i="1"/>
  <c r="O839" i="1"/>
  <c r="O840" i="1"/>
  <c r="P840" i="1" s="1"/>
  <c r="O841" i="1"/>
  <c r="P841" i="1" s="1"/>
  <c r="O842" i="1"/>
  <c r="O843" i="1"/>
  <c r="O844" i="1"/>
  <c r="O845" i="1"/>
  <c r="P845" i="1" s="1"/>
  <c r="O846" i="1"/>
  <c r="O847" i="1"/>
  <c r="P847" i="1" s="1"/>
  <c r="O848" i="1"/>
  <c r="O849" i="1"/>
  <c r="O850" i="1"/>
  <c r="O851" i="1"/>
  <c r="P851" i="1" s="1"/>
  <c r="O852" i="1"/>
  <c r="P852" i="1" s="1"/>
  <c r="O853" i="1"/>
  <c r="O854" i="1"/>
  <c r="O855" i="1"/>
  <c r="O856" i="1"/>
  <c r="P856" i="1" s="1"/>
  <c r="O857" i="1"/>
  <c r="P857" i="1" s="1"/>
  <c r="O858" i="1"/>
  <c r="O859" i="1"/>
  <c r="O860" i="1"/>
  <c r="O861" i="1"/>
  <c r="P861" i="1" s="1"/>
  <c r="O862" i="1"/>
  <c r="O863" i="1"/>
  <c r="P863" i="1" s="1"/>
  <c r="O864" i="1"/>
  <c r="O865" i="1"/>
  <c r="O866" i="1"/>
  <c r="O867" i="1"/>
  <c r="P867" i="1" s="1"/>
  <c r="O868" i="1"/>
  <c r="P868" i="1" s="1"/>
  <c r="O869" i="1"/>
  <c r="O870" i="1"/>
  <c r="O871" i="1"/>
  <c r="O872" i="1"/>
  <c r="P872" i="1" s="1"/>
  <c r="O873" i="1"/>
  <c r="P873" i="1" s="1"/>
  <c r="O874" i="1"/>
  <c r="O875" i="1"/>
  <c r="O876" i="1"/>
  <c r="O877" i="1"/>
  <c r="P877" i="1" s="1"/>
  <c r="O878" i="1"/>
  <c r="O879" i="1"/>
  <c r="P879" i="1" s="1"/>
  <c r="O880" i="1"/>
  <c r="O881" i="1"/>
  <c r="O882" i="1"/>
  <c r="O883" i="1"/>
  <c r="P883" i="1" s="1"/>
  <c r="O884" i="1"/>
  <c r="P884" i="1" s="1"/>
  <c r="O885" i="1"/>
  <c r="O886" i="1"/>
  <c r="O887" i="1"/>
  <c r="O888" i="1"/>
  <c r="P888" i="1" s="1"/>
  <c r="O889" i="1"/>
  <c r="P889" i="1" s="1"/>
  <c r="O890" i="1"/>
  <c r="O891" i="1"/>
  <c r="O892" i="1"/>
  <c r="O893" i="1"/>
  <c r="P893" i="1" s="1"/>
  <c r="O894" i="1"/>
  <c r="O895" i="1"/>
  <c r="P895" i="1" s="1"/>
  <c r="O896" i="1"/>
  <c r="O897" i="1"/>
  <c r="O898" i="1"/>
  <c r="O899" i="1"/>
  <c r="P899" i="1" s="1"/>
  <c r="O900" i="1"/>
  <c r="P900" i="1" s="1"/>
  <c r="O901" i="1"/>
  <c r="O902" i="1"/>
  <c r="O903" i="1"/>
  <c r="O904" i="1"/>
  <c r="P904" i="1" s="1"/>
  <c r="O905" i="1"/>
  <c r="P905" i="1" s="1"/>
  <c r="O906" i="1"/>
  <c r="O907" i="1"/>
  <c r="O908" i="1"/>
  <c r="O909" i="1"/>
  <c r="P909" i="1" s="1"/>
  <c r="O910" i="1"/>
  <c r="O911" i="1"/>
  <c r="P911" i="1" s="1"/>
  <c r="O912" i="1"/>
  <c r="O913" i="1"/>
  <c r="O914" i="1"/>
  <c r="O915" i="1"/>
  <c r="P915" i="1" s="1"/>
  <c r="O916" i="1"/>
  <c r="P916" i="1" s="1"/>
  <c r="O917" i="1"/>
  <c r="O918" i="1"/>
  <c r="O919" i="1"/>
  <c r="O920" i="1"/>
  <c r="P920" i="1" s="1"/>
  <c r="O921" i="1"/>
  <c r="P921" i="1" s="1"/>
  <c r="O922" i="1"/>
  <c r="O923" i="1"/>
  <c r="O924" i="1"/>
  <c r="O925" i="1"/>
  <c r="P925" i="1" s="1"/>
  <c r="O926" i="1"/>
  <c r="O927" i="1"/>
  <c r="P927" i="1" s="1"/>
  <c r="O928" i="1"/>
  <c r="O929" i="1"/>
  <c r="O930" i="1"/>
  <c r="O931" i="1"/>
  <c r="P931" i="1" s="1"/>
  <c r="O932" i="1"/>
  <c r="P932" i="1" s="1"/>
  <c r="O933" i="1"/>
  <c r="O934" i="1"/>
  <c r="O935" i="1"/>
  <c r="O936" i="1"/>
  <c r="P936" i="1" s="1"/>
  <c r="O937" i="1"/>
  <c r="P937" i="1" s="1"/>
  <c r="O938" i="1"/>
  <c r="O939" i="1"/>
  <c r="O940" i="1"/>
  <c r="O941" i="1"/>
  <c r="P941" i="1" s="1"/>
  <c r="O942" i="1"/>
  <c r="O943" i="1"/>
  <c r="P943" i="1" s="1"/>
  <c r="O944" i="1"/>
  <c r="O945" i="1"/>
  <c r="O946" i="1"/>
  <c r="O947" i="1"/>
  <c r="P947" i="1" s="1"/>
  <c r="O948" i="1"/>
  <c r="P948" i="1" s="1"/>
  <c r="O949" i="1"/>
  <c r="O950" i="1"/>
  <c r="O951" i="1"/>
  <c r="O952" i="1"/>
  <c r="P952" i="1" s="1"/>
  <c r="O953" i="1"/>
  <c r="P953" i="1" s="1"/>
  <c r="O954" i="1"/>
  <c r="O955" i="1"/>
  <c r="O956" i="1"/>
  <c r="O957" i="1"/>
  <c r="P957" i="1" s="1"/>
  <c r="O958" i="1"/>
  <c r="O959" i="1"/>
  <c r="P959" i="1" s="1"/>
  <c r="O960" i="1"/>
  <c r="O961" i="1"/>
  <c r="O962" i="1"/>
  <c r="O963" i="1"/>
  <c r="P963" i="1" s="1"/>
  <c r="O964" i="1"/>
  <c r="P964" i="1" s="1"/>
  <c r="O965" i="1"/>
  <c r="O966" i="1"/>
  <c r="O967" i="1"/>
  <c r="O968" i="1"/>
  <c r="P968" i="1" s="1"/>
  <c r="O969" i="1"/>
  <c r="P969" i="1" s="1"/>
  <c r="O970" i="1"/>
  <c r="O971" i="1"/>
  <c r="O972" i="1"/>
  <c r="O973" i="1"/>
  <c r="P973" i="1" s="1"/>
  <c r="O974" i="1"/>
  <c r="O975" i="1"/>
  <c r="P975" i="1" s="1"/>
  <c r="O976" i="1"/>
  <c r="O977" i="1"/>
  <c r="O978" i="1"/>
  <c r="O979" i="1"/>
  <c r="P979" i="1" s="1"/>
  <c r="O980" i="1"/>
  <c r="P980" i="1" s="1"/>
  <c r="O981" i="1"/>
  <c r="O982" i="1"/>
  <c r="O983" i="1"/>
  <c r="O984" i="1"/>
  <c r="P984" i="1" s="1"/>
  <c r="O985" i="1"/>
  <c r="P985" i="1" s="1"/>
  <c r="O986" i="1"/>
  <c r="O987" i="1"/>
  <c r="O988" i="1"/>
  <c r="P988" i="1" s="1"/>
  <c r="O989" i="1"/>
  <c r="P989" i="1" s="1"/>
  <c r="O990" i="1"/>
  <c r="O991" i="1"/>
  <c r="O992" i="1"/>
  <c r="P992" i="1" s="1"/>
  <c r="O993" i="1"/>
  <c r="P993" i="1" s="1"/>
  <c r="O994" i="1"/>
  <c r="O995" i="1"/>
  <c r="O996" i="1"/>
  <c r="P996" i="1" s="1"/>
  <c r="O997" i="1"/>
  <c r="P997" i="1" s="1"/>
  <c r="O998" i="1"/>
  <c r="O999" i="1"/>
  <c r="O1000" i="1"/>
  <c r="P1000" i="1" s="1"/>
  <c r="O1001" i="1"/>
  <c r="P1001" i="1" s="1"/>
  <c r="F2" i="4"/>
  <c r="G2" i="4" s="1"/>
  <c r="F3" i="4"/>
  <c r="G3" i="4" s="1"/>
  <c r="F4" i="4"/>
  <c r="G4" i="4" s="1"/>
  <c r="Q4" i="1" s="1"/>
  <c r="F5" i="4"/>
  <c r="G5" i="4" s="1"/>
  <c r="Q5" i="1" s="1"/>
  <c r="F6" i="4"/>
  <c r="G6" i="4" s="1"/>
  <c r="Q6" i="1" s="1"/>
  <c r="F7" i="4"/>
  <c r="G7" i="4" s="1"/>
  <c r="F8" i="4"/>
  <c r="G8" i="4" s="1"/>
  <c r="Q894" i="1" s="1"/>
  <c r="F9" i="4"/>
  <c r="G9" i="4" s="1"/>
  <c r="F10" i="4"/>
  <c r="G10" i="4" s="1"/>
  <c r="Q10" i="1" s="1"/>
  <c r="F11" i="4"/>
  <c r="G11" i="4" s="1"/>
  <c r="F12" i="4"/>
  <c r="G12" i="4" s="1"/>
  <c r="Q12" i="1" s="1"/>
  <c r="F13" i="4"/>
  <c r="G13" i="4" s="1"/>
  <c r="Q13" i="1" s="1"/>
  <c r="F14" i="4"/>
  <c r="G14" i="4" s="1"/>
  <c r="F15" i="4"/>
  <c r="G15" i="4" s="1"/>
  <c r="F16" i="4"/>
  <c r="G16" i="4" s="1"/>
  <c r="Q111" i="1" s="1"/>
  <c r="F17" i="4"/>
  <c r="G17" i="4" s="1"/>
  <c r="F18" i="4"/>
  <c r="G18" i="4" s="1"/>
  <c r="F19" i="4"/>
  <c r="G19" i="4" s="1"/>
  <c r="F20" i="4"/>
  <c r="G20" i="4" s="1"/>
  <c r="Q20" i="1" s="1"/>
  <c r="F21" i="4"/>
  <c r="G21" i="4" s="1"/>
  <c r="Q992" i="1" s="1"/>
  <c r="F22" i="4"/>
  <c r="G22" i="4" s="1"/>
  <c r="F23" i="4"/>
  <c r="G23" i="4" s="1"/>
  <c r="F24" i="4"/>
  <c r="G24" i="4" s="1"/>
  <c r="Q24" i="1" s="1"/>
  <c r="F25" i="4"/>
  <c r="G25" i="4" s="1"/>
  <c r="Q25" i="1" s="1"/>
  <c r="F26" i="4"/>
  <c r="G26" i="4" s="1"/>
  <c r="F27" i="4"/>
  <c r="G27" i="4" s="1"/>
  <c r="Q27" i="1" s="1"/>
  <c r="F28" i="4"/>
  <c r="G28" i="4" s="1"/>
  <c r="Q604" i="1" s="1"/>
  <c r="F29" i="4"/>
  <c r="G29" i="4" s="1"/>
  <c r="Q29" i="1" s="1"/>
  <c r="F30" i="4"/>
  <c r="G30" i="4" s="1"/>
  <c r="Q30" i="1" s="1"/>
  <c r="F31" i="4"/>
  <c r="G31" i="4" s="1"/>
  <c r="Q31" i="1" s="1"/>
  <c r="F32" i="4"/>
  <c r="G32" i="4" s="1"/>
  <c r="F33" i="4"/>
  <c r="G33" i="4" s="1"/>
  <c r="Q33" i="1" s="1"/>
  <c r="F34" i="4"/>
  <c r="G34" i="4" s="1"/>
  <c r="Q789" i="1" s="1"/>
  <c r="F35" i="4"/>
  <c r="G35" i="4" s="1"/>
  <c r="Q35" i="1" s="1"/>
  <c r="F36" i="4"/>
  <c r="G36" i="4" s="1"/>
  <c r="Q36" i="1" s="1"/>
  <c r="F37" i="4"/>
  <c r="G37" i="4" s="1"/>
  <c r="Q37" i="1" s="1"/>
  <c r="F38" i="4"/>
  <c r="G38" i="4" s="1"/>
  <c r="F39" i="4"/>
  <c r="G39" i="4" s="1"/>
  <c r="F40" i="4"/>
  <c r="G40" i="4" s="1"/>
  <c r="Q40" i="1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Q48" i="1" s="1"/>
  <c r="F48" i="4"/>
  <c r="G48" i="4" s="1"/>
  <c r="Q49" i="1" s="1"/>
  <c r="F49" i="4"/>
  <c r="G49" i="4" s="1"/>
  <c r="F50" i="4"/>
  <c r="G50" i="4" s="1"/>
  <c r="F51" i="4"/>
  <c r="G51" i="4" s="1"/>
  <c r="F52" i="4"/>
  <c r="G52" i="4" s="1"/>
  <c r="F53" i="4"/>
  <c r="G53" i="4" s="1"/>
  <c r="Q972" i="1" s="1"/>
  <c r="F54" i="4"/>
  <c r="G54" i="4" s="1"/>
  <c r="F55" i="4"/>
  <c r="G55" i="4" s="1"/>
  <c r="F56" i="4"/>
  <c r="G56" i="4" s="1"/>
  <c r="F57" i="4"/>
  <c r="G57" i="4" s="1"/>
  <c r="Q59" i="1" s="1"/>
  <c r="F58" i="4"/>
  <c r="G58" i="4" s="1"/>
  <c r="F59" i="4"/>
  <c r="G59" i="4" s="1"/>
  <c r="Q62" i="1" s="1"/>
  <c r="F60" i="4"/>
  <c r="G60" i="4" s="1"/>
  <c r="Q162" i="1" s="1"/>
  <c r="F61" i="4"/>
  <c r="G61" i="4" s="1"/>
  <c r="Q64" i="1" s="1"/>
  <c r="F62" i="4"/>
  <c r="G62" i="4" s="1"/>
  <c r="Q999" i="1" s="1"/>
  <c r="F63" i="4"/>
  <c r="G63" i="4" s="1"/>
  <c r="F64" i="4"/>
  <c r="G64" i="4" s="1"/>
  <c r="F65" i="4"/>
  <c r="G65" i="4" s="1"/>
  <c r="Q68" i="1" s="1"/>
  <c r="F66" i="4"/>
  <c r="G66" i="4" s="1"/>
  <c r="F67" i="4"/>
  <c r="G67" i="4" s="1"/>
  <c r="F68" i="4"/>
  <c r="G68" i="4" s="1"/>
  <c r="Q980" i="1" s="1"/>
  <c r="F69" i="4"/>
  <c r="G69" i="4" s="1"/>
  <c r="Q72" i="1" s="1"/>
  <c r="F70" i="4"/>
  <c r="G70" i="4" s="1"/>
  <c r="F71" i="4"/>
  <c r="G71" i="4" s="1"/>
  <c r="F72" i="4"/>
  <c r="G72" i="4" s="1"/>
  <c r="Q76" i="1" s="1"/>
  <c r="F73" i="4"/>
  <c r="G73" i="4" s="1"/>
  <c r="Q665" i="1" s="1"/>
  <c r="F74" i="4"/>
  <c r="G74" i="4" s="1"/>
  <c r="Q78" i="1" s="1"/>
  <c r="F75" i="4"/>
  <c r="G75" i="4" s="1"/>
  <c r="F76" i="4"/>
  <c r="G76" i="4" s="1"/>
  <c r="F77" i="4"/>
  <c r="G77" i="4" s="1"/>
  <c r="Q81" i="1" s="1"/>
  <c r="F78" i="4"/>
  <c r="G78" i="4" s="1"/>
  <c r="F79" i="4"/>
  <c r="G79" i="4" s="1"/>
  <c r="F80" i="4"/>
  <c r="G80" i="4" s="1"/>
  <c r="F81" i="4"/>
  <c r="G81" i="4" s="1"/>
  <c r="F82" i="4"/>
  <c r="G82" i="4" s="1"/>
  <c r="Q88" i="1" s="1"/>
  <c r="F83" i="4"/>
  <c r="G83" i="4" s="1"/>
  <c r="F84" i="4"/>
  <c r="G84" i="4" s="1"/>
  <c r="F85" i="4"/>
  <c r="G85" i="4" s="1"/>
  <c r="Q91" i="1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Q100" i="1" s="1"/>
  <c r="F93" i="4"/>
  <c r="G93" i="4" s="1"/>
  <c r="Q184" i="1" s="1"/>
  <c r="F94" i="4"/>
  <c r="G94" i="4" s="1"/>
  <c r="Q102" i="1" s="1"/>
  <c r="F95" i="4"/>
  <c r="G95" i="4" s="1"/>
  <c r="F96" i="4"/>
  <c r="G96" i="4" s="1"/>
  <c r="F97" i="4"/>
  <c r="G97" i="4" s="1"/>
  <c r="F98" i="4"/>
  <c r="G98" i="4" s="1"/>
  <c r="Q106" i="1" s="1"/>
  <c r="F99" i="4"/>
  <c r="G99" i="4" s="1"/>
  <c r="F100" i="4"/>
  <c r="G100" i="4" s="1"/>
  <c r="F101" i="4"/>
  <c r="G101" i="4" s="1"/>
  <c r="Q109" i="1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Q819" i="1" s="1"/>
  <c r="F108" i="4"/>
  <c r="G108" i="4" s="1"/>
  <c r="Q117" i="1" s="1"/>
  <c r="F109" i="4"/>
  <c r="G109" i="4" s="1"/>
  <c r="F110" i="4"/>
  <c r="G110" i="4" s="1"/>
  <c r="Q119" i="1" s="1"/>
  <c r="F111" i="4"/>
  <c r="G111" i="4" s="1"/>
  <c r="F112" i="4"/>
  <c r="G112" i="4" s="1"/>
  <c r="F113" i="4"/>
  <c r="G113" i="4" s="1"/>
  <c r="F114" i="4"/>
  <c r="G114" i="4" s="1"/>
  <c r="F115" i="4"/>
  <c r="G115" i="4" s="1"/>
  <c r="Q127" i="1" s="1"/>
  <c r="F116" i="4"/>
  <c r="G116" i="4" s="1"/>
  <c r="F117" i="4"/>
  <c r="G117" i="4" s="1"/>
  <c r="Q653" i="1" s="1"/>
  <c r="F118" i="4"/>
  <c r="G118" i="4" s="1"/>
  <c r="F119" i="4"/>
  <c r="G119" i="4" s="1"/>
  <c r="Q131" i="1" s="1"/>
  <c r="F120" i="4"/>
  <c r="G120" i="4" s="1"/>
  <c r="Q762" i="1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Q967" i="1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Q611" i="1" s="1"/>
  <c r="F133" i="4"/>
  <c r="G133" i="4" s="1"/>
  <c r="Q149" i="1" s="1"/>
  <c r="F134" i="4"/>
  <c r="G134" i="4" s="1"/>
  <c r="Q150" i="1" s="1"/>
  <c r="F135" i="4"/>
  <c r="G135" i="4" s="1"/>
  <c r="F136" i="4"/>
  <c r="G136" i="4" s="1"/>
  <c r="Q154" i="1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Q633" i="1" s="1"/>
  <c r="F148" i="4"/>
  <c r="G148" i="4" s="1"/>
  <c r="F149" i="4"/>
  <c r="G149" i="4" s="1"/>
  <c r="F150" i="4"/>
  <c r="G150" i="4" s="1"/>
  <c r="F151" i="4"/>
  <c r="G151" i="4" s="1"/>
  <c r="Q175" i="1" s="1"/>
  <c r="F152" i="4"/>
  <c r="G152" i="4" s="1"/>
  <c r="Q176" i="1" s="1"/>
  <c r="F153" i="4"/>
  <c r="G153" i="4" s="1"/>
  <c r="F154" i="4"/>
  <c r="G154" i="4" s="1"/>
  <c r="F155" i="4"/>
  <c r="G155" i="4" s="1"/>
  <c r="F156" i="4"/>
  <c r="G156" i="4" s="1"/>
  <c r="Q182" i="1" s="1"/>
  <c r="F157" i="4"/>
  <c r="G157" i="4" s="1"/>
  <c r="Q183" i="1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Q198" i="1" s="1"/>
  <c r="F166" i="4"/>
  <c r="G166" i="4" s="1"/>
  <c r="Q201" i="1" s="1"/>
  <c r="F167" i="4"/>
  <c r="G167" i="4" s="1"/>
  <c r="F168" i="4"/>
  <c r="G168" i="4" s="1"/>
  <c r="F169" i="4"/>
  <c r="G169" i="4" s="1"/>
  <c r="F170" i="4"/>
  <c r="G170" i="4" s="1"/>
  <c r="Q209" i="1" s="1"/>
  <c r="F171" i="4"/>
  <c r="G171" i="4" s="1"/>
  <c r="F172" i="4"/>
  <c r="G172" i="4" s="1"/>
  <c r="Q211" i="1" s="1"/>
  <c r="F173" i="4"/>
  <c r="G173" i="4" s="1"/>
  <c r="F174" i="4"/>
  <c r="G174" i="4" s="1"/>
  <c r="Q769" i="1" s="1"/>
  <c r="F175" i="4"/>
  <c r="G175" i="4" s="1"/>
  <c r="Q214" i="1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Q235" i="1" s="1"/>
  <c r="F187" i="4"/>
  <c r="G187" i="4" s="1"/>
  <c r="Q237" i="1" s="1"/>
  <c r="F188" i="4"/>
  <c r="G188" i="4" s="1"/>
  <c r="F189" i="4"/>
  <c r="G189" i="4" s="1"/>
  <c r="F190" i="4"/>
  <c r="G190" i="4" s="1"/>
  <c r="Q243" i="1" s="1"/>
  <c r="F191" i="4"/>
  <c r="G191" i="4" s="1"/>
  <c r="F192" i="4"/>
  <c r="G192" i="4" s="1"/>
  <c r="Q251" i="1" s="1"/>
  <c r="F193" i="4"/>
  <c r="G193" i="4" s="1"/>
  <c r="Q252" i="1" s="1"/>
  <c r="F194" i="4"/>
  <c r="G194" i="4" s="1"/>
  <c r="Q253" i="1" s="1"/>
  <c r="F195" i="4"/>
  <c r="G195" i="4" s="1"/>
  <c r="F196" i="4"/>
  <c r="G196" i="4" s="1"/>
  <c r="F197" i="4"/>
  <c r="G197" i="4" s="1"/>
  <c r="Q258" i="1" s="1"/>
  <c r="F198" i="4"/>
  <c r="G198" i="4" s="1"/>
  <c r="Q259" i="1" s="1"/>
  <c r="F199" i="4"/>
  <c r="G199" i="4" s="1"/>
  <c r="Q430" i="1" s="1"/>
  <c r="F200" i="4"/>
  <c r="G200" i="4" s="1"/>
  <c r="Q481" i="1" s="1"/>
  <c r="F201" i="4"/>
  <c r="G201" i="4" s="1"/>
  <c r="Q740" i="1" s="1"/>
  <c r="F202" i="4"/>
  <c r="G202" i="4" s="1"/>
  <c r="F203" i="4"/>
  <c r="G203" i="4" s="1"/>
  <c r="F204" i="4"/>
  <c r="G204" i="4" s="1"/>
  <c r="F205" i="4"/>
  <c r="G205" i="4" s="1"/>
  <c r="F206" i="4"/>
  <c r="G206" i="4" s="1"/>
  <c r="Q271" i="1" s="1"/>
  <c r="F207" i="4"/>
  <c r="G207" i="4" s="1"/>
  <c r="Q273" i="1" s="1"/>
  <c r="F208" i="4"/>
  <c r="G208" i="4" s="1"/>
  <c r="Q274" i="1" s="1"/>
  <c r="F209" i="4"/>
  <c r="G209" i="4" s="1"/>
  <c r="F210" i="4"/>
  <c r="G210" i="4" s="1"/>
  <c r="F211" i="4"/>
  <c r="G211" i="4" s="1"/>
  <c r="F212" i="4"/>
  <c r="G212" i="4" s="1"/>
  <c r="Q287" i="1" s="1"/>
  <c r="F213" i="4"/>
  <c r="G213" i="4" s="1"/>
  <c r="F214" i="4"/>
  <c r="G214" i="4" s="1"/>
  <c r="Q291" i="1" s="1"/>
  <c r="F215" i="4"/>
  <c r="G215" i="4" s="1"/>
  <c r="Q608" i="1" s="1"/>
  <c r="F216" i="4"/>
  <c r="G216" i="4" s="1"/>
  <c r="Q293" i="1" s="1"/>
  <c r="F217" i="4"/>
  <c r="G217" i="4" s="1"/>
  <c r="F218" i="4"/>
  <c r="G218" i="4" s="1"/>
  <c r="F219" i="4"/>
  <c r="G219" i="4" s="1"/>
  <c r="F220" i="4"/>
  <c r="G220" i="4" s="1"/>
  <c r="Q299" i="1" s="1"/>
  <c r="F221" i="4"/>
  <c r="G221" i="4" s="1"/>
  <c r="Q301" i="1" s="1"/>
  <c r="F222" i="4"/>
  <c r="G222" i="4" s="1"/>
  <c r="F223" i="4"/>
  <c r="G223" i="4" s="1"/>
  <c r="Q311" i="1" s="1"/>
  <c r="F224" i="4"/>
  <c r="G224" i="4" s="1"/>
  <c r="Q314" i="1" s="1"/>
  <c r="F225" i="4"/>
  <c r="G225" i="4" s="1"/>
  <c r="Q316" i="1" s="1"/>
  <c r="F226" i="4"/>
  <c r="G226" i="4" s="1"/>
  <c r="F227" i="4"/>
  <c r="G227" i="4" s="1"/>
  <c r="F228" i="4"/>
  <c r="G228" i="4" s="1"/>
  <c r="F229" i="4"/>
  <c r="G229" i="4" s="1"/>
  <c r="F230" i="4"/>
  <c r="G230" i="4" s="1"/>
  <c r="Q696" i="1" s="1"/>
  <c r="F231" i="4"/>
  <c r="G231" i="4" s="1"/>
  <c r="Q327" i="1" s="1"/>
  <c r="F232" i="4"/>
  <c r="G232" i="4" s="1"/>
  <c r="F233" i="4"/>
  <c r="G233" i="4" s="1"/>
  <c r="Q939" i="1" s="1"/>
  <c r="F234" i="4"/>
  <c r="G234" i="4" s="1"/>
  <c r="Q331" i="1" s="1"/>
  <c r="F235" i="4"/>
  <c r="G235" i="4" s="1"/>
  <c r="Q333" i="1" s="1"/>
  <c r="F236" i="4"/>
  <c r="G236" i="4" s="1"/>
  <c r="F237" i="4"/>
  <c r="G237" i="4" s="1"/>
  <c r="F238" i="4"/>
  <c r="G238" i="4" s="1"/>
  <c r="F239" i="4"/>
  <c r="G239" i="4" s="1"/>
  <c r="F240" i="4"/>
  <c r="G240" i="4" s="1"/>
  <c r="Q342" i="1" s="1"/>
  <c r="F241" i="4"/>
  <c r="G241" i="4" s="1"/>
  <c r="F242" i="4"/>
  <c r="G242" i="4" s="1"/>
  <c r="Q969" i="1" s="1"/>
  <c r="F243" i="4"/>
  <c r="G243" i="4" s="1"/>
  <c r="Q345" i="1" s="1"/>
  <c r="F244" i="4"/>
  <c r="G244" i="4" s="1"/>
  <c r="F245" i="4"/>
  <c r="G245" i="4" s="1"/>
  <c r="F246" i="4"/>
  <c r="G246" i="4" s="1"/>
  <c r="Q842" i="1" s="1"/>
  <c r="F247" i="4"/>
  <c r="G247" i="4" s="1"/>
  <c r="Q352" i="1" s="1"/>
  <c r="F248" i="4"/>
  <c r="G248" i="4" s="1"/>
  <c r="F249" i="4"/>
  <c r="G249" i="4" s="1"/>
  <c r="Q354" i="1" s="1"/>
  <c r="F250" i="4"/>
  <c r="G250" i="4" s="1"/>
  <c r="Q355" i="1" s="1"/>
  <c r="F251" i="4"/>
  <c r="G251" i="4" s="1"/>
  <c r="F252" i="4"/>
  <c r="G252" i="4" s="1"/>
  <c r="F253" i="4"/>
  <c r="G253" i="4" s="1"/>
  <c r="Q359" i="1" s="1"/>
  <c r="F254" i="4"/>
  <c r="G254" i="4" s="1"/>
  <c r="Q360" i="1" s="1"/>
  <c r="F255" i="4"/>
  <c r="G255" i="4" s="1"/>
  <c r="F256" i="4"/>
  <c r="G256" i="4" s="1"/>
  <c r="F257" i="4"/>
  <c r="G257" i="4" s="1"/>
  <c r="Q364" i="1" s="1"/>
  <c r="F258" i="4"/>
  <c r="G258" i="4" s="1"/>
  <c r="F259" i="4"/>
  <c r="G259" i="4" s="1"/>
  <c r="F260" i="4"/>
  <c r="G260" i="4" s="1"/>
  <c r="Q846" i="1" s="1"/>
  <c r="F261" i="4"/>
  <c r="G261" i="4" s="1"/>
  <c r="Q676" i="1" s="1"/>
  <c r="F262" i="4"/>
  <c r="G262" i="4" s="1"/>
  <c r="F263" i="4"/>
  <c r="G263" i="4" s="1"/>
  <c r="F264" i="4"/>
  <c r="G264" i="4" s="1"/>
  <c r="Q383" i="1" s="1"/>
  <c r="F265" i="4"/>
  <c r="G265" i="4" s="1"/>
  <c r="Q384" i="1" s="1"/>
  <c r="F266" i="4"/>
  <c r="G266" i="4" s="1"/>
  <c r="Q386" i="1" s="1"/>
  <c r="F267" i="4"/>
  <c r="G267" i="4" s="1"/>
  <c r="Q391" i="1" s="1"/>
  <c r="F268" i="4"/>
  <c r="G268" i="4" s="1"/>
  <c r="Q921" i="1" s="1"/>
  <c r="F269" i="4"/>
  <c r="G269" i="4" s="1"/>
  <c r="Q394" i="1" s="1"/>
  <c r="F270" i="4"/>
  <c r="G270" i="4" s="1"/>
  <c r="Q395" i="1" s="1"/>
  <c r="F271" i="4"/>
  <c r="G271" i="4" s="1"/>
  <c r="F272" i="4"/>
  <c r="G272" i="4" s="1"/>
  <c r="F273" i="4"/>
  <c r="G273" i="4" s="1"/>
  <c r="F274" i="4"/>
  <c r="G274" i="4" s="1"/>
  <c r="F275" i="4"/>
  <c r="G275" i="4" s="1"/>
  <c r="Q400" i="1" s="1"/>
  <c r="F276" i="4"/>
  <c r="G276" i="4" s="1"/>
  <c r="Q401" i="1" s="1"/>
  <c r="F277" i="4"/>
  <c r="G277" i="4" s="1"/>
  <c r="F278" i="4"/>
  <c r="G278" i="4" s="1"/>
  <c r="Q621" i="1" s="1"/>
  <c r="F279" i="4"/>
  <c r="G279" i="4" s="1"/>
  <c r="Q520" i="1" s="1"/>
  <c r="F280" i="4"/>
  <c r="G280" i="4" s="1"/>
  <c r="F281" i="4"/>
  <c r="G281" i="4" s="1"/>
  <c r="Q409" i="1" s="1"/>
  <c r="F282" i="4"/>
  <c r="G282" i="4" s="1"/>
  <c r="Q412" i="1" s="1"/>
  <c r="F283" i="4"/>
  <c r="G283" i="4" s="1"/>
  <c r="Q413" i="1" s="1"/>
  <c r="F284" i="4"/>
  <c r="G284" i="4" s="1"/>
  <c r="Q489" i="1" s="1"/>
  <c r="F285" i="4"/>
  <c r="G285" i="4" s="1"/>
  <c r="F286" i="4"/>
  <c r="G286" i="4" s="1"/>
  <c r="Q928" i="1" s="1"/>
  <c r="F287" i="4"/>
  <c r="G287" i="4" s="1"/>
  <c r="F288" i="4"/>
  <c r="G288" i="4" s="1"/>
  <c r="F289" i="4"/>
  <c r="G289" i="4" s="1"/>
  <c r="Q423" i="1" s="1"/>
  <c r="F290" i="4"/>
  <c r="G290" i="4" s="1"/>
  <c r="Q424" i="1" s="1"/>
  <c r="F291" i="4"/>
  <c r="G291" i="4" s="1"/>
  <c r="Q426" i="1" s="1"/>
  <c r="F292" i="4"/>
  <c r="G292" i="4" s="1"/>
  <c r="F293" i="4"/>
  <c r="G293" i="4" s="1"/>
  <c r="Q890" i="1" s="1"/>
  <c r="F294" i="4"/>
  <c r="G294" i="4" s="1"/>
  <c r="Q434" i="1" s="1"/>
  <c r="F295" i="4"/>
  <c r="G295" i="4" s="1"/>
  <c r="Q435" i="1" s="1"/>
  <c r="F296" i="4"/>
  <c r="G296" i="4" s="1"/>
  <c r="Q438" i="1" s="1"/>
  <c r="F297" i="4"/>
  <c r="G297" i="4" s="1"/>
  <c r="F298" i="4"/>
  <c r="G298" i="4" s="1"/>
  <c r="Q441" i="1" s="1"/>
  <c r="F299" i="4"/>
  <c r="G299" i="4" s="1"/>
  <c r="F300" i="4"/>
  <c r="G300" i="4" s="1"/>
  <c r="F301" i="4"/>
  <c r="G301" i="4" s="1"/>
  <c r="Q444" i="1" s="1"/>
  <c r="F302" i="4"/>
  <c r="G302" i="4" s="1"/>
  <c r="F303" i="4"/>
  <c r="G303" i="4" s="1"/>
  <c r="F304" i="4"/>
  <c r="G304" i="4" s="1"/>
  <c r="F305" i="4"/>
  <c r="G305" i="4" s="1"/>
  <c r="Q450" i="1" s="1"/>
  <c r="F306" i="4"/>
  <c r="G306" i="4" s="1"/>
  <c r="Q451" i="1" s="1"/>
  <c r="F307" i="4"/>
  <c r="G307" i="4" s="1"/>
  <c r="F308" i="4"/>
  <c r="G308" i="4" s="1"/>
  <c r="Q456" i="1" s="1"/>
  <c r="F309" i="4"/>
  <c r="G309" i="4" s="1"/>
  <c r="F310" i="4"/>
  <c r="G310" i="4" s="1"/>
  <c r="Q458" i="1" s="1"/>
  <c r="F311" i="4"/>
  <c r="G311" i="4" s="1"/>
  <c r="Q459" i="1" s="1"/>
  <c r="F312" i="4"/>
  <c r="G312" i="4" s="1"/>
  <c r="Q460" i="1" s="1"/>
  <c r="F313" i="4"/>
  <c r="G313" i="4" s="1"/>
  <c r="Q673" i="1" s="1"/>
  <c r="F314" i="4"/>
  <c r="G314" i="4" s="1"/>
  <c r="Q462" i="1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Q492" i="1" s="1"/>
  <c r="F321" i="4"/>
  <c r="G321" i="4" s="1"/>
  <c r="F322" i="4"/>
  <c r="G322" i="4" s="1"/>
  <c r="Q497" i="1" s="1"/>
  <c r="F323" i="4"/>
  <c r="G323" i="4" s="1"/>
  <c r="Q516" i="1" s="1"/>
  <c r="F324" i="4"/>
  <c r="G324" i="4" s="1"/>
  <c r="Q517" i="1" s="1"/>
  <c r="F325" i="4"/>
  <c r="G325" i="4" s="1"/>
  <c r="Q643" i="1" s="1"/>
  <c r="F326" i="4"/>
  <c r="G326" i="4" s="1"/>
  <c r="Q519" i="1" s="1"/>
  <c r="F327" i="4"/>
  <c r="G327" i="4" s="1"/>
  <c r="F328" i="4"/>
  <c r="G328" i="4" s="1"/>
  <c r="Q527" i="1" s="1"/>
  <c r="F329" i="4"/>
  <c r="G329" i="4" s="1"/>
  <c r="F330" i="4"/>
  <c r="G330" i="4" s="1"/>
  <c r="Q599" i="1" s="1"/>
  <c r="F331" i="4"/>
  <c r="G331" i="4" s="1"/>
  <c r="Q533" i="1" s="1"/>
  <c r="F332" i="4"/>
  <c r="G332" i="4" s="1"/>
  <c r="Q534" i="1" s="1"/>
  <c r="F333" i="4"/>
  <c r="G333" i="4" s="1"/>
  <c r="F334" i="4"/>
  <c r="G334" i="4" s="1"/>
  <c r="Q897" i="1" s="1"/>
  <c r="F335" i="4"/>
  <c r="G335" i="4" s="1"/>
  <c r="Q542" i="1" s="1"/>
  <c r="F336" i="4"/>
  <c r="G336" i="4" s="1"/>
  <c r="Q552" i="1" s="1"/>
  <c r="F337" i="4"/>
  <c r="G337" i="4" s="1"/>
  <c r="Q555" i="1" s="1"/>
  <c r="F338" i="4"/>
  <c r="G338" i="4" s="1"/>
  <c r="F339" i="4"/>
  <c r="G339" i="4" s="1"/>
  <c r="F340" i="4"/>
  <c r="G340" i="4" s="1"/>
  <c r="F341" i="4"/>
  <c r="G341" i="4" s="1"/>
  <c r="F342" i="4"/>
  <c r="G342" i="4" s="1"/>
  <c r="Q574" i="1" s="1"/>
  <c r="F343" i="4"/>
  <c r="G343" i="4" s="1"/>
  <c r="F344" i="4"/>
  <c r="G344" i="4" s="1"/>
  <c r="Q579" i="1" s="1"/>
  <c r="F345" i="4"/>
  <c r="G345" i="4" s="1"/>
  <c r="Q588" i="1" s="1"/>
  <c r="F346" i="4"/>
  <c r="G346" i="4" s="1"/>
  <c r="Q687" i="1" s="1"/>
  <c r="F347" i="4"/>
  <c r="G347" i="4" s="1"/>
  <c r="Q593" i="1" s="1"/>
  <c r="F348" i="4"/>
  <c r="G348" i="4" s="1"/>
  <c r="F349" i="4"/>
  <c r="G349" i="4" s="1"/>
  <c r="Q600" i="1" s="1"/>
  <c r="F350" i="4"/>
  <c r="G350" i="4" s="1"/>
  <c r="F351" i="4"/>
  <c r="G351" i="4" s="1"/>
  <c r="Q606" i="1" s="1"/>
  <c r="F352" i="4"/>
  <c r="G352" i="4" s="1"/>
  <c r="F353" i="4"/>
  <c r="G353" i="4" s="1"/>
  <c r="Q609" i="1" s="1"/>
  <c r="F354" i="4"/>
  <c r="G354" i="4" s="1"/>
  <c r="Q613" i="1" s="1"/>
  <c r="F355" i="4"/>
  <c r="G355" i="4" s="1"/>
  <c r="F356" i="4"/>
  <c r="G356" i="4" s="1"/>
  <c r="Q917" i="1" s="1"/>
  <c r="F357" i="4"/>
  <c r="G357" i="4" s="1"/>
  <c r="F358" i="4"/>
  <c r="G358" i="4" s="1"/>
  <c r="F359" i="4"/>
  <c r="G359" i="4" s="1"/>
  <c r="F360" i="4"/>
  <c r="G360" i="4" s="1"/>
  <c r="Q623" i="1" s="1"/>
  <c r="F361" i="4"/>
  <c r="G361" i="4" s="1"/>
  <c r="Q627" i="1" s="1"/>
  <c r="F362" i="4"/>
  <c r="G362" i="4" s="1"/>
  <c r="Q632" i="1" s="1"/>
  <c r="F363" i="4"/>
  <c r="G363" i="4" s="1"/>
  <c r="F364" i="4"/>
  <c r="G364" i="4" s="1"/>
  <c r="F365" i="4"/>
  <c r="G365" i="4" s="1"/>
  <c r="F366" i="4"/>
  <c r="G366" i="4" s="1"/>
  <c r="Q641" i="1" s="1"/>
  <c r="F367" i="4"/>
  <c r="G367" i="4" s="1"/>
  <c r="Q787" i="1" s="1"/>
  <c r="F368" i="4"/>
  <c r="G368" i="4" s="1"/>
  <c r="Q927" i="1" s="1"/>
  <c r="F369" i="4"/>
  <c r="G369" i="4" s="1"/>
  <c r="F370" i="4"/>
  <c r="G370" i="4" s="1"/>
  <c r="F371" i="4"/>
  <c r="G371" i="4" s="1"/>
  <c r="Q666" i="1" s="1"/>
  <c r="F372" i="4"/>
  <c r="G372" i="4" s="1"/>
  <c r="F373" i="4"/>
  <c r="G373" i="4" s="1"/>
  <c r="Q668" i="1" s="1"/>
  <c r="F374" i="4"/>
  <c r="G374" i="4" s="1"/>
  <c r="Q671" i="1" s="1"/>
  <c r="F375" i="4"/>
  <c r="G375" i="4" s="1"/>
  <c r="Q677" i="1" s="1"/>
  <c r="F376" i="4"/>
  <c r="G376" i="4" s="1"/>
  <c r="Q975" i="1" s="1"/>
  <c r="F377" i="4"/>
  <c r="G377" i="4" s="1"/>
  <c r="Q690" i="1" s="1"/>
  <c r="F378" i="4"/>
  <c r="G378" i="4" s="1"/>
  <c r="Q692" i="1" s="1"/>
  <c r="F379" i="4"/>
  <c r="G379" i="4" s="1"/>
  <c r="F380" i="4"/>
  <c r="G380" i="4" s="1"/>
  <c r="Q697" i="1" s="1"/>
  <c r="F381" i="4"/>
  <c r="G381" i="4" s="1"/>
  <c r="Q699" i="1" s="1"/>
  <c r="F382" i="4"/>
  <c r="G382" i="4" s="1"/>
  <c r="Q700" i="1" s="1"/>
  <c r="F383" i="4"/>
  <c r="G383" i="4" s="1"/>
  <c r="F384" i="4"/>
  <c r="G384" i="4" s="1"/>
  <c r="Q702" i="1" s="1"/>
  <c r="F385" i="4"/>
  <c r="G385" i="4" s="1"/>
  <c r="Q703" i="1" s="1"/>
  <c r="F386" i="4"/>
  <c r="G386" i="4" s="1"/>
  <c r="Q705" i="1" s="1"/>
  <c r="F387" i="4"/>
  <c r="G387" i="4" s="1"/>
  <c r="Q796" i="1" s="1"/>
  <c r="F388" i="4"/>
  <c r="G388" i="4" s="1"/>
  <c r="Q717" i="1" s="1"/>
  <c r="F389" i="4"/>
  <c r="G389" i="4" s="1"/>
  <c r="Q726" i="1" s="1"/>
  <c r="F390" i="4"/>
  <c r="G390" i="4" s="1"/>
  <c r="Q722" i="1" s="1"/>
  <c r="F391" i="4"/>
  <c r="G391" i="4" s="1"/>
  <c r="Q727" i="1" s="1"/>
  <c r="F392" i="4"/>
  <c r="G392" i="4" s="1"/>
  <c r="Q729" i="1" s="1"/>
  <c r="F393" i="4"/>
  <c r="G393" i="4" s="1"/>
  <c r="F394" i="4"/>
  <c r="G394" i="4" s="1"/>
  <c r="Q749" i="1" s="1"/>
  <c r="F395" i="4"/>
  <c r="G395" i="4" s="1"/>
  <c r="Q756" i="1" s="1"/>
  <c r="F396" i="4"/>
  <c r="G396" i="4" s="1"/>
  <c r="Q757" i="1" s="1"/>
  <c r="F397" i="4"/>
  <c r="G397" i="4" s="1"/>
  <c r="Q886" i="1" s="1"/>
  <c r="F398" i="4"/>
  <c r="G398" i="4" s="1"/>
  <c r="Q822" i="1" s="1"/>
  <c r="F399" i="4"/>
  <c r="G399" i="4" s="1"/>
  <c r="Q766" i="1" s="1"/>
  <c r="F400" i="4"/>
  <c r="G400" i="4" s="1"/>
  <c r="Q965" i="1" s="1"/>
  <c r="F401" i="4"/>
  <c r="G401" i="4" s="1"/>
  <c r="Q770" i="1" s="1"/>
  <c r="F402" i="4"/>
  <c r="G402" i="4" s="1"/>
  <c r="Q776" i="1" s="1"/>
  <c r="F403" i="4"/>
  <c r="G403" i="4" s="1"/>
  <c r="Q815" i="1" s="1"/>
  <c r="F404" i="4"/>
  <c r="G404" i="4" s="1"/>
  <c r="Q784" i="1" s="1"/>
  <c r="F405" i="4"/>
  <c r="G405" i="4" s="1"/>
  <c r="Q850" i="1" s="1"/>
  <c r="F406" i="4"/>
  <c r="G406" i="4" s="1"/>
  <c r="Q790" i="1" s="1"/>
  <c r="F407" i="4"/>
  <c r="G407" i="4" s="1"/>
  <c r="Q792" i="1" s="1"/>
  <c r="F408" i="4"/>
  <c r="G408" i="4" s="1"/>
  <c r="F409" i="4"/>
  <c r="G409" i="4" s="1"/>
  <c r="Q806" i="1" s="1"/>
  <c r="F410" i="4"/>
  <c r="G410" i="4" s="1"/>
  <c r="Q808" i="1" s="1"/>
  <c r="F411" i="4"/>
  <c r="G411" i="4" s="1"/>
  <c r="F412" i="4"/>
  <c r="G412" i="4" s="1"/>
  <c r="Q825" i="1" s="1"/>
  <c r="F413" i="4"/>
  <c r="G413" i="4" s="1"/>
  <c r="Q826" i="1" s="1"/>
  <c r="F414" i="4"/>
  <c r="G414" i="4" s="1"/>
  <c r="Q831" i="1" s="1"/>
  <c r="F415" i="4"/>
  <c r="G415" i="4" s="1"/>
  <c r="Q851" i="1" s="1"/>
  <c r="F416" i="4"/>
  <c r="G416" i="4" s="1"/>
  <c r="Q839" i="1" s="1"/>
  <c r="F417" i="4"/>
  <c r="G417" i="4" s="1"/>
  <c r="Q841" i="1" s="1"/>
  <c r="F418" i="4"/>
  <c r="G418" i="4" s="1"/>
  <c r="Q843" i="1" s="1"/>
  <c r="F419" i="4"/>
  <c r="G419" i="4" s="1"/>
  <c r="Q848" i="1" s="1"/>
  <c r="F420" i="4"/>
  <c r="G420" i="4" s="1"/>
  <c r="Q858" i="1" s="1"/>
  <c r="F421" i="4"/>
  <c r="G421" i="4" s="1"/>
  <c r="Q863" i="1" s="1"/>
  <c r="F422" i="4"/>
  <c r="G422" i="4" s="1"/>
  <c r="Q876" i="1" s="1"/>
  <c r="F423" i="4"/>
  <c r="G423" i="4" s="1"/>
  <c r="Q896" i="1" s="1"/>
  <c r="F424" i="4"/>
  <c r="G424" i="4" s="1"/>
  <c r="Q902" i="1" s="1"/>
  <c r="F425" i="4"/>
  <c r="G425" i="4" s="1"/>
  <c r="Q905" i="1" s="1"/>
  <c r="F426" i="4"/>
  <c r="G426" i="4" s="1"/>
  <c r="Q915" i="1" s="1"/>
  <c r="F427" i="4"/>
  <c r="G427" i="4" s="1"/>
  <c r="F428" i="4"/>
  <c r="G428" i="4" s="1"/>
  <c r="Q919" i="1" s="1"/>
  <c r="F429" i="4"/>
  <c r="G429" i="4" s="1"/>
  <c r="Q942" i="1" s="1"/>
  <c r="F430" i="4"/>
  <c r="G430" i="4" s="1"/>
  <c r="Q947" i="1" s="1"/>
  <c r="F431" i="4"/>
  <c r="G431" i="4" s="1"/>
  <c r="F432" i="4"/>
  <c r="G432" i="4" s="1"/>
  <c r="Q956" i="1" s="1"/>
  <c r="F433" i="4"/>
  <c r="G433" i="4" s="1"/>
  <c r="Q968" i="1" s="1"/>
  <c r="F434" i="4"/>
  <c r="G434" i="4" s="1"/>
  <c r="Q977" i="1" s="1"/>
  <c r="F435" i="4"/>
  <c r="G435" i="4" s="1"/>
  <c r="Q983" i="1" s="1"/>
  <c r="T996" i="1" l="1"/>
  <c r="T948" i="1"/>
  <c r="T932" i="1"/>
  <c r="T916" i="1"/>
  <c r="T868" i="1"/>
  <c r="T760" i="1"/>
  <c r="T639" i="1"/>
  <c r="T944" i="1"/>
  <c r="T928" i="1"/>
  <c r="T908" i="1"/>
  <c r="T888" i="1"/>
  <c r="T433" i="1"/>
  <c r="T988" i="1"/>
  <c r="T960" i="1"/>
  <c r="T940" i="1"/>
  <c r="T904" i="1"/>
  <c r="T880" i="1"/>
  <c r="T860" i="1"/>
  <c r="T792" i="1"/>
  <c r="T687" i="1"/>
  <c r="T952" i="1"/>
  <c r="T936" i="1"/>
  <c r="T920" i="1"/>
  <c r="T876" i="1"/>
  <c r="T728" i="1"/>
  <c r="T551" i="1"/>
  <c r="T680" i="1"/>
  <c r="T638" i="1"/>
  <c r="T704" i="1"/>
  <c r="T565" i="1"/>
  <c r="T794" i="1"/>
  <c r="T482" i="1"/>
  <c r="T566" i="1"/>
  <c r="T473" i="1"/>
  <c r="T414" i="1"/>
  <c r="T432" i="1"/>
  <c r="T489" i="1"/>
  <c r="T495" i="1"/>
  <c r="T531" i="1"/>
  <c r="T397" i="1"/>
  <c r="T376" i="1"/>
  <c r="T674" i="1"/>
  <c r="T474" i="1"/>
  <c r="T660" i="1"/>
  <c r="T501" i="1"/>
  <c r="T793" i="1"/>
  <c r="T782" i="1"/>
  <c r="T251" i="1"/>
  <c r="T810" i="1"/>
  <c r="T232" i="1"/>
  <c r="T236" i="1"/>
  <c r="T315" i="1"/>
  <c r="T569" i="1"/>
  <c r="T317" i="1"/>
  <c r="T218" i="1"/>
  <c r="T205" i="1"/>
  <c r="T254" i="1"/>
  <c r="T371" i="1"/>
  <c r="T190" i="1"/>
  <c r="T168" i="1"/>
  <c r="T241" i="1"/>
  <c r="T368" i="1"/>
  <c r="T714" i="1"/>
  <c r="T144" i="1"/>
  <c r="T778" i="1"/>
  <c r="T132" i="1"/>
  <c r="T721" i="1"/>
  <c r="T762" i="1"/>
  <c r="T309" i="1"/>
  <c r="T86" i="1"/>
  <c r="T319" i="1"/>
  <c r="T71" i="1"/>
  <c r="T646" i="1"/>
  <c r="T58" i="1"/>
  <c r="T388" i="1"/>
  <c r="T44" i="1"/>
  <c r="T84" i="1"/>
  <c r="T304" i="1"/>
  <c r="T217" i="1"/>
  <c r="T32" i="1"/>
  <c r="T264" i="1"/>
  <c r="T111" i="1"/>
  <c r="T16" i="1"/>
  <c r="T4" i="1"/>
  <c r="T550" i="1"/>
  <c r="T479" i="1"/>
  <c r="T984" i="1"/>
  <c r="T800" i="1"/>
  <c r="T752" i="1"/>
  <c r="T614" i="1"/>
  <c r="T734" i="1"/>
  <c r="T593" i="1"/>
  <c r="T738" i="1"/>
  <c r="T578" i="1"/>
  <c r="T720" i="1"/>
  <c r="T488" i="1"/>
  <c r="T625" i="1"/>
  <c r="T464" i="1"/>
  <c r="T733" i="1"/>
  <c r="T454" i="1"/>
  <c r="T468" i="1"/>
  <c r="T538" i="1"/>
  <c r="T448" i="1"/>
  <c r="T419" i="1"/>
  <c r="T512" i="1"/>
  <c r="T547" i="1"/>
  <c r="T520" i="1"/>
  <c r="T405" i="1"/>
  <c r="T657" i="1"/>
  <c r="T396" i="1"/>
  <c r="T708" i="1"/>
  <c r="T382" i="1"/>
  <c r="T504" i="1"/>
  <c r="T559" i="1"/>
  <c r="T590" i="1"/>
  <c r="T372" i="1"/>
  <c r="T544" i="1"/>
  <c r="T356" i="1"/>
  <c r="T361" i="1"/>
  <c r="T466" i="1"/>
  <c r="T340" i="1"/>
  <c r="T322" i="1"/>
  <c r="T564" i="1"/>
  <c r="T311" i="1"/>
  <c r="T801" i="1"/>
  <c r="T292" i="1"/>
  <c r="T608" i="1"/>
  <c r="T281" i="1"/>
  <c r="T553" i="1"/>
  <c r="T267" i="1"/>
  <c r="T365" i="1"/>
  <c r="T260" i="1"/>
  <c r="T430" i="1"/>
  <c r="T283" i="1"/>
  <c r="T256" i="1"/>
  <c r="T307" i="1"/>
  <c r="T244" i="1"/>
  <c r="T230" i="1"/>
  <c r="T712" i="1"/>
  <c r="T709" i="1"/>
  <c r="T225" i="1"/>
  <c r="T494" i="1"/>
  <c r="T436" i="1"/>
  <c r="T210" i="1"/>
  <c r="T645" i="1"/>
  <c r="T247" i="1"/>
  <c r="T263" i="1"/>
  <c r="T204" i="1"/>
  <c r="T196" i="1"/>
  <c r="T664" i="1"/>
  <c r="T248" i="1"/>
  <c r="T308" i="1"/>
  <c r="T189" i="1"/>
  <c r="T171" i="1"/>
  <c r="T410" i="1"/>
  <c r="T633" i="1"/>
  <c r="T166" i="1"/>
  <c r="T669" i="1"/>
  <c r="T160" i="1"/>
  <c r="T180" i="1"/>
  <c r="T153" i="1"/>
  <c r="T523" i="1"/>
  <c r="T143" i="1"/>
  <c r="T642" i="1"/>
  <c r="T135" i="1"/>
  <c r="T508" i="1"/>
  <c r="T584" i="1"/>
  <c r="T686" i="1"/>
  <c r="T131" i="1"/>
  <c r="T605" i="1"/>
  <c r="T120" i="1"/>
  <c r="T300" i="1"/>
  <c r="T452" i="1"/>
  <c r="T112" i="1"/>
  <c r="T282" i="1"/>
  <c r="T389" i="1"/>
  <c r="T802" i="1"/>
  <c r="T103" i="1"/>
  <c r="T332" i="1"/>
  <c r="T710" i="1"/>
  <c r="T93" i="1"/>
  <c r="T678" i="1"/>
  <c r="T89" i="1"/>
  <c r="T549" i="1"/>
  <c r="T85" i="1"/>
  <c r="T320" i="1"/>
  <c r="T126" i="1"/>
  <c r="T685" i="1"/>
  <c r="T79" i="1"/>
  <c r="T411" i="1"/>
  <c r="T521" i="1"/>
  <c r="T75" i="1"/>
  <c r="T596" i="1"/>
  <c r="T152" i="1"/>
  <c r="T165" i="1"/>
  <c r="T70" i="1"/>
  <c r="T199" i="1"/>
  <c r="T57" i="1"/>
  <c r="T151" i="1"/>
  <c r="T231" i="1"/>
  <c r="T53" i="1"/>
  <c r="T48" i="1"/>
  <c r="T617" i="1"/>
  <c r="T43" i="1"/>
  <c r="T167" i="1"/>
  <c r="T262" i="1"/>
  <c r="T202" i="1"/>
  <c r="T39" i="1"/>
  <c r="T99" i="1"/>
  <c r="T35" i="1"/>
  <c r="T546" i="1"/>
  <c r="T27" i="1"/>
  <c r="T746" i="1"/>
  <c r="T23" i="1"/>
  <c r="T159" i="1"/>
  <c r="T294" i="1"/>
  <c r="T777" i="1"/>
  <c r="T19" i="1"/>
  <c r="T181" i="1"/>
  <c r="T11" i="1"/>
  <c r="T416" i="1"/>
  <c r="T7" i="1"/>
  <c r="T491" i="1"/>
  <c r="T3" i="1"/>
  <c r="T224" i="1"/>
  <c r="T995" i="1"/>
  <c r="T991" i="1"/>
  <c r="T987" i="1"/>
  <c r="T979" i="1"/>
  <c r="T975" i="1"/>
  <c r="T971" i="1"/>
  <c r="T959" i="1"/>
  <c r="T955" i="1"/>
  <c r="T943" i="1"/>
  <c r="T939" i="1"/>
  <c r="T931" i="1"/>
  <c r="T927" i="1"/>
  <c r="T923" i="1"/>
  <c r="T911" i="1"/>
  <c r="T907" i="1"/>
  <c r="T895" i="1"/>
  <c r="T891" i="1"/>
  <c r="T887" i="1"/>
  <c r="T883" i="1"/>
  <c r="T879" i="1"/>
  <c r="T875" i="1"/>
  <c r="T867" i="1"/>
  <c r="T855" i="1"/>
  <c r="T851" i="1"/>
  <c r="T847" i="1"/>
  <c r="T835" i="1"/>
  <c r="T827" i="1"/>
  <c r="T821" i="1"/>
  <c r="T815" i="1"/>
  <c r="T799" i="1"/>
  <c r="T783" i="1"/>
  <c r="T775" i="1"/>
  <c r="T767" i="1"/>
  <c r="T759" i="1"/>
  <c r="T751" i="1"/>
  <c r="T743" i="1"/>
  <c r="T735" i="1"/>
  <c r="T727" i="1"/>
  <c r="T683" i="1"/>
  <c r="T667" i="1"/>
  <c r="T635" i="1"/>
  <c r="T619" i="1"/>
  <c r="T603" i="1"/>
  <c r="T481" i="1"/>
  <c r="T417" i="1"/>
  <c r="T353" i="1"/>
  <c r="T194" i="1"/>
  <c r="T535" i="1"/>
  <c r="T575" i="1"/>
  <c r="T781" i="1"/>
  <c r="T422" i="1"/>
  <c r="T467" i="1"/>
  <c r="T392" i="1"/>
  <c r="T654" i="1"/>
  <c r="T323" i="1"/>
  <c r="T528" i="1"/>
  <c r="T299" i="1"/>
  <c r="T505" i="1"/>
  <c r="T287" i="1"/>
  <c r="T298" i="1"/>
  <c r="T207" i="1"/>
  <c r="T172" i="1"/>
  <c r="T161" i="1"/>
  <c r="T250" i="1"/>
  <c r="T688" i="1"/>
  <c r="T140" i="1"/>
  <c r="T503" i="1"/>
  <c r="T612" i="1"/>
  <c r="T572" i="1"/>
  <c r="T303" i="1"/>
  <c r="T128" i="1"/>
  <c r="T548" i="1"/>
  <c r="T113" i="1"/>
  <c r="T346" i="1"/>
  <c r="T104" i="1"/>
  <c r="T124" i="1"/>
  <c r="T469" i="1"/>
  <c r="T90" i="1"/>
  <c r="T445" i="1"/>
  <c r="T63" i="1"/>
  <c r="T162" i="1"/>
  <c r="T36" i="1"/>
  <c r="T554" i="1"/>
  <c r="T630" i="1"/>
  <c r="T1000" i="1"/>
  <c r="T900" i="1"/>
  <c r="T856" i="1"/>
  <c r="T768" i="1"/>
  <c r="T765" i="1"/>
  <c r="T822" i="1"/>
  <c r="T662" i="1"/>
  <c r="T682" i="1"/>
  <c r="T632" i="1"/>
  <c r="T652" i="1"/>
  <c r="T601" i="1"/>
  <c r="T610" i="1"/>
  <c r="T458" i="1"/>
  <c r="T577" i="1"/>
  <c r="T434" i="1"/>
  <c r="T648" i="1"/>
  <c r="T404" i="1"/>
  <c r="T621" i="1"/>
  <c r="T399" i="1"/>
  <c r="T463" i="1"/>
  <c r="T626" i="1"/>
  <c r="T350" i="1"/>
  <c r="T367" i="1"/>
  <c r="T339" i="1"/>
  <c r="T592" i="1"/>
  <c r="T325" i="1"/>
  <c r="T696" i="1"/>
  <c r="T809" i="1"/>
  <c r="T754" i="1"/>
  <c r="T374" i="1"/>
  <c r="T318" i="1"/>
  <c r="T496" i="1"/>
  <c r="T649" i="1"/>
  <c r="T306" i="1"/>
  <c r="T296" i="1"/>
  <c r="T524" i="1"/>
  <c r="T279" i="1"/>
  <c r="T310" i="1"/>
  <c r="T266" i="1"/>
  <c r="T407" i="1"/>
  <c r="T253" i="1"/>
  <c r="T805" i="1"/>
  <c r="T228" i="1"/>
  <c r="T640" i="1"/>
  <c r="T650" i="1"/>
  <c r="T220" i="1"/>
  <c r="T302" i="1"/>
  <c r="T213" i="1"/>
  <c r="T514" i="1"/>
  <c r="T769" i="1"/>
  <c r="T255" i="1"/>
  <c r="T193" i="1"/>
  <c r="T498" i="1"/>
  <c r="T439" i="1"/>
  <c r="T580" i="1"/>
  <c r="T628" i="1"/>
  <c r="T745" i="1"/>
  <c r="T216" i="1"/>
  <c r="T186" i="1"/>
  <c r="T337" i="1"/>
  <c r="T174" i="1"/>
  <c r="T429" i="1"/>
  <c r="T170" i="1"/>
  <c r="T656" i="1"/>
  <c r="T290" i="1"/>
  <c r="T158" i="1"/>
  <c r="T753" i="1"/>
  <c r="T336" i="1"/>
  <c r="T138" i="1"/>
  <c r="T507" i="1"/>
  <c r="T545" i="1"/>
  <c r="T134" i="1"/>
  <c r="T334" i="1"/>
  <c r="T408" i="1"/>
  <c r="T156" i="1"/>
  <c r="T425" i="1"/>
  <c r="T477" i="1"/>
  <c r="T125" i="1"/>
  <c r="T145" i="1"/>
  <c r="T698" i="1"/>
  <c r="T115" i="1"/>
  <c r="T277" i="1"/>
  <c r="T421" i="1"/>
  <c r="T716" i="1"/>
  <c r="T233" i="1"/>
  <c r="T106" i="1"/>
  <c r="T123" i="1"/>
  <c r="T97" i="1"/>
  <c r="T478" i="1"/>
  <c r="T561" i="1"/>
  <c r="T92" i="1"/>
  <c r="T624" i="1"/>
  <c r="T88" i="1"/>
  <c r="T229" i="1"/>
  <c r="T83" i="1"/>
  <c r="T185" i="1"/>
  <c r="T490" i="1"/>
  <c r="T556" i="1"/>
  <c r="T73" i="1"/>
  <c r="T286" i="1"/>
  <c r="T420" i="1"/>
  <c r="T69" i="1"/>
  <c r="T305" i="1"/>
  <c r="T817" i="1"/>
  <c r="T187" i="1"/>
  <c r="T65" i="1"/>
  <c r="T157" i="1"/>
  <c r="T487" i="1"/>
  <c r="T60" i="1"/>
  <c r="T742" i="1"/>
  <c r="T56" i="1"/>
  <c r="T351" i="1"/>
  <c r="T195" i="1"/>
  <c r="T203" i="1"/>
  <c r="T52" i="1"/>
  <c r="T96" i="1"/>
  <c r="T446" i="1"/>
  <c r="T455" i="1"/>
  <c r="T537" i="1"/>
  <c r="T61" i="1"/>
  <c r="T370" i="1"/>
  <c r="T46" i="1"/>
  <c r="T285" i="1"/>
  <c r="T42" i="1"/>
  <c r="T471" i="1"/>
  <c r="T38" i="1"/>
  <c r="T74" i="1"/>
  <c r="T694" i="1"/>
  <c r="T34" i="1"/>
  <c r="T789" i="1"/>
  <c r="T22" i="1"/>
  <c r="T486" i="1"/>
  <c r="T275" i="1"/>
  <c r="T313" i="1"/>
  <c r="T18" i="1"/>
  <c r="T576" i="1"/>
  <c r="T14" i="1"/>
  <c r="T82" i="1"/>
  <c r="T814" i="1"/>
  <c r="T2" i="1"/>
  <c r="T998" i="1"/>
  <c r="T990" i="1"/>
  <c r="T986" i="1"/>
  <c r="T982" i="1"/>
  <c r="T978" i="1"/>
  <c r="T966" i="1"/>
  <c r="T958" i="1"/>
  <c r="T954" i="1"/>
  <c r="T950" i="1"/>
  <c r="T946" i="1"/>
  <c r="T938" i="1"/>
  <c r="T934" i="1"/>
  <c r="T930" i="1"/>
  <c r="T926" i="1"/>
  <c r="T922" i="1"/>
  <c r="T918" i="1"/>
  <c r="T914" i="1"/>
  <c r="T910" i="1"/>
  <c r="T906" i="1"/>
  <c r="T898" i="1"/>
  <c r="T894" i="1"/>
  <c r="T882" i="1"/>
  <c r="T874" i="1"/>
  <c r="T870" i="1"/>
  <c r="T866" i="1"/>
  <c r="T862" i="1"/>
  <c r="T854" i="1"/>
  <c r="T850" i="1"/>
  <c r="T846" i="1"/>
  <c r="T842" i="1"/>
  <c r="T834" i="1"/>
  <c r="T830" i="1"/>
  <c r="T812" i="1"/>
  <c r="T804" i="1"/>
  <c r="T796" i="1"/>
  <c r="T788" i="1"/>
  <c r="T780" i="1"/>
  <c r="T772" i="1"/>
  <c r="T748" i="1"/>
  <c r="T732" i="1"/>
  <c r="T724" i="1"/>
  <c r="T711" i="1"/>
  <c r="T695" i="1"/>
  <c r="T679" i="1"/>
  <c r="T663" i="1"/>
  <c r="T631" i="1"/>
  <c r="T615" i="1"/>
  <c r="T599" i="1"/>
  <c r="T583" i="1"/>
  <c r="T563" i="1"/>
  <c r="T529" i="1"/>
  <c r="T465" i="1"/>
  <c r="T335" i="1"/>
  <c r="T130" i="1"/>
  <c r="T530" i="1"/>
  <c r="T562" i="1"/>
  <c r="T443" i="1"/>
  <c r="T431" i="1"/>
  <c r="T741" i="1"/>
  <c r="T773" i="1"/>
  <c r="T406" i="1"/>
  <c r="T582" i="1"/>
  <c r="T363" i="1"/>
  <c r="T571" i="1"/>
  <c r="T328" i="1"/>
  <c r="T585" i="1"/>
  <c r="T713" i="1"/>
  <c r="T257" i="1"/>
  <c r="T402" i="1"/>
  <c r="T377" i="1"/>
  <c r="T239" i="1"/>
  <c r="T661" i="1"/>
  <c r="T453" i="1"/>
  <c r="T226" i="1"/>
  <c r="T197" i="1"/>
  <c r="T249" i="1"/>
  <c r="T136" i="1"/>
  <c r="T526" i="1"/>
  <c r="T511" i="1"/>
  <c r="T108" i="1"/>
  <c r="T378" i="1"/>
  <c r="T269" i="1"/>
  <c r="T94" i="1"/>
  <c r="T620" i="1"/>
  <c r="T80" i="1"/>
  <c r="T222" i="1"/>
  <c r="T54" i="1"/>
  <c r="T774" i="1"/>
  <c r="T28" i="1"/>
  <c r="T245" i="1"/>
  <c r="T604" i="1"/>
  <c r="T20" i="1"/>
  <c r="T312" i="1"/>
  <c r="T50" i="1"/>
  <c r="T12" i="1"/>
  <c r="T390" i="1"/>
  <c r="T980" i="1"/>
  <c r="T976" i="1"/>
  <c r="T872" i="1"/>
  <c r="T840" i="1"/>
  <c r="T607" i="1"/>
  <c r="T718" i="1"/>
  <c r="T726" i="1"/>
  <c r="T536" i="1"/>
  <c r="T737" i="1"/>
  <c r="T493" i="1"/>
  <c r="T730" i="1"/>
  <c r="T476" i="1"/>
  <c r="T594" i="1"/>
  <c r="T758" i="1"/>
  <c r="T673" i="1"/>
  <c r="T461" i="1"/>
  <c r="T539" i="1"/>
  <c r="T440" i="1"/>
  <c r="T586" i="1"/>
  <c r="T398" i="1"/>
  <c r="T510" i="1"/>
  <c r="T570" i="1"/>
  <c r="T379" i="1"/>
  <c r="T499" i="1"/>
  <c r="T676" i="1"/>
  <c r="T343" i="1"/>
  <c r="T672" i="1"/>
  <c r="T324" i="1"/>
  <c r="T813" i="1"/>
  <c r="T295" i="1"/>
  <c r="T427" i="1"/>
  <c r="T288" i="1"/>
  <c r="T509" i="1"/>
  <c r="T276" i="1"/>
  <c r="T393" i="1"/>
  <c r="T265" i="1"/>
  <c r="T480" i="1"/>
  <c r="T725" i="1"/>
  <c r="T227" i="1"/>
  <c r="T326" i="1"/>
  <c r="T219" i="1"/>
  <c r="T289" i="1"/>
  <c r="T375" i="1"/>
  <c r="T634" i="1"/>
  <c r="T212" i="1"/>
  <c r="T437" i="1"/>
  <c r="T689" i="1"/>
  <c r="T192" i="1"/>
  <c r="T280" i="1"/>
  <c r="T173" i="1"/>
  <c r="T602" i="1"/>
  <c r="T169" i="1"/>
  <c r="T618" i="1"/>
  <c r="T163" i="1"/>
  <c r="T284" i="1"/>
  <c r="T330" i="1"/>
  <c r="T155" i="1"/>
  <c r="T188" i="1"/>
  <c r="T380" i="1"/>
  <c r="T240" i="1"/>
  <c r="T141" i="1"/>
  <c r="T278" i="1"/>
  <c r="T137" i="1"/>
  <c r="T515" i="1"/>
  <c r="T133" i="1"/>
  <c r="T500" i="1"/>
  <c r="T129" i="1"/>
  <c r="T597" i="1"/>
  <c r="T653" i="1"/>
  <c r="T122" i="1"/>
  <c r="T387" i="1"/>
  <c r="T358" i="1"/>
  <c r="T114" i="1"/>
  <c r="T147" i="1"/>
  <c r="T215" i="1"/>
  <c r="T105" i="1"/>
  <c r="T373" i="1"/>
  <c r="T184" i="1"/>
  <c r="T101" i="1"/>
  <c r="T428" i="1"/>
  <c r="T95" i="1"/>
  <c r="T321" i="1"/>
  <c r="T146" i="1"/>
  <c r="T670" i="1"/>
  <c r="T87" i="1"/>
  <c r="T208" i="1"/>
  <c r="T272" i="1"/>
  <c r="T347" i="1"/>
  <c r="T598" i="1"/>
  <c r="T148" i="1"/>
  <c r="T81" i="1"/>
  <c r="T77" i="1"/>
  <c r="T246" i="1"/>
  <c r="T475" i="1"/>
  <c r="T665" i="1"/>
  <c r="T191" i="1"/>
  <c r="T68" i="1"/>
  <c r="T55" i="1"/>
  <c r="T238" i="1"/>
  <c r="T51" i="1"/>
  <c r="T223" i="1"/>
  <c r="T629" i="1"/>
  <c r="T818" i="1"/>
  <c r="T45" i="1"/>
  <c r="T341" i="1"/>
  <c r="T47" i="1"/>
  <c r="T37" i="1"/>
  <c r="T33" i="1"/>
  <c r="T541" i="1"/>
  <c r="T25" i="1"/>
  <c r="T484" i="1"/>
  <c r="T200" i="1"/>
  <c r="T21" i="1"/>
  <c r="T485" i="1"/>
  <c r="T798" i="1"/>
  <c r="T17" i="1"/>
  <c r="T502" i="1"/>
  <c r="T522" i="1"/>
  <c r="T415" i="1"/>
  <c r="T9" i="1"/>
  <c r="T506" i="1"/>
  <c r="T472" i="1"/>
  <c r="T5" i="1"/>
  <c r="T636" i="1"/>
  <c r="T1001" i="1"/>
  <c r="T997" i="1"/>
  <c r="T993" i="1"/>
  <c r="T989" i="1"/>
  <c r="T985" i="1"/>
  <c r="T981" i="1"/>
  <c r="T973" i="1"/>
  <c r="T969" i="1"/>
  <c r="T961" i="1"/>
  <c r="T957" i="1"/>
  <c r="T953" i="1"/>
  <c r="T949" i="1"/>
  <c r="T945" i="1"/>
  <c r="T941" i="1"/>
  <c r="T937" i="1"/>
  <c r="T933" i="1"/>
  <c r="T929" i="1"/>
  <c r="T925" i="1"/>
  <c r="T921" i="1"/>
  <c r="T913" i="1"/>
  <c r="T909" i="1"/>
  <c r="T901" i="1"/>
  <c r="T897" i="1"/>
  <c r="T893" i="1"/>
  <c r="T889" i="1"/>
  <c r="T885" i="1"/>
  <c r="T877" i="1"/>
  <c r="T873" i="1"/>
  <c r="T869" i="1"/>
  <c r="T865" i="1"/>
  <c r="T861" i="1"/>
  <c r="T857" i="1"/>
  <c r="T853" i="1"/>
  <c r="T849" i="1"/>
  <c r="T845" i="1"/>
  <c r="T837" i="1"/>
  <c r="T833" i="1"/>
  <c r="T829" i="1"/>
  <c r="T824" i="1"/>
  <c r="T819" i="1"/>
  <c r="T811" i="1"/>
  <c r="T803" i="1"/>
  <c r="T795" i="1"/>
  <c r="T787" i="1"/>
  <c r="T771" i="1"/>
  <c r="T763" i="1"/>
  <c r="T755" i="1"/>
  <c r="T747" i="1"/>
  <c r="T739" i="1"/>
  <c r="T731" i="1"/>
  <c r="T723" i="1"/>
  <c r="T707" i="1"/>
  <c r="T691" i="1"/>
  <c r="T675" i="1"/>
  <c r="T659" i="1"/>
  <c r="T643" i="1"/>
  <c r="T611" i="1"/>
  <c r="T557" i="1"/>
  <c r="T513" i="1"/>
  <c r="T449" i="1"/>
  <c r="T385" i="1"/>
  <c r="T66" i="1"/>
  <c r="L2" i="4"/>
  <c r="L432" i="4"/>
  <c r="L396" i="4"/>
  <c r="L380" i="4"/>
  <c r="L364" i="4"/>
  <c r="L348" i="4"/>
  <c r="L340" i="4"/>
  <c r="L276" i="4"/>
  <c r="L268" i="4"/>
  <c r="L252" i="4"/>
  <c r="L244" i="4"/>
  <c r="L216" i="4"/>
  <c r="L208" i="4"/>
  <c r="L192" i="4"/>
  <c r="L184" i="4"/>
  <c r="L176" i="4"/>
  <c r="L168" i="4"/>
  <c r="L160" i="4"/>
  <c r="M408" i="4"/>
  <c r="M376" i="4"/>
  <c r="M252" i="4"/>
  <c r="M244" i="4"/>
  <c r="M236" i="4"/>
  <c r="M228" i="4"/>
  <c r="M220" i="4"/>
  <c r="M192" i="4"/>
  <c r="M160" i="4"/>
  <c r="M152" i="4"/>
  <c r="M144" i="4"/>
  <c r="M136" i="4"/>
  <c r="N424" i="4"/>
  <c r="N416" i="4"/>
  <c r="N408" i="4"/>
  <c r="N400" i="4"/>
  <c r="N392" i="4"/>
  <c r="N364" i="4"/>
  <c r="N332" i="4"/>
  <c r="N300" i="4"/>
  <c r="N268" i="4"/>
  <c r="N176" i="4"/>
  <c r="N116" i="4"/>
  <c r="M273" i="4"/>
  <c r="L273" i="4"/>
  <c r="M257" i="4"/>
  <c r="N257" i="4"/>
  <c r="N428" i="4"/>
  <c r="M428" i="4"/>
  <c r="N420" i="4"/>
  <c r="M420" i="4"/>
  <c r="N280" i="4"/>
  <c r="M280" i="4"/>
  <c r="L280" i="4"/>
  <c r="N272" i="4"/>
  <c r="M272" i="4"/>
  <c r="N264" i="4"/>
  <c r="M264" i="4"/>
  <c r="M212" i="4"/>
  <c r="L212" i="4"/>
  <c r="N188" i="4"/>
  <c r="M188" i="4"/>
  <c r="N180" i="4"/>
  <c r="M180" i="4"/>
  <c r="N172" i="4"/>
  <c r="M172" i="4"/>
  <c r="N164" i="4"/>
  <c r="M164" i="4"/>
  <c r="N128" i="4"/>
  <c r="L128" i="4"/>
  <c r="N120" i="4"/>
  <c r="M120" i="4"/>
  <c r="L120" i="4"/>
  <c r="N112" i="4"/>
  <c r="M112" i="4"/>
  <c r="N104" i="4"/>
  <c r="M104" i="4"/>
  <c r="N96" i="4"/>
  <c r="M96" i="4"/>
  <c r="M20" i="4"/>
  <c r="L20" i="4"/>
  <c r="L430" i="4"/>
  <c r="L404" i="4"/>
  <c r="L394" i="4"/>
  <c r="L388" i="4"/>
  <c r="L378" i="4"/>
  <c r="L372" i="4"/>
  <c r="L362" i="4"/>
  <c r="L356" i="4"/>
  <c r="L344" i="4"/>
  <c r="L337" i="4"/>
  <c r="L272" i="4"/>
  <c r="L264" i="4"/>
  <c r="L256" i="4"/>
  <c r="L248" i="4"/>
  <c r="L241" i="4"/>
  <c r="L232" i="4"/>
  <c r="L204" i="4"/>
  <c r="L196" i="4"/>
  <c r="L188" i="4"/>
  <c r="L180" i="4"/>
  <c r="L172" i="4"/>
  <c r="L164" i="4"/>
  <c r="L156" i="4"/>
  <c r="L148" i="4"/>
  <c r="L140" i="4"/>
  <c r="L112" i="4"/>
  <c r="L104" i="4"/>
  <c r="L96" i="4"/>
  <c r="L88" i="4"/>
  <c r="L72" i="4"/>
  <c r="L40" i="4"/>
  <c r="L12" i="4"/>
  <c r="M392" i="4"/>
  <c r="M360" i="4"/>
  <c r="M240" i="4"/>
  <c r="M88" i="4"/>
  <c r="M80" i="4"/>
  <c r="M72" i="4"/>
  <c r="M64" i="4"/>
  <c r="M56" i="4"/>
  <c r="M48" i="4"/>
  <c r="M40" i="4"/>
  <c r="M4" i="4"/>
  <c r="N412" i="4"/>
  <c r="N404" i="4"/>
  <c r="N396" i="4"/>
  <c r="N388" i="4"/>
  <c r="N380" i="4"/>
  <c r="N348" i="4"/>
  <c r="N316" i="4"/>
  <c r="N284" i="4"/>
  <c r="N68" i="4"/>
  <c r="N36" i="4"/>
  <c r="L428" i="4"/>
  <c r="L420" i="4"/>
  <c r="L376" i="4"/>
  <c r="L360" i="4"/>
  <c r="L336" i="4"/>
  <c r="L328" i="4"/>
  <c r="L320" i="4"/>
  <c r="L312" i="4"/>
  <c r="L304" i="4"/>
  <c r="L296" i="4"/>
  <c r="L288" i="4"/>
  <c r="M368" i="4"/>
  <c r="M324" i="4"/>
  <c r="M292" i="4"/>
  <c r="N356" i="4"/>
  <c r="N236" i="4"/>
  <c r="N228" i="4"/>
  <c r="N220" i="4"/>
  <c r="N212" i="4"/>
  <c r="N204" i="4"/>
  <c r="N196" i="4"/>
  <c r="N144" i="4"/>
  <c r="N136" i="4"/>
  <c r="N76" i="4"/>
  <c r="Q906" i="1"/>
  <c r="Q433" i="1"/>
  <c r="L422" i="4"/>
  <c r="M409" i="4"/>
  <c r="N321" i="4"/>
  <c r="Q233" i="1"/>
  <c r="L426" i="4"/>
  <c r="L410" i="4"/>
  <c r="M377" i="4"/>
  <c r="N289" i="4"/>
  <c r="Q833" i="1"/>
  <c r="Q148" i="1"/>
  <c r="Q795" i="1"/>
  <c r="Q518" i="1"/>
  <c r="Q801" i="1"/>
  <c r="Q605" i="1"/>
  <c r="Q929" i="1"/>
  <c r="Q390" i="1"/>
  <c r="L305" i="4"/>
  <c r="L177" i="4"/>
  <c r="L49" i="4"/>
  <c r="N353" i="4"/>
  <c r="N225" i="4"/>
  <c r="N97" i="4"/>
  <c r="Q960" i="1"/>
  <c r="Q918" i="1"/>
  <c r="Q577" i="1"/>
  <c r="Q461" i="1"/>
  <c r="N65" i="4"/>
  <c r="Q976" i="1"/>
  <c r="Q945" i="1"/>
  <c r="Q907" i="1"/>
  <c r="Q865" i="1"/>
  <c r="Q811" i="1"/>
  <c r="Q779" i="1"/>
  <c r="Q718" i="1"/>
  <c r="Q292" i="1"/>
  <c r="L5" i="4"/>
  <c r="Q495" i="1"/>
  <c r="Q531" i="1"/>
  <c r="Q397" i="1"/>
  <c r="Q357" i="1"/>
  <c r="Q830" i="1"/>
  <c r="Q190" i="1"/>
  <c r="Q371" i="1"/>
  <c r="Q856" i="1"/>
  <c r="Q128" i="1"/>
  <c r="Q303" i="1"/>
  <c r="Q86" i="1"/>
  <c r="Q309" i="1"/>
  <c r="Q67" i="1"/>
  <c r="Q861" i="1"/>
  <c r="Q835" i="1"/>
  <c r="Q58" i="1"/>
  <c r="Q388" i="1"/>
  <c r="Q854" i="1"/>
  <c r="M277" i="4"/>
  <c r="L277" i="4"/>
  <c r="L249" i="4"/>
  <c r="N249" i="4"/>
  <c r="M245" i="4"/>
  <c r="L245" i="4"/>
  <c r="L233" i="4"/>
  <c r="N233" i="4"/>
  <c r="M229" i="4"/>
  <c r="L229" i="4"/>
  <c r="L217" i="4"/>
  <c r="N217" i="4"/>
  <c r="M213" i="4"/>
  <c r="L213" i="4"/>
  <c r="L201" i="4"/>
  <c r="N201" i="4"/>
  <c r="M197" i="4"/>
  <c r="L197" i="4"/>
  <c r="L185" i="4"/>
  <c r="N185" i="4"/>
  <c r="M181" i="4"/>
  <c r="L181" i="4"/>
  <c r="L169" i="4"/>
  <c r="N169" i="4"/>
  <c r="M165" i="4"/>
  <c r="L165" i="4"/>
  <c r="L153" i="4"/>
  <c r="N153" i="4"/>
  <c r="M149" i="4"/>
  <c r="L149" i="4"/>
  <c r="L137" i="4"/>
  <c r="N137" i="4"/>
  <c r="M133" i="4"/>
  <c r="L133" i="4"/>
  <c r="L121" i="4"/>
  <c r="N121" i="4"/>
  <c r="M117" i="4"/>
  <c r="L117" i="4"/>
  <c r="L105" i="4"/>
  <c r="N105" i="4"/>
  <c r="M101" i="4"/>
  <c r="L101" i="4"/>
  <c r="L89" i="4"/>
  <c r="N89" i="4"/>
  <c r="M85" i="4"/>
  <c r="L85" i="4"/>
  <c r="L73" i="4"/>
  <c r="N73" i="4"/>
  <c r="M69" i="4"/>
  <c r="L69" i="4"/>
  <c r="L57" i="4"/>
  <c r="N57" i="4"/>
  <c r="M53" i="4"/>
  <c r="L53" i="4"/>
  <c r="L41" i="4"/>
  <c r="N41" i="4"/>
  <c r="M37" i="4"/>
  <c r="L37" i="4"/>
  <c r="L25" i="4"/>
  <c r="N25" i="4"/>
  <c r="M21" i="4"/>
  <c r="L21" i="4"/>
  <c r="Q473" i="1"/>
  <c r="Q566" i="1"/>
  <c r="Q482" i="1"/>
  <c r="Q535" i="1"/>
  <c r="Q575" i="1"/>
  <c r="Q587" i="1"/>
  <c r="Q781" i="1"/>
  <c r="Q467" i="1"/>
  <c r="Q422" i="1"/>
  <c r="Q236" i="1"/>
  <c r="Q232" i="1"/>
  <c r="Q569" i="1"/>
  <c r="Q226" i="1"/>
  <c r="Q453" i="1"/>
  <c r="Q254" i="1"/>
  <c r="Q205" i="1"/>
  <c r="Q172" i="1"/>
  <c r="Q828" i="1"/>
  <c r="Q250" i="1"/>
  <c r="Q161" i="1"/>
  <c r="Q688" i="1"/>
  <c r="Q94" i="1"/>
  <c r="Q269" i="1"/>
  <c r="Q222" i="1"/>
  <c r="Q80" i="1"/>
  <c r="Q44" i="1"/>
  <c r="Q84" i="1"/>
  <c r="Q217" i="1"/>
  <c r="Q304" i="1"/>
  <c r="Q1000" i="1"/>
  <c r="Q950" i="1"/>
  <c r="Q875" i="1"/>
  <c r="Q548" i="1"/>
  <c r="L345" i="4"/>
  <c r="N345" i="4"/>
  <c r="L329" i="4"/>
  <c r="N329" i="4"/>
  <c r="M293" i="4"/>
  <c r="L293" i="4"/>
  <c r="M261" i="4"/>
  <c r="L261" i="4"/>
  <c r="Q948" i="1"/>
  <c r="Q974" i="1"/>
  <c r="Q701" i="1"/>
  <c r="Q889" i="1"/>
  <c r="Q978" i="1"/>
  <c r="Q578" i="1"/>
  <c r="Q720" i="1"/>
  <c r="Q560" i="1"/>
  <c r="Q952" i="1"/>
  <c r="Q755" i="1"/>
  <c r="Q525" i="1"/>
  <c r="Q448" i="1"/>
  <c r="Q538" i="1"/>
  <c r="Q405" i="1"/>
  <c r="Q657" i="1"/>
  <c r="Q396" i="1"/>
  <c r="Q855" i="1"/>
  <c r="Q635" i="1"/>
  <c r="Q297" i="1"/>
  <c r="Q267" i="1"/>
  <c r="Q365" i="1"/>
  <c r="Q256" i="1"/>
  <c r="Q283" i="1"/>
  <c r="Q307" i="1"/>
  <c r="Q244" i="1"/>
  <c r="Q204" i="1"/>
  <c r="Q247" i="1"/>
  <c r="Q263" i="1"/>
  <c r="Q189" i="1"/>
  <c r="Q248" i="1"/>
  <c r="Q308" i="1"/>
  <c r="Q179" i="1"/>
  <c r="Q883" i="1"/>
  <c r="Q166" i="1"/>
  <c r="Q669" i="1"/>
  <c r="Q143" i="1"/>
  <c r="Q958" i="1"/>
  <c r="Q300" i="1"/>
  <c r="Q120" i="1"/>
  <c r="Q452" i="1"/>
  <c r="Q282" i="1"/>
  <c r="Q389" i="1"/>
  <c r="Q112" i="1"/>
  <c r="Q802" i="1"/>
  <c r="Q107" i="1"/>
  <c r="Q931" i="1"/>
  <c r="Q103" i="1"/>
  <c r="Q332" i="1"/>
  <c r="Q710" i="1"/>
  <c r="Q98" i="1"/>
  <c r="Q866" i="1"/>
  <c r="Q93" i="1"/>
  <c r="Q678" i="1"/>
  <c r="Q549" i="1"/>
  <c r="Q816" i="1"/>
  <c r="Q914" i="1"/>
  <c r="Q1001" i="1"/>
  <c r="Q126" i="1"/>
  <c r="Q85" i="1"/>
  <c r="Q320" i="1"/>
  <c r="Q832" i="1"/>
  <c r="Q411" i="1"/>
  <c r="Q521" i="1"/>
  <c r="Q775" i="1"/>
  <c r="Q79" i="1"/>
  <c r="Q75" i="1"/>
  <c r="Q596" i="1"/>
  <c r="Q70" i="1"/>
  <c r="Q152" i="1"/>
  <c r="Q747" i="1"/>
  <c r="Q165" i="1"/>
  <c r="Q66" i="1"/>
  <c r="Q221" i="1"/>
  <c r="Q199" i="1"/>
  <c r="Q57" i="1"/>
  <c r="Q151" i="1"/>
  <c r="Q231" i="1"/>
  <c r="Q53" i="1"/>
  <c r="Q202" i="1"/>
  <c r="Q262" i="1"/>
  <c r="Q167" i="1"/>
  <c r="Q43" i="1"/>
  <c r="Q39" i="1"/>
  <c r="Q99" i="1"/>
  <c r="Q887" i="1"/>
  <c r="Q294" i="1"/>
  <c r="Q23" i="1"/>
  <c r="Q159" i="1"/>
  <c r="Q777" i="1"/>
  <c r="Q19" i="1"/>
  <c r="Q181" i="1"/>
  <c r="Q707" i="1"/>
  <c r="Q15" i="1"/>
  <c r="Q932" i="1"/>
  <c r="Q11" i="1"/>
  <c r="Q416" i="1"/>
  <c r="Q7" i="1"/>
  <c r="Q491" i="1"/>
  <c r="Q3" i="1"/>
  <c r="Q224" i="1"/>
  <c r="L433" i="4"/>
  <c r="L429" i="4"/>
  <c r="L425" i="4"/>
  <c r="L421" i="4"/>
  <c r="L417" i="4"/>
  <c r="L413" i="4"/>
  <c r="L409" i="4"/>
  <c r="L405" i="4"/>
  <c r="L401" i="4"/>
  <c r="L397" i="4"/>
  <c r="L393" i="4"/>
  <c r="L389" i="4"/>
  <c r="L385" i="4"/>
  <c r="L381" i="4"/>
  <c r="L377" i="4"/>
  <c r="L373" i="4"/>
  <c r="L369" i="4"/>
  <c r="L365" i="4"/>
  <c r="L361" i="4"/>
  <c r="L357" i="4"/>
  <c r="L353" i="4"/>
  <c r="L349" i="4"/>
  <c r="L317" i="4"/>
  <c r="L285" i="4"/>
  <c r="L253" i="4"/>
  <c r="L221" i="4"/>
  <c r="L189" i="4"/>
  <c r="L157" i="4"/>
  <c r="L125" i="4"/>
  <c r="L93" i="4"/>
  <c r="L61" i="4"/>
  <c r="L29" i="4"/>
  <c r="M413" i="4"/>
  <c r="M381" i="4"/>
  <c r="M349" i="4"/>
  <c r="M317" i="4"/>
  <c r="M285" i="4"/>
  <c r="M253" i="4"/>
  <c r="M221" i="4"/>
  <c r="M189" i="4"/>
  <c r="M157" i="4"/>
  <c r="M125" i="4"/>
  <c r="M93" i="4"/>
  <c r="M61" i="4"/>
  <c r="M29" i="4"/>
  <c r="N421" i="4"/>
  <c r="N389" i="4"/>
  <c r="N357" i="4"/>
  <c r="N293" i="4"/>
  <c r="N261" i="4"/>
  <c r="N229" i="4"/>
  <c r="N197" i="4"/>
  <c r="N165" i="4"/>
  <c r="N133" i="4"/>
  <c r="N101" i="4"/>
  <c r="N69" i="4"/>
  <c r="N37" i="4"/>
  <c r="Q991" i="1"/>
  <c r="Q959" i="1"/>
  <c r="Q949" i="1"/>
  <c r="Q938" i="1"/>
  <c r="Q895" i="1"/>
  <c r="Q885" i="1"/>
  <c r="Q874" i="1"/>
  <c r="Q853" i="1"/>
  <c r="Q821" i="1"/>
  <c r="Q810" i="1"/>
  <c r="Q799" i="1"/>
  <c r="Q778" i="1"/>
  <c r="Q767" i="1"/>
  <c r="Q754" i="1"/>
  <c r="Q738" i="1"/>
  <c r="Q674" i="1"/>
  <c r="Q546" i="1"/>
  <c r="Q404" i="1"/>
  <c r="Q376" i="1"/>
  <c r="Q344" i="1"/>
  <c r="Q229" i="1"/>
  <c r="Q116" i="1"/>
  <c r="Q684" i="1"/>
  <c r="Q800" i="1"/>
  <c r="Q768" i="1"/>
  <c r="Q658" i="1"/>
  <c r="Q615" i="1"/>
  <c r="Q804" i="1"/>
  <c r="Q595" i="1"/>
  <c r="Q829" i="1"/>
  <c r="Q583" i="1"/>
  <c r="Q565" i="1"/>
  <c r="Q704" i="1"/>
  <c r="Q443" i="1"/>
  <c r="Q530" i="1"/>
  <c r="Q431" i="1"/>
  <c r="Q651" i="1"/>
  <c r="Q741" i="1"/>
  <c r="Q836" i="1"/>
  <c r="Q582" i="1"/>
  <c r="Q348" i="1"/>
  <c r="Q732" i="1"/>
  <c r="Q328" i="1"/>
  <c r="Q585" i="1"/>
  <c r="Q713" i="1"/>
  <c r="Q323" i="1"/>
  <c r="Q528" i="1"/>
  <c r="Q257" i="1"/>
  <c r="Q675" i="1"/>
  <c r="Q402" i="1"/>
  <c r="Q136" i="1"/>
  <c r="Q511" i="1"/>
  <c r="Q526" i="1"/>
  <c r="Q711" i="1"/>
  <c r="Q857" i="1"/>
  <c r="Q108" i="1"/>
  <c r="Q378" i="1"/>
  <c r="Q54" i="1"/>
  <c r="Q912" i="1"/>
  <c r="Q984" i="1"/>
  <c r="Q377" i="1"/>
  <c r="Q63" i="1"/>
  <c r="M309" i="4"/>
  <c r="L309" i="4"/>
  <c r="L297" i="4"/>
  <c r="N297" i="4"/>
  <c r="L281" i="4"/>
  <c r="N281" i="4"/>
  <c r="L265" i="4"/>
  <c r="N265" i="4"/>
  <c r="Q488" i="1"/>
  <c r="Q625" i="1"/>
  <c r="Q464" i="1"/>
  <c r="Q733" i="1"/>
  <c r="Q454" i="1"/>
  <c r="Q468" i="1"/>
  <c r="Q442" i="1"/>
  <c r="Q936" i="1"/>
  <c r="Q419" i="1"/>
  <c r="Q547" i="1"/>
  <c r="Q512" i="1"/>
  <c r="Q559" i="1"/>
  <c r="Q382" i="1"/>
  <c r="Q544" i="1"/>
  <c r="Q372" i="1"/>
  <c r="Q362" i="1"/>
  <c r="Q788" i="1"/>
  <c r="Q982" i="1"/>
  <c r="Q369" i="1"/>
  <c r="Q356" i="1"/>
  <c r="Q724" i="1"/>
  <c r="Q631" i="1"/>
  <c r="Q340" i="1"/>
  <c r="Q466" i="1"/>
  <c r="Q573" i="1"/>
  <c r="Q322" i="1"/>
  <c r="Q564" i="1"/>
  <c r="Q281" i="1"/>
  <c r="Q553" i="1"/>
  <c r="Q230" i="1"/>
  <c r="Q709" i="1"/>
  <c r="Q712" i="1"/>
  <c r="Q225" i="1"/>
  <c r="Q436" i="1"/>
  <c r="Q494" i="1"/>
  <c r="Q210" i="1"/>
  <c r="Q645" i="1"/>
  <c r="Q196" i="1"/>
  <c r="Q772" i="1"/>
  <c r="Q751" i="1"/>
  <c r="Q171" i="1"/>
  <c r="Q410" i="1"/>
  <c r="Q591" i="1"/>
  <c r="Q160" i="1"/>
  <c r="Q180" i="1"/>
  <c r="Q523" i="1"/>
  <c r="Q153" i="1"/>
  <c r="Q877" i="1"/>
  <c r="Q139" i="1"/>
  <c r="Q989" i="1"/>
  <c r="Q135" i="1"/>
  <c r="Q508" i="1"/>
  <c r="Q584" i="1"/>
  <c r="Q844" i="1"/>
  <c r="Q765" i="1"/>
  <c r="Q682" i="1"/>
  <c r="Q662" i="1"/>
  <c r="Q652" i="1"/>
  <c r="Q926" i="1"/>
  <c r="Q619" i="1"/>
  <c r="Q750" i="1"/>
  <c r="Q601" i="1"/>
  <c r="Q610" i="1"/>
  <c r="Q558" i="1"/>
  <c r="Q920" i="1"/>
  <c r="Q540" i="1"/>
  <c r="Q981" i="1"/>
  <c r="Q483" i="1"/>
  <c r="Q985" i="1"/>
  <c r="Q447" i="1"/>
  <c r="Q563" i="1"/>
  <c r="Q760" i="1"/>
  <c r="Q852" i="1"/>
  <c r="Q648" i="1"/>
  <c r="Q399" i="1"/>
  <c r="Q463" i="1"/>
  <c r="Q626" i="1"/>
  <c r="Q381" i="1"/>
  <c r="Q908" i="1"/>
  <c r="Q366" i="1"/>
  <c r="Q834" i="1"/>
  <c r="Q350" i="1"/>
  <c r="Q367" i="1"/>
  <c r="Q339" i="1"/>
  <c r="Q592" i="1"/>
  <c r="Q465" i="1"/>
  <c r="Q325" i="1"/>
  <c r="Q807" i="1"/>
  <c r="Q809" i="1"/>
  <c r="Q318" i="1"/>
  <c r="Q496" i="1"/>
  <c r="Q374" i="1"/>
  <c r="Q306" i="1"/>
  <c r="Q903" i="1"/>
  <c r="Q649" i="1"/>
  <c r="Q296" i="1"/>
  <c r="Q736" i="1"/>
  <c r="Q524" i="1"/>
  <c r="Q310" i="1"/>
  <c r="Q279" i="1"/>
  <c r="Q266" i="1"/>
  <c r="Q407" i="1"/>
  <c r="Q640" i="1"/>
  <c r="Q650" i="1"/>
  <c r="Q228" i="1"/>
  <c r="Q302" i="1"/>
  <c r="Q220" i="1"/>
  <c r="Q213" i="1"/>
  <c r="Q514" i="1"/>
  <c r="Q193" i="1"/>
  <c r="Q439" i="1"/>
  <c r="Q628" i="1"/>
  <c r="Q255" i="1"/>
  <c r="Q580" i="1"/>
  <c r="Q498" i="1"/>
  <c r="Q745" i="1"/>
  <c r="Q186" i="1"/>
  <c r="Q216" i="1"/>
  <c r="Q178" i="1"/>
  <c r="Q551" i="1"/>
  <c r="Q174" i="1"/>
  <c r="Q337" i="1"/>
  <c r="Q429" i="1"/>
  <c r="Q170" i="1"/>
  <c r="Q290" i="1"/>
  <c r="Q656" i="1"/>
  <c r="Q899" i="1"/>
  <c r="Q930" i="1"/>
  <c r="Q164" i="1"/>
  <c r="Q158" i="1"/>
  <c r="Q753" i="1"/>
  <c r="Q142" i="1"/>
  <c r="Q385" i="1"/>
  <c r="Q138" i="1"/>
  <c r="Q507" i="1"/>
  <c r="Q336" i="1"/>
  <c r="Q545" i="1"/>
  <c r="Q998" i="1"/>
  <c r="Q134" i="1"/>
  <c r="Q334" i="1"/>
  <c r="Q695" i="1"/>
  <c r="Q408" i="1"/>
  <c r="Q130" i="1"/>
  <c r="Q156" i="1"/>
  <c r="Q425" i="1"/>
  <c r="Q145" i="1"/>
  <c r="Q125" i="1"/>
  <c r="Q698" i="1"/>
  <c r="Q941" i="1"/>
  <c r="Q115" i="1"/>
  <c r="Q277" i="1"/>
  <c r="Q421" i="1"/>
  <c r="Q716" i="1"/>
  <c r="Q924" i="1"/>
  <c r="Q110" i="1"/>
  <c r="Q860" i="1"/>
  <c r="Q97" i="1"/>
  <c r="Q123" i="1"/>
  <c r="Q478" i="1"/>
  <c r="Q791" i="1"/>
  <c r="Q92" i="1"/>
  <c r="Q624" i="1"/>
  <c r="Q882" i="1"/>
  <c r="Q83" i="1"/>
  <c r="Q490" i="1"/>
  <c r="Q185" i="1"/>
  <c r="Q556" i="1"/>
  <c r="Q286" i="1"/>
  <c r="Q679" i="1"/>
  <c r="Q73" i="1"/>
  <c r="Q305" i="1"/>
  <c r="Q69" i="1"/>
  <c r="Q65" i="1"/>
  <c r="Q157" i="1"/>
  <c r="Q487" i="1"/>
  <c r="Q187" i="1"/>
  <c r="Q60" i="1"/>
  <c r="Q742" i="1"/>
  <c r="Q56" i="1"/>
  <c r="Q351" i="1"/>
  <c r="Q845" i="1"/>
  <c r="Q195" i="1"/>
  <c r="Q455" i="1"/>
  <c r="Q96" i="1"/>
  <c r="Q203" i="1"/>
  <c r="Q52" i="1"/>
  <c r="Q537" i="1"/>
  <c r="Q46" i="1"/>
  <c r="Q61" i="1"/>
  <c r="Q370" i="1"/>
  <c r="Q42" i="1"/>
  <c r="Q285" i="1"/>
  <c r="Q471" i="1"/>
  <c r="Q38" i="1"/>
  <c r="Q74" i="1"/>
  <c r="Q694" i="1"/>
  <c r="Q34" i="1"/>
  <c r="Q864" i="1"/>
  <c r="Q26" i="1"/>
  <c r="Q663" i="1"/>
  <c r="Q22" i="1"/>
  <c r="Q486" i="1"/>
  <c r="Q18" i="1"/>
  <c r="Q275" i="1"/>
  <c r="Q576" i="1"/>
  <c r="Q313" i="1"/>
  <c r="Q744" i="1"/>
  <c r="Q953" i="1"/>
  <c r="Q14" i="1"/>
  <c r="Q82" i="1"/>
  <c r="Q814" i="1"/>
  <c r="Q2" i="1"/>
  <c r="Q884" i="1"/>
  <c r="L321" i="4"/>
  <c r="L289" i="4"/>
  <c r="L257" i="4"/>
  <c r="L225" i="4"/>
  <c r="L193" i="4"/>
  <c r="L161" i="4"/>
  <c r="L129" i="4"/>
  <c r="L97" i="4"/>
  <c r="L65" i="4"/>
  <c r="L33" i="4"/>
  <c r="M425" i="4"/>
  <c r="M393" i="4"/>
  <c r="M361" i="4"/>
  <c r="M329" i="4"/>
  <c r="M297" i="4"/>
  <c r="M265" i="4"/>
  <c r="M233" i="4"/>
  <c r="M201" i="4"/>
  <c r="M169" i="4"/>
  <c r="M137" i="4"/>
  <c r="M105" i="4"/>
  <c r="M73" i="4"/>
  <c r="M41" i="4"/>
  <c r="N433" i="4"/>
  <c r="N401" i="4"/>
  <c r="N369" i="4"/>
  <c r="N337" i="4"/>
  <c r="N305" i="4"/>
  <c r="N273" i="4"/>
  <c r="N241" i="4"/>
  <c r="N209" i="4"/>
  <c r="N177" i="4"/>
  <c r="N145" i="4"/>
  <c r="N113" i="4"/>
  <c r="N81" i="4"/>
  <c r="N49" i="4"/>
  <c r="N17" i="4"/>
  <c r="Q996" i="1"/>
  <c r="Q988" i="1"/>
  <c r="Q964" i="1"/>
  <c r="Q955" i="1"/>
  <c r="Q934" i="1"/>
  <c r="Q923" i="1"/>
  <c r="Q913" i="1"/>
  <c r="Q891" i="1"/>
  <c r="Q881" i="1"/>
  <c r="Q870" i="1"/>
  <c r="Q859" i="1"/>
  <c r="Q849" i="1"/>
  <c r="Q838" i="1"/>
  <c r="Q827" i="1"/>
  <c r="Q817" i="1"/>
  <c r="Q785" i="1"/>
  <c r="Q774" i="1"/>
  <c r="Q708" i="1"/>
  <c r="Q686" i="1"/>
  <c r="Q644" i="1"/>
  <c r="Q620" i="1"/>
  <c r="Q590" i="1"/>
  <c r="Q562" i="1"/>
  <c r="Q505" i="1"/>
  <c r="Q477" i="1"/>
  <c r="Q449" i="1"/>
  <c r="Q420" i="1"/>
  <c r="Q392" i="1"/>
  <c r="Q319" i="1"/>
  <c r="Q261" i="1"/>
  <c r="Q207" i="1"/>
  <c r="Q872" i="1"/>
  <c r="Q797" i="1"/>
  <c r="Q667" i="1"/>
  <c r="Q764" i="1"/>
  <c r="Q680" i="1"/>
  <c r="Q638" i="1"/>
  <c r="Q607" i="1"/>
  <c r="Q748" i="1"/>
  <c r="Q432" i="1"/>
  <c r="Q414" i="1"/>
  <c r="Q363" i="1"/>
  <c r="Q571" i="1"/>
  <c r="Q474" i="1"/>
  <c r="Q353" i="1"/>
  <c r="Q660" i="1"/>
  <c r="Q501" i="1"/>
  <c r="Q898" i="1"/>
  <c r="Q335" i="1"/>
  <c r="Q782" i="1"/>
  <c r="Q793" i="1"/>
  <c r="Q298" i="1"/>
  <c r="Q900" i="1"/>
  <c r="Q268" i="1"/>
  <c r="Q840" i="1"/>
  <c r="Q239" i="1"/>
  <c r="Q661" i="1"/>
  <c r="Q568" i="1"/>
  <c r="Q218" i="1"/>
  <c r="Q317" i="1"/>
  <c r="Q655" i="1"/>
  <c r="Q197" i="1"/>
  <c r="Q249" i="1"/>
  <c r="Q241" i="1"/>
  <c r="Q168" i="1"/>
  <c r="Q368" i="1"/>
  <c r="Q714" i="1"/>
  <c r="Q140" i="1"/>
  <c r="Q503" i="1"/>
  <c r="Q572" i="1"/>
  <c r="Q612" i="1"/>
  <c r="Q721" i="1"/>
  <c r="Q132" i="1"/>
  <c r="Q113" i="1"/>
  <c r="Q346" i="1"/>
  <c r="Q124" i="1"/>
  <c r="Q104" i="1"/>
  <c r="Q469" i="1"/>
  <c r="Q812" i="1"/>
  <c r="Q935" i="1"/>
  <c r="Q90" i="1"/>
  <c r="Q715" i="1"/>
  <c r="Q445" i="1"/>
  <c r="Q752" i="1"/>
  <c r="Q194" i="1"/>
  <c r="Q71" i="1"/>
  <c r="Q646" i="1"/>
  <c r="Q862" i="1"/>
  <c r="Q937" i="1"/>
  <c r="Q654" i="1"/>
  <c r="Q406" i="1"/>
  <c r="Q121" i="1"/>
  <c r="M341" i="4"/>
  <c r="L341" i="4"/>
  <c r="M325" i="4"/>
  <c r="L325" i="4"/>
  <c r="L313" i="4"/>
  <c r="N313" i="4"/>
  <c r="Q916" i="1"/>
  <c r="Q970" i="1"/>
  <c r="Q940" i="1"/>
  <c r="Q823" i="1"/>
  <c r="Q743" i="1"/>
  <c r="Q693" i="1"/>
  <c r="Q637" i="1"/>
  <c r="Q925" i="1"/>
  <c r="Q622" i="1"/>
  <c r="Q946" i="1"/>
  <c r="Q614" i="1"/>
  <c r="Q734" i="1"/>
  <c r="Q759" i="1"/>
  <c r="Q990" i="1"/>
  <c r="Q735" i="1"/>
  <c r="Q786" i="1"/>
  <c r="Q659" i="1"/>
  <c r="Q681" i="1"/>
  <c r="Q639" i="1"/>
  <c r="Q962" i="1"/>
  <c r="Q616" i="1"/>
  <c r="Q966" i="1"/>
  <c r="Q567" i="1"/>
  <c r="Q986" i="1"/>
  <c r="Q536" i="1"/>
  <c r="Q737" i="1"/>
  <c r="Q581" i="1"/>
  <c r="Q529" i="1"/>
  <c r="Q493" i="1"/>
  <c r="Q730" i="1"/>
  <c r="Q594" i="1"/>
  <c r="Q758" i="1"/>
  <c r="Q892" i="1"/>
  <c r="Q683" i="1"/>
  <c r="Q457" i="1"/>
  <c r="Q539" i="1"/>
  <c r="Q586" i="1"/>
  <c r="Q440" i="1"/>
  <c r="Q878" i="1"/>
  <c r="Q417" i="1"/>
  <c r="Q880" i="1"/>
  <c r="Q470" i="1"/>
  <c r="Q403" i="1"/>
  <c r="Q867" i="1"/>
  <c r="Q510" i="1"/>
  <c r="Q398" i="1"/>
  <c r="Q379" i="1"/>
  <c r="Q499" i="1"/>
  <c r="Q731" i="1"/>
  <c r="Q570" i="1"/>
  <c r="Q739" i="1"/>
  <c r="Q349" i="1"/>
  <c r="Q343" i="1"/>
  <c r="Q672" i="1"/>
  <c r="Q338" i="1"/>
  <c r="Q557" i="1"/>
  <c r="Q329" i="1"/>
  <c r="Q961" i="1"/>
  <c r="Q324" i="1"/>
  <c r="Q813" i="1"/>
  <c r="Q994" i="1"/>
  <c r="Q295" i="1"/>
  <c r="Q427" i="1"/>
  <c r="Q288" i="1"/>
  <c r="Q509" i="1"/>
  <c r="Q820" i="1"/>
  <c r="Q691" i="1"/>
  <c r="Q723" i="1"/>
  <c r="Q393" i="1"/>
  <c r="Q276" i="1"/>
  <c r="Q270" i="1"/>
  <c r="Q868" i="1"/>
  <c r="Q480" i="1"/>
  <c r="Q265" i="1"/>
  <c r="Q725" i="1"/>
  <c r="Q944" i="1"/>
  <c r="Q242" i="1"/>
  <c r="Q997" i="1"/>
  <c r="Q234" i="1"/>
  <c r="Q993" i="1"/>
  <c r="Q326" i="1"/>
  <c r="Q227" i="1"/>
  <c r="Q951" i="1"/>
  <c r="Q289" i="1"/>
  <c r="Q375" i="1"/>
  <c r="Q634" i="1"/>
  <c r="Q871" i="1"/>
  <c r="Q219" i="1"/>
  <c r="Q437" i="1"/>
  <c r="Q212" i="1"/>
  <c r="Q689" i="1"/>
  <c r="Q206" i="1"/>
  <c r="Q973" i="1"/>
  <c r="Q280" i="1"/>
  <c r="Q192" i="1"/>
  <c r="Q177" i="1"/>
  <c r="Q888" i="1"/>
  <c r="Q513" i="1"/>
  <c r="Q173" i="1"/>
  <c r="Q602" i="1"/>
  <c r="Q618" i="1"/>
  <c r="Q169" i="1"/>
  <c r="Q330" i="1"/>
  <c r="Q284" i="1"/>
  <c r="Q163" i="1"/>
  <c r="Q188" i="1"/>
  <c r="Q380" i="1"/>
  <c r="Q155" i="1"/>
  <c r="Q278" i="1"/>
  <c r="Q141" i="1"/>
  <c r="Q240" i="1"/>
  <c r="Q893" i="1"/>
  <c r="Q515" i="1"/>
  <c r="Q137" i="1"/>
  <c r="Q500" i="1"/>
  <c r="Q824" i="1"/>
  <c r="Q133" i="1"/>
  <c r="Q129" i="1"/>
  <c r="Q763" i="1"/>
  <c r="Q597" i="1"/>
  <c r="Q122" i="1"/>
  <c r="Q387" i="1"/>
  <c r="Q118" i="1"/>
  <c r="Q803" i="1"/>
  <c r="Q114" i="1"/>
  <c r="Q358" i="1"/>
  <c r="L333" i="4"/>
  <c r="L301" i="4"/>
  <c r="L269" i="4"/>
  <c r="L237" i="4"/>
  <c r="L205" i="4"/>
  <c r="L173" i="4"/>
  <c r="L141" i="4"/>
  <c r="L109" i="4"/>
  <c r="L77" i="4"/>
  <c r="L45" i="4"/>
  <c r="L13" i="4"/>
  <c r="M429" i="4"/>
  <c r="M397" i="4"/>
  <c r="M365" i="4"/>
  <c r="M333" i="4"/>
  <c r="M301" i="4"/>
  <c r="M269" i="4"/>
  <c r="M237" i="4"/>
  <c r="M205" i="4"/>
  <c r="M173" i="4"/>
  <c r="M141" i="4"/>
  <c r="M109" i="4"/>
  <c r="M77" i="4"/>
  <c r="M45" i="4"/>
  <c r="M13" i="4"/>
  <c r="N405" i="4"/>
  <c r="N373" i="4"/>
  <c r="N341" i="4"/>
  <c r="N309" i="4"/>
  <c r="N277" i="4"/>
  <c r="N245" i="4"/>
  <c r="N213" i="4"/>
  <c r="N181" i="4"/>
  <c r="N149" i="4"/>
  <c r="N117" i="4"/>
  <c r="N85" i="4"/>
  <c r="N53" i="4"/>
  <c r="N21" i="4"/>
  <c r="Q995" i="1"/>
  <c r="Q987" i="1"/>
  <c r="Q979" i="1"/>
  <c r="Q971" i="1"/>
  <c r="Q963" i="1"/>
  <c r="Q954" i="1"/>
  <c r="Q943" i="1"/>
  <c r="Q933" i="1"/>
  <c r="Q922" i="1"/>
  <c r="Q911" i="1"/>
  <c r="Q901" i="1"/>
  <c r="Q879" i="1"/>
  <c r="Q869" i="1"/>
  <c r="Q847" i="1"/>
  <c r="Q837" i="1"/>
  <c r="Q805" i="1"/>
  <c r="Q794" i="1"/>
  <c r="Q783" i="1"/>
  <c r="Q773" i="1"/>
  <c r="Q761" i="1"/>
  <c r="Q746" i="1"/>
  <c r="Q728" i="1"/>
  <c r="Q706" i="1"/>
  <c r="Q685" i="1"/>
  <c r="Q664" i="1"/>
  <c r="Q642" i="1"/>
  <c r="Q617" i="1"/>
  <c r="Q589" i="1"/>
  <c r="Q561" i="1"/>
  <c r="Q532" i="1"/>
  <c r="Q504" i="1"/>
  <c r="Q476" i="1"/>
  <c r="Q446" i="1"/>
  <c r="Q418" i="1"/>
  <c r="Q361" i="1"/>
  <c r="Q315" i="1"/>
  <c r="Q260" i="1"/>
  <c r="Q144" i="1"/>
  <c r="Q89" i="1"/>
  <c r="Q215" i="1"/>
  <c r="Q147" i="1"/>
  <c r="Q373" i="1"/>
  <c r="Q146" i="1"/>
  <c r="Q321" i="1"/>
  <c r="Q95" i="1"/>
  <c r="Q87" i="1"/>
  <c r="Q347" i="1"/>
  <c r="Q208" i="1"/>
  <c r="Q246" i="1"/>
  <c r="Q77" i="1"/>
  <c r="Q475" i="1"/>
  <c r="Q719" i="1"/>
  <c r="Q238" i="1"/>
  <c r="Q55" i="1"/>
  <c r="Q51" i="1"/>
  <c r="Q647" i="1"/>
  <c r="Q629" i="1"/>
  <c r="Q223" i="1"/>
  <c r="Q45" i="1"/>
  <c r="Q341" i="1"/>
  <c r="Q41" i="1"/>
  <c r="Q904" i="1"/>
  <c r="Q200" i="1"/>
  <c r="Q21" i="1"/>
  <c r="Q485" i="1"/>
  <c r="Q17" i="1"/>
  <c r="Q415" i="1"/>
  <c r="Q522" i="1"/>
  <c r="Q502" i="1"/>
  <c r="Q506" i="1"/>
  <c r="Q9" i="1"/>
  <c r="Q472" i="1"/>
  <c r="Q543" i="1"/>
  <c r="Q636" i="1"/>
  <c r="Q910" i="1"/>
  <c r="Q873" i="1"/>
  <c r="Q798" i="1"/>
  <c r="Q771" i="1"/>
  <c r="Q670" i="1"/>
  <c r="Q598" i="1"/>
  <c r="Q541" i="1"/>
  <c r="Q484" i="1"/>
  <c r="Q428" i="1"/>
  <c r="Q191" i="1"/>
  <c r="Q105" i="1"/>
  <c r="Q554" i="1"/>
  <c r="Q630" i="1"/>
  <c r="Q264" i="1"/>
  <c r="Q32" i="1"/>
  <c r="Q28" i="1"/>
  <c r="Q245" i="1"/>
  <c r="Q50" i="1"/>
  <c r="Q312" i="1"/>
  <c r="Q8" i="1"/>
  <c r="Q603" i="1"/>
  <c r="Q780" i="1"/>
  <c r="Q479" i="1"/>
  <c r="Q550" i="1"/>
  <c r="Q957" i="1"/>
  <c r="Q909" i="1"/>
  <c r="Q818" i="1"/>
  <c r="Q272" i="1"/>
  <c r="Q101" i="1"/>
  <c r="Q47" i="1"/>
  <c r="Q16" i="1"/>
  <c r="E2" i="24"/>
  <c r="P571" i="1"/>
  <c r="P555" i="1"/>
  <c r="P539" i="1"/>
  <c r="P515" i="1"/>
  <c r="P503" i="1"/>
  <c r="P483" i="1"/>
  <c r="P479" i="1"/>
  <c r="P467" i="1"/>
  <c r="P451" i="1"/>
  <c r="P435" i="1"/>
  <c r="P427" i="1"/>
  <c r="P403" i="1"/>
  <c r="P391" i="1"/>
  <c r="P387" i="1"/>
  <c r="P367" i="1"/>
  <c r="P355" i="1"/>
  <c r="P343" i="1"/>
  <c r="P311" i="1"/>
  <c r="P303" i="1"/>
  <c r="P291" i="1"/>
  <c r="P283" i="1"/>
  <c r="P267" i="1"/>
  <c r="P255" i="1"/>
  <c r="P243" i="1"/>
  <c r="P227" i="1"/>
  <c r="P211" i="1"/>
  <c r="P199" i="1"/>
  <c r="P183" i="1"/>
  <c r="P171" i="1"/>
  <c r="P167" i="1"/>
  <c r="P159" i="1"/>
  <c r="P143" i="1"/>
  <c r="P127" i="1"/>
  <c r="P115" i="1"/>
  <c r="P103" i="1"/>
  <c r="P91" i="1"/>
  <c r="P79" i="1"/>
  <c r="P67" i="1"/>
  <c r="P55" i="1"/>
  <c r="P43" i="1"/>
  <c r="P31" i="1"/>
  <c r="P19" i="1"/>
  <c r="P7" i="1"/>
  <c r="P991" i="1"/>
  <c r="P951" i="1"/>
  <c r="P939" i="1"/>
  <c r="P919" i="1"/>
  <c r="P907" i="1"/>
  <c r="P871" i="1"/>
  <c r="P859" i="1"/>
  <c r="P795" i="1"/>
  <c r="P779" i="1"/>
  <c r="P759" i="1"/>
  <c r="P743" i="1"/>
  <c r="P731" i="1"/>
  <c r="P699" i="1"/>
  <c r="P691" i="1"/>
  <c r="P663" i="1"/>
  <c r="P647" i="1"/>
  <c r="P619" i="1"/>
  <c r="P611" i="1"/>
  <c r="P595" i="1"/>
  <c r="P583" i="1"/>
  <c r="P563" i="1"/>
  <c r="P547" i="1"/>
  <c r="P531" i="1"/>
  <c r="P523" i="1"/>
  <c r="P495" i="1"/>
  <c r="P487" i="1"/>
  <c r="P471" i="1"/>
  <c r="P463" i="1"/>
  <c r="P455" i="1"/>
  <c r="P443" i="1"/>
  <c r="P439" i="1"/>
  <c r="P423" i="1"/>
  <c r="P407" i="1"/>
  <c r="P395" i="1"/>
  <c r="P379" i="1"/>
  <c r="P371" i="1"/>
  <c r="P359" i="1"/>
  <c r="P351" i="1"/>
  <c r="P335" i="1"/>
  <c r="P323" i="1"/>
  <c r="P307" i="1"/>
  <c r="P295" i="1"/>
  <c r="P279" i="1"/>
  <c r="P275" i="1"/>
  <c r="P263" i="1"/>
  <c r="P251" i="1"/>
  <c r="P239" i="1"/>
  <c r="P231" i="1"/>
  <c r="P223" i="1"/>
  <c r="P215" i="1"/>
  <c r="P195" i="1"/>
  <c r="P187" i="1"/>
  <c r="P175" i="1"/>
  <c r="P155" i="1"/>
  <c r="P139" i="1"/>
  <c r="P131" i="1"/>
  <c r="P119" i="1"/>
  <c r="P111" i="1"/>
  <c r="P99" i="1"/>
  <c r="P87" i="1"/>
  <c r="P75" i="1"/>
  <c r="P63" i="1"/>
  <c r="P51" i="1"/>
  <c r="P39" i="1"/>
  <c r="P27" i="1"/>
  <c r="P15" i="1"/>
  <c r="P3" i="1"/>
  <c r="P994" i="1"/>
  <c r="P986" i="1"/>
  <c r="P978" i="1"/>
  <c r="P970" i="1"/>
  <c r="P966" i="1"/>
  <c r="P962" i="1"/>
  <c r="P958" i="1"/>
  <c r="P954" i="1"/>
  <c r="P950" i="1"/>
  <c r="P946" i="1"/>
  <c r="P942" i="1"/>
  <c r="P938" i="1"/>
  <c r="P934" i="1"/>
  <c r="P930" i="1"/>
  <c r="P926" i="1"/>
  <c r="P922" i="1"/>
  <c r="P918" i="1"/>
  <c r="P914" i="1"/>
  <c r="P910" i="1"/>
  <c r="P906" i="1"/>
  <c r="P902" i="1"/>
  <c r="P898" i="1"/>
  <c r="P894" i="1"/>
  <c r="P890" i="1"/>
  <c r="P886" i="1"/>
  <c r="P882" i="1"/>
  <c r="P878" i="1"/>
  <c r="P874" i="1"/>
  <c r="P870" i="1"/>
  <c r="P866" i="1"/>
  <c r="P862" i="1"/>
  <c r="P858" i="1"/>
  <c r="P854" i="1"/>
  <c r="P850" i="1"/>
  <c r="P846" i="1"/>
  <c r="P842" i="1"/>
  <c r="P838" i="1"/>
  <c r="P834" i="1"/>
  <c r="P830" i="1"/>
  <c r="P826" i="1"/>
  <c r="P822" i="1"/>
  <c r="P818" i="1"/>
  <c r="P814" i="1"/>
  <c r="P810" i="1"/>
  <c r="P806" i="1"/>
  <c r="P802" i="1"/>
  <c r="P798" i="1"/>
  <c r="P794" i="1"/>
  <c r="P790" i="1"/>
  <c r="P786" i="1"/>
  <c r="P782" i="1"/>
  <c r="P778" i="1"/>
  <c r="P774" i="1"/>
  <c r="P770" i="1"/>
  <c r="P766" i="1"/>
  <c r="P762" i="1"/>
  <c r="P758" i="1"/>
  <c r="P754" i="1"/>
  <c r="P750" i="1"/>
  <c r="P746" i="1"/>
  <c r="P742" i="1"/>
  <c r="P738" i="1"/>
  <c r="P734" i="1"/>
  <c r="P730" i="1"/>
  <c r="P726" i="1"/>
  <c r="P722" i="1"/>
  <c r="P718" i="1"/>
  <c r="P714" i="1"/>
  <c r="P710" i="1"/>
  <c r="P706" i="1"/>
  <c r="P702" i="1"/>
  <c r="P698" i="1"/>
  <c r="P694" i="1"/>
  <c r="P690" i="1"/>
  <c r="P686" i="1"/>
  <c r="P682" i="1"/>
  <c r="P678" i="1"/>
  <c r="P674" i="1"/>
  <c r="P670" i="1"/>
  <c r="P666" i="1"/>
  <c r="P662" i="1"/>
  <c r="P658" i="1"/>
  <c r="P654" i="1"/>
  <c r="P650" i="1"/>
  <c r="P646" i="1"/>
  <c r="P642" i="1"/>
  <c r="P638" i="1"/>
  <c r="P634" i="1"/>
  <c r="P630" i="1"/>
  <c r="P626" i="1"/>
  <c r="P622" i="1"/>
  <c r="P618" i="1"/>
  <c r="P614" i="1"/>
  <c r="P610" i="1"/>
  <c r="P606" i="1"/>
  <c r="P602" i="1"/>
  <c r="P598" i="1"/>
  <c r="P594" i="1"/>
  <c r="P590" i="1"/>
  <c r="P586" i="1"/>
  <c r="P582" i="1"/>
  <c r="P578" i="1"/>
  <c r="P574" i="1"/>
  <c r="P570" i="1"/>
  <c r="P566" i="1"/>
  <c r="P562" i="1"/>
  <c r="P558" i="1"/>
  <c r="P554" i="1"/>
  <c r="P550" i="1"/>
  <c r="P546" i="1"/>
  <c r="P542" i="1"/>
  <c r="P538" i="1"/>
  <c r="P534" i="1"/>
  <c r="P530" i="1"/>
  <c r="P526" i="1"/>
  <c r="P522" i="1"/>
  <c r="P518" i="1"/>
  <c r="P514" i="1"/>
  <c r="P510" i="1"/>
  <c r="P506" i="1"/>
  <c r="P502" i="1"/>
  <c r="P498" i="1"/>
  <c r="P494" i="1"/>
  <c r="P490" i="1"/>
  <c r="P486" i="1"/>
  <c r="P482" i="1"/>
  <c r="P474" i="1"/>
  <c r="P470" i="1"/>
  <c r="P466" i="1"/>
  <c r="P458" i="1"/>
  <c r="P454" i="1"/>
  <c r="P450" i="1"/>
  <c r="P446" i="1"/>
  <c r="P438" i="1"/>
  <c r="P434" i="1"/>
  <c r="P426" i="1"/>
  <c r="P422" i="1"/>
  <c r="P418" i="1"/>
  <c r="P414" i="1"/>
  <c r="P406" i="1"/>
  <c r="P402" i="1"/>
  <c r="P394" i="1"/>
  <c r="P390" i="1"/>
  <c r="P386" i="1"/>
  <c r="P382" i="1"/>
  <c r="P374" i="1"/>
  <c r="P370" i="1"/>
  <c r="P362" i="1"/>
  <c r="P358" i="1"/>
  <c r="P354" i="1"/>
  <c r="P350" i="1"/>
  <c r="P342" i="1"/>
  <c r="P338" i="1"/>
  <c r="P334" i="1"/>
  <c r="P330" i="1"/>
  <c r="P326" i="1"/>
  <c r="P322" i="1"/>
  <c r="P318" i="1"/>
  <c r="P314" i="1"/>
  <c r="P310" i="1"/>
  <c r="P306" i="1"/>
  <c r="P302" i="1"/>
  <c r="P298" i="1"/>
  <c r="P294" i="1"/>
  <c r="P290" i="1"/>
  <c r="P286" i="1"/>
  <c r="P282" i="1"/>
  <c r="P278" i="1"/>
  <c r="P274" i="1"/>
  <c r="P270" i="1"/>
  <c r="P266" i="1"/>
  <c r="P258" i="1"/>
  <c r="P254" i="1"/>
  <c r="P250" i="1"/>
  <c r="P242" i="1"/>
  <c r="P238" i="1"/>
  <c r="P230" i="1"/>
  <c r="P226" i="1"/>
  <c r="P222" i="1"/>
  <c r="P218" i="1"/>
  <c r="P214" i="1"/>
  <c r="P210" i="1"/>
  <c r="P206" i="1"/>
  <c r="P202" i="1"/>
  <c r="P198" i="1"/>
  <c r="P194" i="1"/>
  <c r="P190" i="1"/>
  <c r="P186" i="1"/>
  <c r="P182" i="1"/>
  <c r="P178" i="1"/>
  <c r="P174" i="1"/>
  <c r="P170" i="1"/>
  <c r="P166" i="1"/>
  <c r="P162" i="1"/>
  <c r="P158" i="1"/>
  <c r="P154" i="1"/>
  <c r="P150" i="1"/>
  <c r="P146" i="1"/>
  <c r="P142" i="1"/>
  <c r="P138" i="1"/>
  <c r="P134" i="1"/>
  <c r="P130" i="1"/>
  <c r="P126" i="1"/>
  <c r="P122" i="1"/>
  <c r="P118" i="1"/>
  <c r="P114" i="1"/>
  <c r="P110" i="1"/>
  <c r="P106" i="1"/>
  <c r="P102" i="1"/>
  <c r="P98" i="1"/>
  <c r="P94" i="1"/>
  <c r="P90" i="1"/>
  <c r="P86" i="1"/>
  <c r="P82" i="1"/>
  <c r="P78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P18" i="1"/>
  <c r="P14" i="1"/>
  <c r="P10" i="1"/>
  <c r="P6" i="1"/>
  <c r="P2" i="1"/>
  <c r="P995" i="1"/>
  <c r="P987" i="1"/>
  <c r="P967" i="1"/>
  <c r="P955" i="1"/>
  <c r="P935" i="1"/>
  <c r="P887" i="1"/>
  <c r="P875" i="1"/>
  <c r="P839" i="1"/>
  <c r="P823" i="1"/>
  <c r="P807" i="1"/>
  <c r="P763" i="1"/>
  <c r="P739" i="1"/>
  <c r="P727" i="1"/>
  <c r="P715" i="1"/>
  <c r="P711" i="1"/>
  <c r="P707" i="1"/>
  <c r="P695" i="1"/>
  <c r="P683" i="1"/>
  <c r="P667" i="1"/>
  <c r="P651" i="1"/>
  <c r="P643" i="1"/>
  <c r="P635" i="1"/>
  <c r="P627" i="1"/>
  <c r="P615" i="1"/>
  <c r="P599" i="1"/>
  <c r="P587" i="1"/>
  <c r="P579" i="1"/>
  <c r="P567" i="1"/>
  <c r="P551" i="1"/>
  <c r="P535" i="1"/>
  <c r="P519" i="1"/>
  <c r="P507" i="1"/>
  <c r="P499" i="1"/>
  <c r="P491" i="1"/>
  <c r="P475" i="1"/>
  <c r="P459" i="1"/>
  <c r="P447" i="1"/>
  <c r="P431" i="1"/>
  <c r="P419" i="1"/>
  <c r="P415" i="1"/>
  <c r="P411" i="1"/>
  <c r="P399" i="1"/>
  <c r="P383" i="1"/>
  <c r="P375" i="1"/>
  <c r="P363" i="1"/>
  <c r="P347" i="1"/>
  <c r="P339" i="1"/>
  <c r="P327" i="1"/>
  <c r="P315" i="1"/>
  <c r="P299" i="1"/>
  <c r="P287" i="1"/>
  <c r="P271" i="1"/>
  <c r="P259" i="1"/>
  <c r="P247" i="1"/>
  <c r="P235" i="1"/>
  <c r="P207" i="1"/>
  <c r="P179" i="1"/>
  <c r="P163" i="1"/>
  <c r="P151" i="1"/>
  <c r="P147" i="1"/>
  <c r="P135" i="1"/>
  <c r="P123" i="1"/>
  <c r="P107" i="1"/>
  <c r="P95" i="1"/>
  <c r="P83" i="1"/>
  <c r="P71" i="1"/>
  <c r="P59" i="1"/>
  <c r="P47" i="1"/>
  <c r="P35" i="1"/>
  <c r="P23" i="1"/>
  <c r="P11" i="1"/>
  <c r="P998" i="1"/>
  <c r="P990" i="1"/>
  <c r="P982" i="1"/>
  <c r="P974" i="1"/>
  <c r="P981" i="1"/>
  <c r="P977" i="1"/>
  <c r="P965" i="1"/>
  <c r="P961" i="1"/>
  <c r="P949" i="1"/>
  <c r="P945" i="1"/>
  <c r="P933" i="1"/>
  <c r="P929" i="1"/>
  <c r="P917" i="1"/>
  <c r="P913" i="1"/>
  <c r="P901" i="1"/>
  <c r="P897" i="1"/>
  <c r="P885" i="1"/>
  <c r="P881" i="1"/>
  <c r="P869" i="1"/>
  <c r="P865" i="1"/>
  <c r="P853" i="1"/>
  <c r="P849" i="1"/>
  <c r="P837" i="1"/>
  <c r="P833" i="1"/>
  <c r="P821" i="1"/>
  <c r="P817" i="1"/>
  <c r="P805" i="1"/>
  <c r="P801" i="1"/>
  <c r="P789" i="1"/>
  <c r="P785" i="1"/>
  <c r="P773" i="1"/>
  <c r="P769" i="1"/>
  <c r="P765" i="1"/>
  <c r="P757" i="1"/>
  <c r="P753" i="1"/>
  <c r="P749" i="1"/>
  <c r="P741" i="1"/>
  <c r="P737" i="1"/>
  <c r="P733" i="1"/>
  <c r="P725" i="1"/>
  <c r="P721" i="1"/>
  <c r="P717" i="1"/>
  <c r="P709" i="1"/>
  <c r="P705" i="1"/>
  <c r="P701" i="1"/>
  <c r="P693" i="1"/>
  <c r="P689" i="1"/>
  <c r="P685" i="1"/>
  <c r="P677" i="1"/>
  <c r="P673" i="1"/>
  <c r="P669" i="1"/>
  <c r="P661" i="1"/>
  <c r="P657" i="1"/>
  <c r="P653" i="1"/>
  <c r="P645" i="1"/>
  <c r="P641" i="1"/>
  <c r="P637" i="1"/>
  <c r="P629" i="1"/>
  <c r="P625" i="1"/>
  <c r="P621" i="1"/>
  <c r="P613" i="1"/>
  <c r="P609" i="1"/>
  <c r="P605" i="1"/>
  <c r="P597" i="1"/>
  <c r="P593" i="1"/>
  <c r="P589" i="1"/>
  <c r="P581" i="1"/>
  <c r="P577" i="1"/>
  <c r="P573" i="1"/>
  <c r="P565" i="1"/>
  <c r="P561" i="1"/>
  <c r="P557" i="1"/>
  <c r="P549" i="1"/>
  <c r="P545" i="1"/>
  <c r="P541" i="1"/>
  <c r="P533" i="1"/>
  <c r="P529" i="1"/>
  <c r="P525" i="1"/>
  <c r="P517" i="1"/>
  <c r="P513" i="1"/>
  <c r="P509" i="1"/>
  <c r="P501" i="1"/>
  <c r="P497" i="1"/>
  <c r="P489" i="1"/>
  <c r="P481" i="1"/>
  <c r="P477" i="1"/>
  <c r="P473" i="1"/>
  <c r="P469" i="1"/>
  <c r="P465" i="1"/>
  <c r="P461" i="1"/>
  <c r="P457" i="1"/>
  <c r="P449" i="1"/>
  <c r="P445" i="1"/>
  <c r="P441" i="1"/>
  <c r="P437" i="1"/>
  <c r="P433" i="1"/>
  <c r="P429" i="1"/>
  <c r="P425" i="1"/>
  <c r="P417" i="1"/>
  <c r="P413" i="1"/>
  <c r="P409" i="1"/>
  <c r="P405" i="1"/>
  <c r="P401" i="1"/>
  <c r="P397" i="1"/>
  <c r="P393" i="1"/>
  <c r="P385" i="1"/>
  <c r="P381" i="1"/>
  <c r="P377" i="1"/>
  <c r="P373" i="1"/>
  <c r="P369" i="1"/>
  <c r="P365" i="1"/>
  <c r="P361" i="1"/>
  <c r="P353" i="1"/>
  <c r="P349" i="1"/>
  <c r="P345" i="1"/>
  <c r="P341" i="1"/>
  <c r="P337" i="1"/>
  <c r="P333" i="1"/>
  <c r="P329" i="1"/>
  <c r="P325" i="1"/>
  <c r="P321" i="1"/>
  <c r="P317" i="1"/>
  <c r="P313" i="1"/>
  <c r="P309" i="1"/>
  <c r="P305" i="1"/>
  <c r="P301" i="1"/>
  <c r="P297" i="1"/>
  <c r="P293" i="1"/>
  <c r="P289" i="1"/>
  <c r="P285" i="1"/>
  <c r="P281" i="1"/>
  <c r="P277" i="1"/>
  <c r="P273" i="1"/>
  <c r="P269" i="1"/>
  <c r="P265" i="1"/>
  <c r="P261" i="1"/>
  <c r="P257" i="1"/>
  <c r="P253" i="1"/>
  <c r="P249" i="1"/>
  <c r="P245" i="1"/>
  <c r="P241" i="1"/>
  <c r="P237" i="1"/>
  <c r="P233" i="1"/>
  <c r="P229" i="1"/>
  <c r="P225" i="1"/>
  <c r="P221" i="1"/>
  <c r="P217" i="1"/>
  <c r="P213" i="1"/>
  <c r="P209" i="1"/>
  <c r="P205" i="1"/>
  <c r="P201" i="1"/>
  <c r="P197" i="1"/>
  <c r="P193" i="1"/>
  <c r="P189" i="1"/>
  <c r="P185" i="1"/>
  <c r="P181" i="1"/>
  <c r="P177" i="1"/>
  <c r="P173" i="1"/>
  <c r="P169" i="1"/>
  <c r="P165" i="1"/>
  <c r="P161" i="1"/>
  <c r="P157" i="1"/>
  <c r="P153" i="1"/>
  <c r="P149" i="1"/>
  <c r="P145" i="1"/>
  <c r="P141" i="1"/>
  <c r="P137" i="1"/>
  <c r="P133" i="1"/>
  <c r="P129" i="1"/>
  <c r="P125" i="1"/>
  <c r="P121" i="1"/>
  <c r="P117" i="1"/>
  <c r="P113" i="1"/>
  <c r="P109" i="1"/>
  <c r="P105" i="1"/>
  <c r="P101" i="1"/>
  <c r="P97" i="1"/>
  <c r="P93" i="1"/>
  <c r="P89" i="1"/>
  <c r="P85" i="1"/>
  <c r="P81" i="1"/>
  <c r="P77" i="1"/>
  <c r="P73" i="1"/>
  <c r="P69" i="1"/>
  <c r="P65" i="1"/>
  <c r="P61" i="1"/>
  <c r="P57" i="1"/>
  <c r="P53" i="1"/>
  <c r="P49" i="1"/>
  <c r="P45" i="1"/>
  <c r="P41" i="1"/>
  <c r="P37" i="1"/>
  <c r="P33" i="1"/>
  <c r="P29" i="1"/>
  <c r="P25" i="1"/>
  <c r="P21" i="1"/>
  <c r="P17" i="1"/>
  <c r="P13" i="1"/>
  <c r="P9" i="1"/>
  <c r="P5" i="1"/>
  <c r="P999" i="1"/>
  <c r="P983" i="1"/>
  <c r="P971" i="1"/>
  <c r="P923" i="1"/>
  <c r="P903" i="1"/>
  <c r="P891" i="1"/>
  <c r="P855" i="1"/>
  <c r="P843" i="1"/>
  <c r="P827" i="1"/>
  <c r="P811" i="1"/>
  <c r="P791" i="1"/>
  <c r="P775" i="1"/>
  <c r="P755" i="1"/>
  <c r="P747" i="1"/>
  <c r="P723" i="1"/>
  <c r="P679" i="1"/>
  <c r="P675" i="1"/>
  <c r="P659" i="1"/>
  <c r="P631" i="1"/>
  <c r="P603" i="1"/>
  <c r="P976" i="1"/>
  <c r="P972" i="1"/>
  <c r="P960" i="1"/>
  <c r="P956" i="1"/>
  <c r="P944" i="1"/>
  <c r="P940" i="1"/>
  <c r="P928" i="1"/>
  <c r="P924" i="1"/>
  <c r="P912" i="1"/>
  <c r="P908" i="1"/>
  <c r="P896" i="1"/>
  <c r="P892" i="1"/>
  <c r="P880" i="1"/>
  <c r="P876" i="1"/>
  <c r="P864" i="1"/>
  <c r="P860" i="1"/>
  <c r="P848" i="1"/>
  <c r="P844" i="1"/>
  <c r="P832" i="1"/>
  <c r="P828" i="1"/>
  <c r="P816" i="1"/>
  <c r="P812" i="1"/>
  <c r="P800" i="1"/>
  <c r="P796" i="1"/>
  <c r="P784" i="1"/>
  <c r="P780" i="1"/>
  <c r="P768" i="1"/>
  <c r="P764" i="1"/>
  <c r="P760" i="1"/>
  <c r="P752" i="1"/>
  <c r="P748" i="1"/>
  <c r="P744" i="1"/>
  <c r="P736" i="1"/>
  <c r="P732" i="1"/>
  <c r="P728" i="1"/>
  <c r="P720" i="1"/>
  <c r="P716" i="1"/>
  <c r="P712" i="1"/>
  <c r="P704" i="1"/>
  <c r="P700" i="1"/>
  <c r="P696" i="1"/>
  <c r="P688" i="1"/>
  <c r="P684" i="1"/>
  <c r="P680" i="1"/>
  <c r="P672" i="1"/>
  <c r="P668" i="1"/>
  <c r="P664" i="1"/>
  <c r="P656" i="1"/>
  <c r="P652" i="1"/>
  <c r="P648" i="1"/>
  <c r="P640" i="1"/>
  <c r="P636" i="1"/>
  <c r="P632" i="1"/>
  <c r="P624" i="1"/>
  <c r="P620" i="1"/>
  <c r="P616" i="1"/>
  <c r="P608" i="1"/>
  <c r="P604" i="1"/>
  <c r="P600" i="1"/>
  <c r="P592" i="1"/>
  <c r="P588" i="1"/>
  <c r="P584" i="1"/>
  <c r="P576" i="1"/>
  <c r="P572" i="1"/>
  <c r="P568" i="1"/>
  <c r="P560" i="1"/>
  <c r="P556" i="1"/>
  <c r="P552" i="1"/>
  <c r="P544" i="1"/>
  <c r="P540" i="1"/>
  <c r="P536" i="1"/>
  <c r="P528" i="1"/>
  <c r="P524" i="1"/>
  <c r="P520" i="1"/>
  <c r="P512" i="1"/>
  <c r="P508" i="1"/>
  <c r="P504" i="1"/>
  <c r="P496" i="1"/>
  <c r="P492" i="1"/>
  <c r="P488" i="1"/>
  <c r="P484" i="1"/>
  <c r="P480" i="1"/>
  <c r="P476" i="1"/>
  <c r="P468" i="1"/>
  <c r="P464" i="1"/>
  <c r="P460" i="1"/>
  <c r="P456" i="1"/>
  <c r="P452" i="1"/>
  <c r="P448" i="1"/>
  <c r="P444" i="1"/>
  <c r="P440" i="1"/>
  <c r="P436" i="1"/>
  <c r="P432" i="1"/>
  <c r="P428" i="1"/>
  <c r="P424" i="1"/>
  <c r="P420" i="1"/>
  <c r="P416" i="1"/>
  <c r="P412" i="1"/>
  <c r="P408" i="1"/>
  <c r="P404" i="1"/>
  <c r="P400" i="1"/>
  <c r="P396" i="1"/>
  <c r="P392" i="1"/>
  <c r="P388" i="1"/>
  <c r="P384" i="1"/>
  <c r="P380" i="1"/>
  <c r="P376" i="1"/>
  <c r="P372" i="1"/>
  <c r="P368" i="1"/>
  <c r="P364" i="1"/>
  <c r="P360" i="1"/>
  <c r="P356" i="1"/>
  <c r="P352" i="1"/>
  <c r="P348" i="1"/>
  <c r="P344" i="1"/>
  <c r="P340" i="1"/>
  <c r="P336" i="1"/>
  <c r="P332" i="1"/>
  <c r="P328" i="1"/>
  <c r="P324" i="1"/>
  <c r="P320" i="1"/>
  <c r="P316" i="1"/>
  <c r="P312" i="1"/>
  <c r="P308" i="1"/>
  <c r="P300" i="1"/>
  <c r="P296" i="1"/>
  <c r="P292" i="1"/>
  <c r="P284" i="1"/>
  <c r="P280" i="1"/>
  <c r="P272" i="1"/>
  <c r="P268" i="1"/>
  <c r="P264" i="1"/>
  <c r="P260" i="1"/>
  <c r="P256" i="1"/>
  <c r="P252" i="1"/>
  <c r="P248" i="1"/>
  <c r="P244" i="1"/>
  <c r="P240" i="1"/>
  <c r="P236" i="1"/>
  <c r="P232" i="1"/>
  <c r="P228" i="1"/>
  <c r="P224" i="1"/>
  <c r="P220" i="1"/>
  <c r="P216" i="1"/>
  <c r="P212" i="1"/>
  <c r="P208" i="1"/>
  <c r="P204" i="1"/>
  <c r="P200" i="1"/>
  <c r="P196" i="1"/>
  <c r="P192" i="1"/>
  <c r="P188" i="1"/>
  <c r="P184" i="1"/>
  <c r="P180" i="1"/>
  <c r="P172" i="1"/>
  <c r="P168" i="1"/>
  <c r="P164" i="1"/>
  <c r="P156" i="1"/>
  <c r="P152" i="1"/>
  <c r="P148" i="1"/>
  <c r="P144" i="1"/>
  <c r="P140" i="1"/>
  <c r="P136" i="1"/>
  <c r="P128" i="1"/>
  <c r="P124" i="1"/>
  <c r="P120" i="1"/>
  <c r="P116" i="1"/>
  <c r="P112" i="1"/>
  <c r="P108" i="1"/>
  <c r="P104" i="1"/>
  <c r="P96" i="1"/>
  <c r="P92" i="1"/>
  <c r="P88" i="1"/>
  <c r="P84" i="1"/>
  <c r="P80" i="1"/>
  <c r="P76" i="1"/>
  <c r="P72" i="1"/>
  <c r="P64" i="1"/>
  <c r="P60" i="1"/>
  <c r="P56" i="1"/>
  <c r="P52" i="1"/>
  <c r="P48" i="1"/>
  <c r="P44" i="1"/>
  <c r="P40" i="1"/>
  <c r="P32" i="1"/>
  <c r="P28" i="1"/>
  <c r="P24" i="1"/>
  <c r="P20" i="1"/>
  <c r="P16" i="1"/>
  <c r="P12" i="1"/>
  <c r="P8" i="1"/>
  <c r="D30" i="24"/>
  <c r="N346" i="4"/>
  <c r="L346" i="4"/>
  <c r="N334" i="4"/>
  <c r="L334" i="4"/>
  <c r="N322" i="4"/>
  <c r="L322" i="4"/>
  <c r="N310" i="4"/>
  <c r="L310" i="4"/>
  <c r="N266" i="4"/>
  <c r="L266" i="4"/>
  <c r="N342" i="4"/>
  <c r="L342" i="4"/>
  <c r="N326" i="4"/>
  <c r="L326" i="4"/>
  <c r="N314" i="4"/>
  <c r="L314" i="4"/>
  <c r="N306" i="4"/>
  <c r="L306" i="4"/>
  <c r="N298" i="4"/>
  <c r="L298" i="4"/>
  <c r="N290" i="4"/>
  <c r="L290" i="4"/>
  <c r="N282" i="4"/>
  <c r="L282" i="4"/>
  <c r="N274" i="4"/>
  <c r="L274" i="4"/>
  <c r="N262" i="4"/>
  <c r="L262" i="4"/>
  <c r="N254" i="4"/>
  <c r="L254" i="4"/>
  <c r="N222" i="4"/>
  <c r="L222" i="4"/>
  <c r="N210" i="4"/>
  <c r="L210" i="4"/>
  <c r="N206" i="4"/>
  <c r="L206" i="4"/>
  <c r="N198" i="4"/>
  <c r="L198" i="4"/>
  <c r="N190" i="4"/>
  <c r="L190" i="4"/>
  <c r="N182" i="4"/>
  <c r="L182" i="4"/>
  <c r="N174" i="4"/>
  <c r="L174" i="4"/>
  <c r="N166" i="4"/>
  <c r="L166" i="4"/>
  <c r="N162" i="4"/>
  <c r="L162" i="4"/>
  <c r="N154" i="4"/>
  <c r="L154" i="4"/>
  <c r="N110" i="4"/>
  <c r="L110" i="4"/>
  <c r="N102" i="4"/>
  <c r="L102" i="4"/>
  <c r="N94" i="4"/>
  <c r="L94" i="4"/>
  <c r="N90" i="4"/>
  <c r="L90" i="4"/>
  <c r="N82" i="4"/>
  <c r="L82" i="4"/>
  <c r="N74" i="4"/>
  <c r="L74" i="4"/>
  <c r="N66" i="4"/>
  <c r="L66" i="4"/>
  <c r="N58" i="4"/>
  <c r="L58" i="4"/>
  <c r="N54" i="4"/>
  <c r="L54" i="4"/>
  <c r="N42" i="4"/>
  <c r="L42" i="4"/>
  <c r="N34" i="4"/>
  <c r="L34" i="4"/>
  <c r="N26" i="4"/>
  <c r="L26" i="4"/>
  <c r="N18" i="4"/>
  <c r="L18" i="4"/>
  <c r="M6" i="4"/>
  <c r="L6" i="4"/>
  <c r="N338" i="4"/>
  <c r="L338" i="4"/>
  <c r="N330" i="4"/>
  <c r="L330" i="4"/>
  <c r="N318" i="4"/>
  <c r="L318" i="4"/>
  <c r="N302" i="4"/>
  <c r="L302" i="4"/>
  <c r="N294" i="4"/>
  <c r="L294" i="4"/>
  <c r="N286" i="4"/>
  <c r="L286" i="4"/>
  <c r="N278" i="4"/>
  <c r="L278" i="4"/>
  <c r="N270" i="4"/>
  <c r="L270" i="4"/>
  <c r="N258" i="4"/>
  <c r="L258" i="4"/>
  <c r="N250" i="4"/>
  <c r="L250" i="4"/>
  <c r="N246" i="4"/>
  <c r="L246" i="4"/>
  <c r="N242" i="4"/>
  <c r="L242" i="4"/>
  <c r="N238" i="4"/>
  <c r="L238" i="4"/>
  <c r="N234" i="4"/>
  <c r="L234" i="4"/>
  <c r="N230" i="4"/>
  <c r="L230" i="4"/>
  <c r="N226" i="4"/>
  <c r="L226" i="4"/>
  <c r="N218" i="4"/>
  <c r="L218" i="4"/>
  <c r="N214" i="4"/>
  <c r="L214" i="4"/>
  <c r="N202" i="4"/>
  <c r="L202" i="4"/>
  <c r="N194" i="4"/>
  <c r="L194" i="4"/>
  <c r="N186" i="4"/>
  <c r="L186" i="4"/>
  <c r="N178" i="4"/>
  <c r="L178" i="4"/>
  <c r="N170" i="4"/>
  <c r="L170" i="4"/>
  <c r="N158" i="4"/>
  <c r="L158" i="4"/>
  <c r="N150" i="4"/>
  <c r="L150" i="4"/>
  <c r="N146" i="4"/>
  <c r="L146" i="4"/>
  <c r="N142" i="4"/>
  <c r="L142" i="4"/>
  <c r="N138" i="4"/>
  <c r="L138" i="4"/>
  <c r="N134" i="4"/>
  <c r="L134" i="4"/>
  <c r="N130" i="4"/>
  <c r="L130" i="4"/>
  <c r="N126" i="4"/>
  <c r="L126" i="4"/>
  <c r="N122" i="4"/>
  <c r="L122" i="4"/>
  <c r="N118" i="4"/>
  <c r="L118" i="4"/>
  <c r="N114" i="4"/>
  <c r="L114" i="4"/>
  <c r="N106" i="4"/>
  <c r="L106" i="4"/>
  <c r="N98" i="4"/>
  <c r="L98" i="4"/>
  <c r="N86" i="4"/>
  <c r="L86" i="4"/>
  <c r="N78" i="4"/>
  <c r="L78" i="4"/>
  <c r="N70" i="4"/>
  <c r="L70" i="4"/>
  <c r="N62" i="4"/>
  <c r="L62" i="4"/>
  <c r="N50" i="4"/>
  <c r="L50" i="4"/>
  <c r="N46" i="4"/>
  <c r="L46" i="4"/>
  <c r="N38" i="4"/>
  <c r="L38" i="4"/>
  <c r="N30" i="4"/>
  <c r="L30" i="4"/>
  <c r="N22" i="4"/>
  <c r="L22" i="4"/>
  <c r="N14" i="4"/>
  <c r="L14" i="4"/>
  <c r="N10" i="4"/>
  <c r="L10" i="4"/>
  <c r="M434" i="4"/>
  <c r="M430" i="4"/>
  <c r="M426" i="4"/>
  <c r="M422" i="4"/>
  <c r="M418" i="4"/>
  <c r="M414" i="4"/>
  <c r="M410" i="4"/>
  <c r="M406" i="4"/>
  <c r="M402" i="4"/>
  <c r="M398" i="4"/>
  <c r="M394" i="4"/>
  <c r="M390" i="4"/>
  <c r="M386" i="4"/>
  <c r="M382" i="4"/>
  <c r="M378" i="4"/>
  <c r="M374" i="4"/>
  <c r="M370" i="4"/>
  <c r="M366" i="4"/>
  <c r="M362" i="4"/>
  <c r="M358" i="4"/>
  <c r="M354" i="4"/>
  <c r="M350" i="4"/>
  <c r="M346" i="4"/>
  <c r="M342" i="4"/>
  <c r="M338" i="4"/>
  <c r="M334" i="4"/>
  <c r="M330" i="4"/>
  <c r="M326" i="4"/>
  <c r="M322" i="4"/>
  <c r="M318" i="4"/>
  <c r="M314" i="4"/>
  <c r="M310" i="4"/>
  <c r="M306" i="4"/>
  <c r="M302" i="4"/>
  <c r="M298" i="4"/>
  <c r="M294" i="4"/>
  <c r="M290" i="4"/>
  <c r="M286" i="4"/>
  <c r="M282" i="4"/>
  <c r="M278" i="4"/>
  <c r="M274" i="4"/>
  <c r="M270" i="4"/>
  <c r="M266" i="4"/>
  <c r="M262" i="4"/>
  <c r="M258" i="4"/>
  <c r="M254" i="4"/>
  <c r="M250" i="4"/>
  <c r="M246" i="4"/>
  <c r="M242" i="4"/>
  <c r="M238" i="4"/>
  <c r="M234" i="4"/>
  <c r="M230" i="4"/>
  <c r="M226" i="4"/>
  <c r="M222" i="4"/>
  <c r="M218" i="4"/>
  <c r="M214" i="4"/>
  <c r="M210" i="4"/>
  <c r="M206" i="4"/>
  <c r="M202" i="4"/>
  <c r="M198" i="4"/>
  <c r="M194" i="4"/>
  <c r="M190" i="4"/>
  <c r="M186" i="4"/>
  <c r="M182" i="4"/>
  <c r="M178" i="4"/>
  <c r="M174" i="4"/>
  <c r="M170" i="4"/>
  <c r="M166" i="4"/>
  <c r="M162" i="4"/>
  <c r="M158" i="4"/>
  <c r="M154" i="4"/>
  <c r="M150" i="4"/>
  <c r="M146" i="4"/>
  <c r="M142" i="4"/>
  <c r="M138" i="4"/>
  <c r="M134" i="4"/>
  <c r="M130" i="4"/>
  <c r="M126" i="4"/>
  <c r="M122" i="4"/>
  <c r="M118" i="4"/>
  <c r="M114" i="4"/>
  <c r="M110" i="4"/>
  <c r="M106" i="4"/>
  <c r="M102" i="4"/>
  <c r="M98" i="4"/>
  <c r="M94" i="4"/>
  <c r="M90" i="4"/>
  <c r="M86" i="4"/>
  <c r="M82" i="4"/>
  <c r="M78" i="4"/>
  <c r="M74" i="4"/>
  <c r="M70" i="4"/>
  <c r="M66" i="4"/>
  <c r="M62" i="4"/>
  <c r="M58" i="4"/>
  <c r="M54" i="4"/>
  <c r="M50" i="4"/>
  <c r="M46" i="4"/>
  <c r="M42" i="4"/>
  <c r="M38" i="4"/>
  <c r="M34" i="4"/>
  <c r="M30" i="4"/>
  <c r="M26" i="4"/>
  <c r="M22" i="4"/>
  <c r="M18" i="4"/>
  <c r="M14" i="4"/>
  <c r="M10" i="4"/>
  <c r="L9" i="4"/>
  <c r="L8" i="4"/>
  <c r="M9" i="4"/>
  <c r="M5" i="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M373" i="1" l="1"/>
  <c r="N373" i="1" s="1"/>
  <c r="M377" i="1"/>
  <c r="N377" i="1" s="1"/>
  <c r="M998" i="1"/>
  <c r="N998" i="1" s="1"/>
  <c r="M990" i="1"/>
  <c r="N990" i="1" s="1"/>
  <c r="M986" i="1"/>
  <c r="N986" i="1" s="1"/>
  <c r="M978" i="1"/>
  <c r="N978" i="1" s="1"/>
  <c r="M970" i="1"/>
  <c r="N970" i="1" s="1"/>
  <c r="M962" i="1"/>
  <c r="N962" i="1" s="1"/>
  <c r="M954" i="1"/>
  <c r="N954" i="1" s="1"/>
  <c r="M946" i="1"/>
  <c r="N946" i="1" s="1"/>
  <c r="M938" i="1"/>
  <c r="N938" i="1" s="1"/>
  <c r="M930" i="1"/>
  <c r="N930" i="1" s="1"/>
  <c r="M922" i="1"/>
  <c r="N922" i="1" s="1"/>
  <c r="M914" i="1"/>
  <c r="N914" i="1" s="1"/>
  <c r="M906" i="1"/>
  <c r="N906" i="1" s="1"/>
  <c r="M898" i="1"/>
  <c r="N898" i="1" s="1"/>
  <c r="M890" i="1"/>
  <c r="N890" i="1" s="1"/>
  <c r="M882" i="1"/>
  <c r="N882" i="1" s="1"/>
  <c r="M874" i="1"/>
  <c r="N874" i="1" s="1"/>
  <c r="M866" i="1"/>
  <c r="N866" i="1" s="1"/>
  <c r="M858" i="1"/>
  <c r="N858" i="1" s="1"/>
  <c r="M850" i="1"/>
  <c r="N850" i="1" s="1"/>
  <c r="M842" i="1"/>
  <c r="N842" i="1" s="1"/>
  <c r="M834" i="1"/>
  <c r="N834" i="1" s="1"/>
  <c r="M826" i="1"/>
  <c r="N826" i="1" s="1"/>
  <c r="M818" i="1"/>
  <c r="N818" i="1" s="1"/>
  <c r="M810" i="1"/>
  <c r="N810" i="1" s="1"/>
  <c r="M802" i="1"/>
  <c r="N802" i="1" s="1"/>
  <c r="M798" i="1"/>
  <c r="N798" i="1" s="1"/>
  <c r="M790" i="1"/>
  <c r="N790" i="1" s="1"/>
  <c r="M1001" i="1"/>
  <c r="N1001" i="1" s="1"/>
  <c r="M997" i="1"/>
  <c r="N997" i="1" s="1"/>
  <c r="M993" i="1"/>
  <c r="N993" i="1" s="1"/>
  <c r="M989" i="1"/>
  <c r="N989" i="1" s="1"/>
  <c r="M985" i="1"/>
  <c r="N985" i="1" s="1"/>
  <c r="M981" i="1"/>
  <c r="N981" i="1" s="1"/>
  <c r="M977" i="1"/>
  <c r="N977" i="1" s="1"/>
  <c r="M973" i="1"/>
  <c r="N973" i="1" s="1"/>
  <c r="M969" i="1"/>
  <c r="N969" i="1" s="1"/>
  <c r="M965" i="1"/>
  <c r="N965" i="1" s="1"/>
  <c r="M961" i="1"/>
  <c r="N961" i="1" s="1"/>
  <c r="M957" i="1"/>
  <c r="N957" i="1" s="1"/>
  <c r="M953" i="1"/>
  <c r="N953" i="1" s="1"/>
  <c r="M949" i="1"/>
  <c r="N949" i="1" s="1"/>
  <c r="M945" i="1"/>
  <c r="N945" i="1" s="1"/>
  <c r="M941" i="1"/>
  <c r="N941" i="1" s="1"/>
  <c r="M937" i="1"/>
  <c r="N937" i="1" s="1"/>
  <c r="M933" i="1"/>
  <c r="N933" i="1" s="1"/>
  <c r="M929" i="1"/>
  <c r="N929" i="1" s="1"/>
  <c r="M925" i="1"/>
  <c r="N925" i="1" s="1"/>
  <c r="M921" i="1"/>
  <c r="N921" i="1" s="1"/>
  <c r="M917" i="1"/>
  <c r="N917" i="1" s="1"/>
  <c r="M913" i="1"/>
  <c r="N913" i="1" s="1"/>
  <c r="M909" i="1"/>
  <c r="N909" i="1" s="1"/>
  <c r="M905" i="1"/>
  <c r="N905" i="1" s="1"/>
  <c r="M901" i="1"/>
  <c r="N901" i="1" s="1"/>
  <c r="M897" i="1"/>
  <c r="N897" i="1" s="1"/>
  <c r="M893" i="1"/>
  <c r="N893" i="1" s="1"/>
  <c r="M889" i="1"/>
  <c r="N889" i="1" s="1"/>
  <c r="M885" i="1"/>
  <c r="N885" i="1" s="1"/>
  <c r="M881" i="1"/>
  <c r="N881" i="1" s="1"/>
  <c r="M877" i="1"/>
  <c r="N877" i="1" s="1"/>
  <c r="M873" i="1"/>
  <c r="N873" i="1" s="1"/>
  <c r="M869" i="1"/>
  <c r="N869" i="1" s="1"/>
  <c r="M865" i="1"/>
  <c r="N865" i="1" s="1"/>
  <c r="M861" i="1"/>
  <c r="N861" i="1" s="1"/>
  <c r="M857" i="1"/>
  <c r="N857" i="1" s="1"/>
  <c r="M853" i="1"/>
  <c r="N853" i="1" s="1"/>
  <c r="M849" i="1"/>
  <c r="N849" i="1" s="1"/>
  <c r="M845" i="1"/>
  <c r="N845" i="1" s="1"/>
  <c r="M841" i="1"/>
  <c r="N841" i="1" s="1"/>
  <c r="M837" i="1"/>
  <c r="N837" i="1" s="1"/>
  <c r="M833" i="1"/>
  <c r="N833" i="1" s="1"/>
  <c r="M829" i="1"/>
  <c r="N829" i="1" s="1"/>
  <c r="M825" i="1"/>
  <c r="N825" i="1" s="1"/>
  <c r="M821" i="1"/>
  <c r="N821" i="1" s="1"/>
  <c r="M817" i="1"/>
  <c r="N817" i="1" s="1"/>
  <c r="M813" i="1"/>
  <c r="N813" i="1" s="1"/>
  <c r="M809" i="1"/>
  <c r="N809" i="1" s="1"/>
  <c r="M805" i="1"/>
  <c r="N805" i="1" s="1"/>
  <c r="M801" i="1"/>
  <c r="N801" i="1" s="1"/>
  <c r="M797" i="1"/>
  <c r="N797" i="1" s="1"/>
  <c r="M793" i="1"/>
  <c r="N793" i="1" s="1"/>
  <c r="M789" i="1"/>
  <c r="N789" i="1" s="1"/>
  <c r="M785" i="1"/>
  <c r="N785" i="1" s="1"/>
  <c r="M781" i="1"/>
  <c r="N781" i="1" s="1"/>
  <c r="M777" i="1"/>
  <c r="N777" i="1" s="1"/>
  <c r="M773" i="1"/>
  <c r="N773" i="1" s="1"/>
  <c r="M769" i="1"/>
  <c r="N769" i="1" s="1"/>
  <c r="M765" i="1"/>
  <c r="N765" i="1" s="1"/>
  <c r="M761" i="1"/>
  <c r="N761" i="1" s="1"/>
  <c r="M757" i="1"/>
  <c r="N757" i="1" s="1"/>
  <c r="M753" i="1"/>
  <c r="N753" i="1" s="1"/>
  <c r="M749" i="1"/>
  <c r="N749" i="1" s="1"/>
  <c r="M745" i="1"/>
  <c r="N745" i="1" s="1"/>
  <c r="M741" i="1"/>
  <c r="N741" i="1" s="1"/>
  <c r="M737" i="1"/>
  <c r="N737" i="1" s="1"/>
  <c r="M733" i="1"/>
  <c r="N733" i="1" s="1"/>
  <c r="M729" i="1"/>
  <c r="N729" i="1" s="1"/>
  <c r="M725" i="1"/>
  <c r="N725" i="1" s="1"/>
  <c r="M721" i="1"/>
  <c r="N721" i="1" s="1"/>
  <c r="M717" i="1"/>
  <c r="N717" i="1" s="1"/>
  <c r="M713" i="1"/>
  <c r="N713" i="1" s="1"/>
  <c r="M709" i="1"/>
  <c r="N709" i="1" s="1"/>
  <c r="M705" i="1"/>
  <c r="N705" i="1" s="1"/>
  <c r="M701" i="1"/>
  <c r="N701" i="1" s="1"/>
  <c r="M697" i="1"/>
  <c r="N697" i="1" s="1"/>
  <c r="M693" i="1"/>
  <c r="N693" i="1" s="1"/>
  <c r="M689" i="1"/>
  <c r="N689" i="1" s="1"/>
  <c r="M685" i="1"/>
  <c r="N685" i="1" s="1"/>
  <c r="M681" i="1"/>
  <c r="N681" i="1" s="1"/>
  <c r="M677" i="1"/>
  <c r="N677" i="1" s="1"/>
  <c r="M673" i="1"/>
  <c r="N673" i="1" s="1"/>
  <c r="M669" i="1"/>
  <c r="N669" i="1" s="1"/>
  <c r="M665" i="1"/>
  <c r="N665" i="1" s="1"/>
  <c r="M661" i="1"/>
  <c r="N661" i="1" s="1"/>
  <c r="M657" i="1"/>
  <c r="N657" i="1" s="1"/>
  <c r="M653" i="1"/>
  <c r="N653" i="1" s="1"/>
  <c r="M649" i="1"/>
  <c r="N649" i="1" s="1"/>
  <c r="M645" i="1"/>
  <c r="N645" i="1" s="1"/>
  <c r="M641" i="1"/>
  <c r="N641" i="1" s="1"/>
  <c r="M637" i="1"/>
  <c r="N637" i="1" s="1"/>
  <c r="M633" i="1"/>
  <c r="N633" i="1" s="1"/>
  <c r="M629" i="1"/>
  <c r="N629" i="1" s="1"/>
  <c r="M625" i="1"/>
  <c r="N625" i="1" s="1"/>
  <c r="M621" i="1"/>
  <c r="N621" i="1" s="1"/>
  <c r="M617" i="1"/>
  <c r="N617" i="1" s="1"/>
  <c r="M613" i="1"/>
  <c r="N613" i="1" s="1"/>
  <c r="M609" i="1"/>
  <c r="N609" i="1" s="1"/>
  <c r="M605" i="1"/>
  <c r="N605" i="1" s="1"/>
  <c r="M601" i="1"/>
  <c r="N601" i="1" s="1"/>
  <c r="M597" i="1"/>
  <c r="N597" i="1" s="1"/>
  <c r="M593" i="1"/>
  <c r="N593" i="1" s="1"/>
  <c r="M589" i="1"/>
  <c r="N589" i="1" s="1"/>
  <c r="M585" i="1"/>
  <c r="N585" i="1" s="1"/>
  <c r="M581" i="1"/>
  <c r="N581" i="1" s="1"/>
  <c r="M577" i="1"/>
  <c r="N577" i="1" s="1"/>
  <c r="M573" i="1"/>
  <c r="N573" i="1" s="1"/>
  <c r="M569" i="1"/>
  <c r="N569" i="1" s="1"/>
  <c r="M565" i="1"/>
  <c r="N565" i="1" s="1"/>
  <c r="M561" i="1"/>
  <c r="N561" i="1" s="1"/>
  <c r="M557" i="1"/>
  <c r="N557" i="1" s="1"/>
  <c r="M553" i="1"/>
  <c r="N553" i="1" s="1"/>
  <c r="M549" i="1"/>
  <c r="N549" i="1" s="1"/>
  <c r="M545" i="1"/>
  <c r="N545" i="1" s="1"/>
  <c r="M541" i="1"/>
  <c r="N541" i="1" s="1"/>
  <c r="M537" i="1"/>
  <c r="N537" i="1" s="1"/>
  <c r="M533" i="1"/>
  <c r="N533" i="1" s="1"/>
  <c r="M529" i="1"/>
  <c r="N529" i="1" s="1"/>
  <c r="M525" i="1"/>
  <c r="N525" i="1" s="1"/>
  <c r="M521" i="1"/>
  <c r="N521" i="1" s="1"/>
  <c r="M517" i="1"/>
  <c r="N517" i="1" s="1"/>
  <c r="M513" i="1"/>
  <c r="N513" i="1" s="1"/>
  <c r="M509" i="1"/>
  <c r="N509" i="1" s="1"/>
  <c r="M505" i="1"/>
  <c r="N505" i="1" s="1"/>
  <c r="M501" i="1"/>
  <c r="N501" i="1" s="1"/>
  <c r="M497" i="1"/>
  <c r="N497" i="1" s="1"/>
  <c r="M493" i="1"/>
  <c r="N493" i="1" s="1"/>
  <c r="M489" i="1"/>
  <c r="N489" i="1" s="1"/>
  <c r="M485" i="1"/>
  <c r="N485" i="1" s="1"/>
  <c r="M481" i="1"/>
  <c r="N481" i="1" s="1"/>
  <c r="M477" i="1"/>
  <c r="N477" i="1" s="1"/>
  <c r="M473" i="1"/>
  <c r="N473" i="1" s="1"/>
  <c r="M469" i="1"/>
  <c r="N469" i="1" s="1"/>
  <c r="M465" i="1"/>
  <c r="N465" i="1" s="1"/>
  <c r="M461" i="1"/>
  <c r="N461" i="1" s="1"/>
  <c r="M457" i="1"/>
  <c r="N457" i="1" s="1"/>
  <c r="M453" i="1"/>
  <c r="N453" i="1" s="1"/>
  <c r="M449" i="1"/>
  <c r="N449" i="1" s="1"/>
  <c r="M445" i="1"/>
  <c r="N445" i="1" s="1"/>
  <c r="M441" i="1"/>
  <c r="N441" i="1" s="1"/>
  <c r="M437" i="1"/>
  <c r="N437" i="1" s="1"/>
  <c r="M433" i="1"/>
  <c r="N433" i="1" s="1"/>
  <c r="M429" i="1"/>
  <c r="N429" i="1" s="1"/>
  <c r="M425" i="1"/>
  <c r="N425" i="1" s="1"/>
  <c r="M421" i="1"/>
  <c r="N421" i="1" s="1"/>
  <c r="M417" i="1"/>
  <c r="N417" i="1" s="1"/>
  <c r="M413" i="1"/>
  <c r="N413" i="1" s="1"/>
  <c r="M409" i="1"/>
  <c r="N409" i="1" s="1"/>
  <c r="M405" i="1"/>
  <c r="N405" i="1" s="1"/>
  <c r="M401" i="1"/>
  <c r="N401" i="1" s="1"/>
  <c r="M397" i="1"/>
  <c r="N397" i="1" s="1"/>
  <c r="M393" i="1"/>
  <c r="N393" i="1" s="1"/>
  <c r="M389" i="1"/>
  <c r="N389" i="1" s="1"/>
  <c r="M385" i="1"/>
  <c r="N385" i="1" s="1"/>
  <c r="M381" i="1"/>
  <c r="N381" i="1" s="1"/>
  <c r="M369" i="1"/>
  <c r="N369" i="1" s="1"/>
  <c r="M994" i="1"/>
  <c r="N994" i="1" s="1"/>
  <c r="M982" i="1"/>
  <c r="N982" i="1" s="1"/>
  <c r="M974" i="1"/>
  <c r="N974" i="1" s="1"/>
  <c r="M966" i="1"/>
  <c r="N966" i="1" s="1"/>
  <c r="M958" i="1"/>
  <c r="N958" i="1" s="1"/>
  <c r="M950" i="1"/>
  <c r="N950" i="1" s="1"/>
  <c r="M942" i="1"/>
  <c r="N942" i="1" s="1"/>
  <c r="M934" i="1"/>
  <c r="N934" i="1" s="1"/>
  <c r="M926" i="1"/>
  <c r="N926" i="1" s="1"/>
  <c r="M918" i="1"/>
  <c r="N918" i="1" s="1"/>
  <c r="M910" i="1"/>
  <c r="N910" i="1" s="1"/>
  <c r="M902" i="1"/>
  <c r="N902" i="1" s="1"/>
  <c r="M894" i="1"/>
  <c r="N894" i="1" s="1"/>
  <c r="M886" i="1"/>
  <c r="N886" i="1" s="1"/>
  <c r="M878" i="1"/>
  <c r="N878" i="1" s="1"/>
  <c r="M870" i="1"/>
  <c r="N870" i="1" s="1"/>
  <c r="M862" i="1"/>
  <c r="N862" i="1" s="1"/>
  <c r="M854" i="1"/>
  <c r="N854" i="1" s="1"/>
  <c r="M846" i="1"/>
  <c r="N846" i="1" s="1"/>
  <c r="M838" i="1"/>
  <c r="N838" i="1" s="1"/>
  <c r="M830" i="1"/>
  <c r="N830" i="1" s="1"/>
  <c r="M822" i="1"/>
  <c r="N822" i="1" s="1"/>
  <c r="M814" i="1"/>
  <c r="N814" i="1" s="1"/>
  <c r="M806" i="1"/>
  <c r="N806" i="1" s="1"/>
  <c r="M794" i="1"/>
  <c r="N794" i="1" s="1"/>
  <c r="M786" i="1"/>
  <c r="N786" i="1" s="1"/>
  <c r="M782" i="1"/>
  <c r="N782" i="1" s="1"/>
  <c r="M778" i="1"/>
  <c r="N778" i="1" s="1"/>
  <c r="M774" i="1"/>
  <c r="N774" i="1" s="1"/>
  <c r="M770" i="1"/>
  <c r="N770" i="1" s="1"/>
  <c r="M766" i="1"/>
  <c r="N766" i="1" s="1"/>
  <c r="M762" i="1"/>
  <c r="N762" i="1" s="1"/>
  <c r="M758" i="1"/>
  <c r="N758" i="1" s="1"/>
  <c r="M754" i="1"/>
  <c r="N754" i="1" s="1"/>
  <c r="M750" i="1"/>
  <c r="N750" i="1" s="1"/>
  <c r="M746" i="1"/>
  <c r="N746" i="1" s="1"/>
  <c r="M742" i="1"/>
  <c r="N742" i="1" s="1"/>
  <c r="M738" i="1"/>
  <c r="N738" i="1" s="1"/>
  <c r="M734" i="1"/>
  <c r="N734" i="1" s="1"/>
  <c r="M730" i="1"/>
  <c r="N730" i="1" s="1"/>
  <c r="M726" i="1"/>
  <c r="N726" i="1" s="1"/>
  <c r="M722" i="1"/>
  <c r="N722" i="1" s="1"/>
  <c r="M718" i="1"/>
  <c r="N718" i="1" s="1"/>
  <c r="M714" i="1"/>
  <c r="N714" i="1" s="1"/>
  <c r="M710" i="1"/>
  <c r="N710" i="1" s="1"/>
  <c r="M706" i="1"/>
  <c r="N706" i="1" s="1"/>
  <c r="M702" i="1"/>
  <c r="N702" i="1" s="1"/>
  <c r="M698" i="1"/>
  <c r="N698" i="1" s="1"/>
  <c r="M694" i="1"/>
  <c r="N694" i="1" s="1"/>
  <c r="M690" i="1"/>
  <c r="N690" i="1" s="1"/>
  <c r="M686" i="1"/>
  <c r="N686" i="1" s="1"/>
  <c r="M682" i="1"/>
  <c r="N682" i="1" s="1"/>
  <c r="M678" i="1"/>
  <c r="N678" i="1" s="1"/>
  <c r="M674" i="1"/>
  <c r="N674" i="1" s="1"/>
  <c r="M670" i="1"/>
  <c r="N670" i="1" s="1"/>
  <c r="M666" i="1"/>
  <c r="N666" i="1" s="1"/>
  <c r="M662" i="1"/>
  <c r="N662" i="1" s="1"/>
  <c r="M658" i="1"/>
  <c r="N658" i="1" s="1"/>
  <c r="M654" i="1"/>
  <c r="N654" i="1" s="1"/>
  <c r="M650" i="1"/>
  <c r="N650" i="1" s="1"/>
  <c r="M646" i="1"/>
  <c r="N646" i="1" s="1"/>
  <c r="M642" i="1"/>
  <c r="N642" i="1" s="1"/>
  <c r="M638" i="1"/>
  <c r="N638" i="1" s="1"/>
  <c r="M634" i="1"/>
  <c r="N634" i="1" s="1"/>
  <c r="M630" i="1"/>
  <c r="N630" i="1" s="1"/>
  <c r="M626" i="1"/>
  <c r="N626" i="1" s="1"/>
  <c r="M622" i="1"/>
  <c r="N622" i="1" s="1"/>
  <c r="M618" i="1"/>
  <c r="N618" i="1" s="1"/>
  <c r="M614" i="1"/>
  <c r="N614" i="1" s="1"/>
  <c r="M610" i="1"/>
  <c r="N610" i="1" s="1"/>
  <c r="M606" i="1"/>
  <c r="N606" i="1" s="1"/>
  <c r="M602" i="1"/>
  <c r="N602" i="1" s="1"/>
  <c r="M598" i="1"/>
  <c r="N598" i="1" s="1"/>
  <c r="M594" i="1"/>
  <c r="N594" i="1" s="1"/>
  <c r="M590" i="1"/>
  <c r="N590" i="1" s="1"/>
  <c r="M586" i="1"/>
  <c r="N586" i="1" s="1"/>
  <c r="M582" i="1"/>
  <c r="N582" i="1" s="1"/>
  <c r="M578" i="1"/>
  <c r="N578" i="1" s="1"/>
  <c r="M574" i="1"/>
  <c r="N574" i="1" s="1"/>
  <c r="M570" i="1"/>
  <c r="N570" i="1" s="1"/>
  <c r="M566" i="1"/>
  <c r="N566" i="1" s="1"/>
  <c r="M562" i="1"/>
  <c r="N562" i="1" s="1"/>
  <c r="M558" i="1"/>
  <c r="N558" i="1" s="1"/>
  <c r="M554" i="1"/>
  <c r="N554" i="1" s="1"/>
  <c r="M550" i="1"/>
  <c r="N550" i="1" s="1"/>
  <c r="M546" i="1"/>
  <c r="N546" i="1" s="1"/>
  <c r="M542" i="1"/>
  <c r="N542" i="1" s="1"/>
  <c r="M538" i="1"/>
  <c r="N538" i="1" s="1"/>
  <c r="M534" i="1"/>
  <c r="N534" i="1" s="1"/>
  <c r="M530" i="1"/>
  <c r="N530" i="1" s="1"/>
  <c r="M526" i="1"/>
  <c r="N526" i="1" s="1"/>
  <c r="M522" i="1"/>
  <c r="N522" i="1" s="1"/>
  <c r="M518" i="1"/>
  <c r="N518" i="1" s="1"/>
  <c r="M514" i="1"/>
  <c r="N514" i="1" s="1"/>
  <c r="M510" i="1"/>
  <c r="N510" i="1" s="1"/>
  <c r="M506" i="1"/>
  <c r="N506" i="1" s="1"/>
  <c r="M502" i="1"/>
  <c r="N502" i="1" s="1"/>
  <c r="M498" i="1"/>
  <c r="N498" i="1" s="1"/>
  <c r="M494" i="1"/>
  <c r="N494" i="1" s="1"/>
  <c r="M490" i="1"/>
  <c r="N490" i="1" s="1"/>
  <c r="M486" i="1"/>
  <c r="N486" i="1" s="1"/>
  <c r="M482" i="1"/>
  <c r="N482" i="1" s="1"/>
  <c r="M478" i="1"/>
  <c r="N478" i="1" s="1"/>
  <c r="M474" i="1"/>
  <c r="N474" i="1" s="1"/>
  <c r="M470" i="1"/>
  <c r="N470" i="1" s="1"/>
  <c r="M466" i="1"/>
  <c r="N466" i="1" s="1"/>
  <c r="M462" i="1"/>
  <c r="N462" i="1" s="1"/>
  <c r="M458" i="1"/>
  <c r="N458" i="1" s="1"/>
  <c r="M454" i="1"/>
  <c r="N454" i="1" s="1"/>
  <c r="M450" i="1"/>
  <c r="N450" i="1" s="1"/>
  <c r="M446" i="1"/>
  <c r="N446" i="1" s="1"/>
  <c r="M442" i="1"/>
  <c r="N442" i="1" s="1"/>
  <c r="M438" i="1"/>
  <c r="N438" i="1" s="1"/>
  <c r="M434" i="1"/>
  <c r="N434" i="1" s="1"/>
  <c r="M430" i="1"/>
  <c r="N430" i="1" s="1"/>
  <c r="M426" i="1"/>
  <c r="N426" i="1" s="1"/>
  <c r="M422" i="1"/>
  <c r="N422" i="1" s="1"/>
  <c r="M418" i="1"/>
  <c r="N418" i="1" s="1"/>
  <c r="M414" i="1"/>
  <c r="N414" i="1" s="1"/>
  <c r="M410" i="1"/>
  <c r="N410" i="1" s="1"/>
  <c r="M406" i="1"/>
  <c r="N406" i="1" s="1"/>
  <c r="M402" i="1"/>
  <c r="N402" i="1" s="1"/>
  <c r="M398" i="1"/>
  <c r="N398" i="1" s="1"/>
  <c r="M394" i="1"/>
  <c r="N394" i="1" s="1"/>
  <c r="M390" i="1"/>
  <c r="N390" i="1" s="1"/>
  <c r="M386" i="1"/>
  <c r="N386" i="1" s="1"/>
  <c r="M382" i="1"/>
  <c r="N382" i="1" s="1"/>
  <c r="M378" i="1"/>
  <c r="N378" i="1" s="1"/>
  <c r="M374" i="1"/>
  <c r="N374" i="1" s="1"/>
  <c r="M370" i="1"/>
  <c r="N370" i="1" s="1"/>
  <c r="M366" i="1"/>
  <c r="N366" i="1" s="1"/>
  <c r="M362" i="1"/>
  <c r="N362" i="1" s="1"/>
  <c r="M358" i="1"/>
  <c r="N358" i="1" s="1"/>
  <c r="M354" i="1"/>
  <c r="N354" i="1" s="1"/>
  <c r="M350" i="1"/>
  <c r="N350" i="1" s="1"/>
  <c r="M346" i="1"/>
  <c r="N346" i="1" s="1"/>
  <c r="M342" i="1"/>
  <c r="N342" i="1" s="1"/>
  <c r="M338" i="1"/>
  <c r="N338" i="1" s="1"/>
  <c r="M334" i="1"/>
  <c r="N334" i="1" s="1"/>
  <c r="M330" i="1"/>
  <c r="N330" i="1" s="1"/>
  <c r="M326" i="1"/>
  <c r="N326" i="1" s="1"/>
  <c r="M322" i="1"/>
  <c r="N322" i="1" s="1"/>
  <c r="M318" i="1"/>
  <c r="N318" i="1" s="1"/>
  <c r="M314" i="1"/>
  <c r="N314" i="1" s="1"/>
  <c r="M310" i="1"/>
  <c r="N310" i="1" s="1"/>
  <c r="M306" i="1"/>
  <c r="N306" i="1" s="1"/>
  <c r="M302" i="1"/>
  <c r="N302" i="1" s="1"/>
  <c r="M298" i="1"/>
  <c r="N298" i="1" s="1"/>
  <c r="M294" i="1"/>
  <c r="N294" i="1" s="1"/>
  <c r="M290" i="1"/>
  <c r="N290" i="1" s="1"/>
  <c r="M286" i="1"/>
  <c r="N286" i="1" s="1"/>
  <c r="M282" i="1"/>
  <c r="N282" i="1" s="1"/>
  <c r="M278" i="1"/>
  <c r="N278" i="1" s="1"/>
  <c r="M274" i="1"/>
  <c r="N274" i="1" s="1"/>
  <c r="M270" i="1"/>
  <c r="N270" i="1" s="1"/>
  <c r="M266" i="1"/>
  <c r="N266" i="1" s="1"/>
  <c r="M262" i="1"/>
  <c r="N262" i="1" s="1"/>
  <c r="M258" i="1"/>
  <c r="N258" i="1" s="1"/>
  <c r="M254" i="1"/>
  <c r="N254" i="1" s="1"/>
  <c r="M250" i="1"/>
  <c r="N250" i="1" s="1"/>
  <c r="M246" i="1"/>
  <c r="N246" i="1" s="1"/>
  <c r="M242" i="1"/>
  <c r="N242" i="1" s="1"/>
  <c r="M238" i="1"/>
  <c r="N238" i="1" s="1"/>
  <c r="M234" i="1"/>
  <c r="N234" i="1" s="1"/>
  <c r="M230" i="1"/>
  <c r="N230" i="1" s="1"/>
  <c r="M226" i="1"/>
  <c r="N226" i="1" s="1"/>
  <c r="M222" i="1"/>
  <c r="N222" i="1" s="1"/>
  <c r="M218" i="1"/>
  <c r="N218" i="1" s="1"/>
  <c r="M214" i="1"/>
  <c r="N214" i="1" s="1"/>
  <c r="M210" i="1"/>
  <c r="N210" i="1" s="1"/>
  <c r="M206" i="1"/>
  <c r="N206" i="1" s="1"/>
  <c r="M202" i="1"/>
  <c r="N202" i="1" s="1"/>
  <c r="M198" i="1"/>
  <c r="N198" i="1" s="1"/>
  <c r="M194" i="1"/>
  <c r="N194" i="1" s="1"/>
  <c r="M190" i="1"/>
  <c r="N190" i="1" s="1"/>
  <c r="M186" i="1"/>
  <c r="N186" i="1" s="1"/>
  <c r="M182" i="1"/>
  <c r="N182" i="1" s="1"/>
  <c r="M178" i="1"/>
  <c r="N178" i="1" s="1"/>
  <c r="M174" i="1"/>
  <c r="N174" i="1" s="1"/>
  <c r="M170" i="1"/>
  <c r="N170" i="1" s="1"/>
  <c r="M166" i="1"/>
  <c r="N166" i="1" s="1"/>
  <c r="M365" i="1"/>
  <c r="N365" i="1" s="1"/>
  <c r="M361" i="1"/>
  <c r="N361" i="1" s="1"/>
  <c r="M357" i="1"/>
  <c r="N357" i="1" s="1"/>
  <c r="M353" i="1"/>
  <c r="N353" i="1" s="1"/>
  <c r="M349" i="1"/>
  <c r="N349" i="1" s="1"/>
  <c r="M345" i="1"/>
  <c r="N345" i="1" s="1"/>
  <c r="M341" i="1"/>
  <c r="N341" i="1" s="1"/>
  <c r="M337" i="1"/>
  <c r="N337" i="1" s="1"/>
  <c r="M333" i="1"/>
  <c r="N333" i="1" s="1"/>
  <c r="M329" i="1"/>
  <c r="N329" i="1" s="1"/>
  <c r="M325" i="1"/>
  <c r="N325" i="1" s="1"/>
  <c r="M321" i="1"/>
  <c r="N321" i="1" s="1"/>
  <c r="M317" i="1"/>
  <c r="N317" i="1" s="1"/>
  <c r="M313" i="1"/>
  <c r="N313" i="1" s="1"/>
  <c r="M309" i="1"/>
  <c r="N309" i="1" s="1"/>
  <c r="M305" i="1"/>
  <c r="N305" i="1" s="1"/>
  <c r="M301" i="1"/>
  <c r="N301" i="1" s="1"/>
  <c r="M297" i="1"/>
  <c r="N297" i="1" s="1"/>
  <c r="M293" i="1"/>
  <c r="N293" i="1" s="1"/>
  <c r="M289" i="1"/>
  <c r="N289" i="1" s="1"/>
  <c r="M285" i="1"/>
  <c r="N285" i="1" s="1"/>
  <c r="M281" i="1"/>
  <c r="N281" i="1" s="1"/>
  <c r="M277" i="1"/>
  <c r="N277" i="1" s="1"/>
  <c r="M273" i="1"/>
  <c r="N273" i="1" s="1"/>
  <c r="M269" i="1"/>
  <c r="N269" i="1" s="1"/>
  <c r="M265" i="1"/>
  <c r="N265" i="1" s="1"/>
  <c r="M261" i="1"/>
  <c r="N261" i="1" s="1"/>
  <c r="M257" i="1"/>
  <c r="N257" i="1" s="1"/>
  <c r="M253" i="1"/>
  <c r="N253" i="1" s="1"/>
  <c r="M249" i="1"/>
  <c r="N249" i="1" s="1"/>
  <c r="M245" i="1"/>
  <c r="N245" i="1" s="1"/>
  <c r="M241" i="1"/>
  <c r="N241" i="1" s="1"/>
  <c r="M237" i="1"/>
  <c r="N237" i="1" s="1"/>
  <c r="M233" i="1"/>
  <c r="N233" i="1" s="1"/>
  <c r="M229" i="1"/>
  <c r="N229" i="1" s="1"/>
  <c r="M225" i="1"/>
  <c r="N225" i="1" s="1"/>
  <c r="M221" i="1"/>
  <c r="N221" i="1" s="1"/>
  <c r="M217" i="1"/>
  <c r="N217" i="1" s="1"/>
  <c r="M213" i="1"/>
  <c r="N213" i="1" s="1"/>
  <c r="M209" i="1"/>
  <c r="N209" i="1" s="1"/>
  <c r="M205" i="1"/>
  <c r="N205" i="1" s="1"/>
  <c r="M201" i="1"/>
  <c r="N201" i="1" s="1"/>
  <c r="M197" i="1"/>
  <c r="N197" i="1" s="1"/>
  <c r="M193" i="1"/>
  <c r="N193" i="1" s="1"/>
  <c r="M189" i="1"/>
  <c r="N189" i="1" s="1"/>
  <c r="M185" i="1"/>
  <c r="N185" i="1" s="1"/>
  <c r="M181" i="1"/>
  <c r="N181" i="1" s="1"/>
  <c r="M177" i="1"/>
  <c r="N177" i="1" s="1"/>
  <c r="M173" i="1"/>
  <c r="N173" i="1" s="1"/>
  <c r="M169" i="1"/>
  <c r="N169" i="1" s="1"/>
  <c r="M165" i="1"/>
  <c r="N165" i="1" s="1"/>
  <c r="M161" i="1"/>
  <c r="N161" i="1" s="1"/>
  <c r="M157" i="1"/>
  <c r="N157" i="1" s="1"/>
  <c r="M153" i="1"/>
  <c r="N153" i="1" s="1"/>
  <c r="M149" i="1"/>
  <c r="N149" i="1" s="1"/>
  <c r="M145" i="1"/>
  <c r="N145" i="1" s="1"/>
  <c r="M141" i="1"/>
  <c r="N141" i="1" s="1"/>
  <c r="M137" i="1"/>
  <c r="N137" i="1" s="1"/>
  <c r="M133" i="1"/>
  <c r="N133" i="1" s="1"/>
  <c r="M129" i="1"/>
  <c r="N129" i="1" s="1"/>
  <c r="M125" i="1"/>
  <c r="N125" i="1" s="1"/>
  <c r="M121" i="1"/>
  <c r="N121" i="1" s="1"/>
  <c r="M117" i="1"/>
  <c r="N117" i="1" s="1"/>
  <c r="M113" i="1"/>
  <c r="N113" i="1" s="1"/>
  <c r="M109" i="1"/>
  <c r="N109" i="1" s="1"/>
  <c r="M105" i="1"/>
  <c r="N105" i="1" s="1"/>
  <c r="M101" i="1"/>
  <c r="N101" i="1" s="1"/>
  <c r="M97" i="1"/>
  <c r="N97" i="1" s="1"/>
  <c r="M93" i="1"/>
  <c r="N93" i="1" s="1"/>
  <c r="M89" i="1"/>
  <c r="N89" i="1" s="1"/>
  <c r="M85" i="1"/>
  <c r="N85" i="1" s="1"/>
  <c r="M81" i="1"/>
  <c r="N81" i="1" s="1"/>
  <c r="M77" i="1"/>
  <c r="N77" i="1" s="1"/>
  <c r="M73" i="1"/>
  <c r="N73" i="1" s="1"/>
  <c r="M69" i="1"/>
  <c r="N69" i="1" s="1"/>
  <c r="M65" i="1"/>
  <c r="N65" i="1" s="1"/>
  <c r="M61" i="1"/>
  <c r="N61" i="1" s="1"/>
  <c r="M57" i="1"/>
  <c r="N57" i="1" s="1"/>
  <c r="M53" i="1"/>
  <c r="N53" i="1" s="1"/>
  <c r="M49" i="1"/>
  <c r="N49" i="1" s="1"/>
  <c r="M45" i="1"/>
  <c r="N45" i="1" s="1"/>
  <c r="M41" i="1"/>
  <c r="N41" i="1" s="1"/>
  <c r="M37" i="1"/>
  <c r="N37" i="1" s="1"/>
  <c r="M33" i="1"/>
  <c r="N33" i="1" s="1"/>
  <c r="M29" i="1"/>
  <c r="N29" i="1" s="1"/>
  <c r="M25" i="1"/>
  <c r="N25" i="1" s="1"/>
  <c r="M21" i="1"/>
  <c r="N21" i="1" s="1"/>
  <c r="M17" i="1"/>
  <c r="N17" i="1" s="1"/>
  <c r="M13" i="1"/>
  <c r="N13" i="1" s="1"/>
  <c r="M9" i="1"/>
  <c r="N9" i="1" s="1"/>
  <c r="M5" i="1"/>
  <c r="N5" i="1" s="1"/>
  <c r="M1000" i="1"/>
  <c r="N1000" i="1" s="1"/>
  <c r="M996" i="1"/>
  <c r="N996" i="1" s="1"/>
  <c r="M992" i="1"/>
  <c r="N992" i="1" s="1"/>
  <c r="M988" i="1"/>
  <c r="N988" i="1" s="1"/>
  <c r="M984" i="1"/>
  <c r="N984" i="1" s="1"/>
  <c r="M980" i="1"/>
  <c r="N980" i="1" s="1"/>
  <c r="M976" i="1"/>
  <c r="N976" i="1" s="1"/>
  <c r="M972" i="1"/>
  <c r="N972" i="1" s="1"/>
  <c r="M968" i="1"/>
  <c r="N968" i="1" s="1"/>
  <c r="M964" i="1"/>
  <c r="N964" i="1" s="1"/>
  <c r="M960" i="1"/>
  <c r="N960" i="1" s="1"/>
  <c r="M956" i="1"/>
  <c r="N956" i="1" s="1"/>
  <c r="M952" i="1"/>
  <c r="N952" i="1" s="1"/>
  <c r="M948" i="1"/>
  <c r="N948" i="1" s="1"/>
  <c r="M944" i="1"/>
  <c r="N944" i="1" s="1"/>
  <c r="M940" i="1"/>
  <c r="N940" i="1" s="1"/>
  <c r="M936" i="1"/>
  <c r="N936" i="1" s="1"/>
  <c r="M932" i="1"/>
  <c r="N932" i="1" s="1"/>
  <c r="M928" i="1"/>
  <c r="N928" i="1" s="1"/>
  <c r="M924" i="1"/>
  <c r="N924" i="1" s="1"/>
  <c r="M920" i="1"/>
  <c r="N920" i="1" s="1"/>
  <c r="M916" i="1"/>
  <c r="N916" i="1" s="1"/>
  <c r="M912" i="1"/>
  <c r="N912" i="1" s="1"/>
  <c r="M908" i="1"/>
  <c r="N908" i="1" s="1"/>
  <c r="M904" i="1"/>
  <c r="N904" i="1" s="1"/>
  <c r="M900" i="1"/>
  <c r="N900" i="1" s="1"/>
  <c r="M896" i="1"/>
  <c r="N896" i="1" s="1"/>
  <c r="M892" i="1"/>
  <c r="N892" i="1" s="1"/>
  <c r="M888" i="1"/>
  <c r="N888" i="1" s="1"/>
  <c r="M884" i="1"/>
  <c r="N884" i="1" s="1"/>
  <c r="M880" i="1"/>
  <c r="N880" i="1" s="1"/>
  <c r="M876" i="1"/>
  <c r="N876" i="1" s="1"/>
  <c r="M872" i="1"/>
  <c r="N872" i="1" s="1"/>
  <c r="M868" i="1"/>
  <c r="N868" i="1" s="1"/>
  <c r="M864" i="1"/>
  <c r="N864" i="1" s="1"/>
  <c r="M860" i="1"/>
  <c r="N860" i="1" s="1"/>
  <c r="M856" i="1"/>
  <c r="N856" i="1" s="1"/>
  <c r="M852" i="1"/>
  <c r="N852" i="1" s="1"/>
  <c r="M848" i="1"/>
  <c r="N848" i="1" s="1"/>
  <c r="M844" i="1"/>
  <c r="N844" i="1" s="1"/>
  <c r="M840" i="1"/>
  <c r="N840" i="1" s="1"/>
  <c r="M836" i="1"/>
  <c r="N836" i="1" s="1"/>
  <c r="M832" i="1"/>
  <c r="N832" i="1" s="1"/>
  <c r="M828" i="1"/>
  <c r="N828" i="1" s="1"/>
  <c r="M824" i="1"/>
  <c r="N824" i="1" s="1"/>
  <c r="M820" i="1"/>
  <c r="N820" i="1" s="1"/>
  <c r="M816" i="1"/>
  <c r="N816" i="1" s="1"/>
  <c r="M812" i="1"/>
  <c r="N812" i="1" s="1"/>
  <c r="M808" i="1"/>
  <c r="N808" i="1" s="1"/>
  <c r="M804" i="1"/>
  <c r="N804" i="1" s="1"/>
  <c r="M800" i="1"/>
  <c r="N800" i="1" s="1"/>
  <c r="M796" i="1"/>
  <c r="N796" i="1" s="1"/>
  <c r="M792" i="1"/>
  <c r="N792" i="1" s="1"/>
  <c r="M788" i="1"/>
  <c r="N788" i="1" s="1"/>
  <c r="M784" i="1"/>
  <c r="N784" i="1" s="1"/>
  <c r="M780" i="1"/>
  <c r="N780" i="1" s="1"/>
  <c r="M776" i="1"/>
  <c r="N776" i="1" s="1"/>
  <c r="M772" i="1"/>
  <c r="N772" i="1" s="1"/>
  <c r="M768" i="1"/>
  <c r="N768" i="1" s="1"/>
  <c r="M764" i="1"/>
  <c r="N764" i="1" s="1"/>
  <c r="M760" i="1"/>
  <c r="N760" i="1" s="1"/>
  <c r="M756" i="1"/>
  <c r="N756" i="1" s="1"/>
  <c r="M752" i="1"/>
  <c r="N752" i="1" s="1"/>
  <c r="M748" i="1"/>
  <c r="N748" i="1" s="1"/>
  <c r="M744" i="1"/>
  <c r="N744" i="1" s="1"/>
  <c r="M740" i="1"/>
  <c r="N740" i="1" s="1"/>
  <c r="M736" i="1"/>
  <c r="N736" i="1" s="1"/>
  <c r="M732" i="1"/>
  <c r="N732" i="1" s="1"/>
  <c r="M728" i="1"/>
  <c r="N728" i="1" s="1"/>
  <c r="M724" i="1"/>
  <c r="N724" i="1" s="1"/>
  <c r="M720" i="1"/>
  <c r="N720" i="1" s="1"/>
  <c r="M716" i="1"/>
  <c r="N716" i="1" s="1"/>
  <c r="M712" i="1"/>
  <c r="N712" i="1" s="1"/>
  <c r="M708" i="1"/>
  <c r="N708" i="1" s="1"/>
  <c r="M704" i="1"/>
  <c r="N704" i="1" s="1"/>
  <c r="M700" i="1"/>
  <c r="N700" i="1" s="1"/>
  <c r="M696" i="1"/>
  <c r="N696" i="1" s="1"/>
  <c r="M692" i="1"/>
  <c r="N692" i="1" s="1"/>
  <c r="M688" i="1"/>
  <c r="N688" i="1" s="1"/>
  <c r="M684" i="1"/>
  <c r="N684" i="1" s="1"/>
  <c r="M680" i="1"/>
  <c r="N680" i="1" s="1"/>
  <c r="M676" i="1"/>
  <c r="N676" i="1" s="1"/>
  <c r="M672" i="1"/>
  <c r="N672" i="1" s="1"/>
  <c r="M668" i="1"/>
  <c r="N668" i="1" s="1"/>
  <c r="M664" i="1"/>
  <c r="N664" i="1" s="1"/>
  <c r="M660" i="1"/>
  <c r="N660" i="1" s="1"/>
  <c r="M656" i="1"/>
  <c r="N656" i="1" s="1"/>
  <c r="M652" i="1"/>
  <c r="N652" i="1" s="1"/>
  <c r="M648" i="1"/>
  <c r="N648" i="1" s="1"/>
  <c r="M644" i="1"/>
  <c r="N644" i="1" s="1"/>
  <c r="M640" i="1"/>
  <c r="N640" i="1" s="1"/>
  <c r="M636" i="1"/>
  <c r="N636" i="1" s="1"/>
  <c r="M632" i="1"/>
  <c r="N632" i="1" s="1"/>
  <c r="M628" i="1"/>
  <c r="N628" i="1" s="1"/>
  <c r="M624" i="1"/>
  <c r="N624" i="1" s="1"/>
  <c r="M620" i="1"/>
  <c r="N620" i="1" s="1"/>
  <c r="M616" i="1"/>
  <c r="N616" i="1" s="1"/>
  <c r="M612" i="1"/>
  <c r="N612" i="1" s="1"/>
  <c r="M608" i="1"/>
  <c r="N608" i="1" s="1"/>
  <c r="M604" i="1"/>
  <c r="N604" i="1" s="1"/>
  <c r="M600" i="1"/>
  <c r="N600" i="1" s="1"/>
  <c r="M596" i="1"/>
  <c r="N596" i="1" s="1"/>
  <c r="M592" i="1"/>
  <c r="N592" i="1" s="1"/>
  <c r="M588" i="1"/>
  <c r="N588" i="1" s="1"/>
  <c r="M584" i="1"/>
  <c r="N584" i="1" s="1"/>
  <c r="M580" i="1"/>
  <c r="N580" i="1" s="1"/>
  <c r="M576" i="1"/>
  <c r="N576" i="1" s="1"/>
  <c r="M572" i="1"/>
  <c r="N572" i="1" s="1"/>
  <c r="M568" i="1"/>
  <c r="N568" i="1" s="1"/>
  <c r="M564" i="1"/>
  <c r="N564" i="1" s="1"/>
  <c r="M560" i="1"/>
  <c r="N560" i="1" s="1"/>
  <c r="M556" i="1"/>
  <c r="N556" i="1" s="1"/>
  <c r="M552" i="1"/>
  <c r="N552" i="1" s="1"/>
  <c r="M548" i="1"/>
  <c r="N548" i="1" s="1"/>
  <c r="M544" i="1"/>
  <c r="N544" i="1" s="1"/>
  <c r="M540" i="1"/>
  <c r="N540" i="1" s="1"/>
  <c r="M536" i="1"/>
  <c r="N536" i="1" s="1"/>
  <c r="M532" i="1"/>
  <c r="N532" i="1" s="1"/>
  <c r="M528" i="1"/>
  <c r="N528" i="1" s="1"/>
  <c r="M524" i="1"/>
  <c r="N524" i="1" s="1"/>
  <c r="M520" i="1"/>
  <c r="N520" i="1" s="1"/>
  <c r="M516" i="1"/>
  <c r="N516" i="1" s="1"/>
  <c r="M512" i="1"/>
  <c r="N512" i="1" s="1"/>
  <c r="M508" i="1"/>
  <c r="N508" i="1" s="1"/>
  <c r="M504" i="1"/>
  <c r="N504" i="1" s="1"/>
  <c r="M500" i="1"/>
  <c r="N500" i="1" s="1"/>
  <c r="M496" i="1"/>
  <c r="N496" i="1" s="1"/>
  <c r="M492" i="1"/>
  <c r="N492" i="1" s="1"/>
  <c r="M488" i="1"/>
  <c r="N488" i="1" s="1"/>
  <c r="M484" i="1"/>
  <c r="N484" i="1" s="1"/>
  <c r="M480" i="1"/>
  <c r="N480" i="1" s="1"/>
  <c r="M476" i="1"/>
  <c r="N476" i="1" s="1"/>
  <c r="M472" i="1"/>
  <c r="N472" i="1" s="1"/>
  <c r="M468" i="1"/>
  <c r="N468" i="1" s="1"/>
  <c r="M464" i="1"/>
  <c r="N464" i="1" s="1"/>
  <c r="M460" i="1"/>
  <c r="N460" i="1" s="1"/>
  <c r="M456" i="1"/>
  <c r="N456" i="1" s="1"/>
  <c r="M452" i="1"/>
  <c r="N452" i="1" s="1"/>
  <c r="M448" i="1"/>
  <c r="N448" i="1" s="1"/>
  <c r="M444" i="1"/>
  <c r="N444" i="1" s="1"/>
  <c r="M440" i="1"/>
  <c r="N440" i="1" s="1"/>
  <c r="M436" i="1"/>
  <c r="N436" i="1" s="1"/>
  <c r="M432" i="1"/>
  <c r="N432" i="1" s="1"/>
  <c r="M428" i="1"/>
  <c r="N428" i="1" s="1"/>
  <c r="M424" i="1"/>
  <c r="N424" i="1" s="1"/>
  <c r="M420" i="1"/>
  <c r="N420" i="1" s="1"/>
  <c r="M416" i="1"/>
  <c r="N416" i="1" s="1"/>
  <c r="M412" i="1"/>
  <c r="N412" i="1" s="1"/>
  <c r="M408" i="1"/>
  <c r="N408" i="1" s="1"/>
  <c r="M404" i="1"/>
  <c r="N404" i="1" s="1"/>
  <c r="M400" i="1"/>
  <c r="N400" i="1" s="1"/>
  <c r="M396" i="1"/>
  <c r="N396" i="1" s="1"/>
  <c r="M392" i="1"/>
  <c r="N392" i="1" s="1"/>
  <c r="M388" i="1"/>
  <c r="N388" i="1" s="1"/>
  <c r="M384" i="1"/>
  <c r="N384" i="1" s="1"/>
  <c r="M380" i="1"/>
  <c r="N380" i="1" s="1"/>
  <c r="M376" i="1"/>
  <c r="N376" i="1" s="1"/>
  <c r="M372" i="1"/>
  <c r="N372" i="1" s="1"/>
  <c r="M368" i="1"/>
  <c r="N368" i="1" s="1"/>
  <c r="M364" i="1"/>
  <c r="N364" i="1" s="1"/>
  <c r="M360" i="1"/>
  <c r="N360" i="1" s="1"/>
  <c r="M356" i="1"/>
  <c r="N356" i="1" s="1"/>
  <c r="M352" i="1"/>
  <c r="N352" i="1" s="1"/>
  <c r="M348" i="1"/>
  <c r="N348" i="1" s="1"/>
  <c r="M344" i="1"/>
  <c r="N344" i="1" s="1"/>
  <c r="M340" i="1"/>
  <c r="N340" i="1" s="1"/>
  <c r="M336" i="1"/>
  <c r="N336" i="1" s="1"/>
  <c r="M332" i="1"/>
  <c r="N332" i="1" s="1"/>
  <c r="M328" i="1"/>
  <c r="N328" i="1" s="1"/>
  <c r="M324" i="1"/>
  <c r="N324" i="1" s="1"/>
  <c r="M320" i="1"/>
  <c r="N320" i="1" s="1"/>
  <c r="M316" i="1"/>
  <c r="N316" i="1" s="1"/>
  <c r="M312" i="1"/>
  <c r="N312" i="1" s="1"/>
  <c r="M308" i="1"/>
  <c r="N308" i="1" s="1"/>
  <c r="M304" i="1"/>
  <c r="N304" i="1" s="1"/>
  <c r="M300" i="1"/>
  <c r="N300" i="1" s="1"/>
  <c r="M296" i="1"/>
  <c r="N296" i="1" s="1"/>
  <c r="M292" i="1"/>
  <c r="N292" i="1" s="1"/>
  <c r="M288" i="1"/>
  <c r="N288" i="1" s="1"/>
  <c r="M284" i="1"/>
  <c r="N284" i="1" s="1"/>
  <c r="M280" i="1"/>
  <c r="N280" i="1" s="1"/>
  <c r="M276" i="1"/>
  <c r="N276" i="1" s="1"/>
  <c r="M272" i="1"/>
  <c r="N272" i="1" s="1"/>
  <c r="M268" i="1"/>
  <c r="N268" i="1" s="1"/>
  <c r="M264" i="1"/>
  <c r="N264" i="1" s="1"/>
  <c r="M260" i="1"/>
  <c r="N260" i="1" s="1"/>
  <c r="M256" i="1"/>
  <c r="N256" i="1" s="1"/>
  <c r="M252" i="1"/>
  <c r="N252" i="1" s="1"/>
  <c r="M248" i="1"/>
  <c r="N248" i="1" s="1"/>
  <c r="M244" i="1"/>
  <c r="N244" i="1" s="1"/>
  <c r="M240" i="1"/>
  <c r="N240" i="1" s="1"/>
  <c r="M236" i="1"/>
  <c r="N236" i="1" s="1"/>
  <c r="M232" i="1"/>
  <c r="N232" i="1" s="1"/>
  <c r="M228" i="1"/>
  <c r="N228" i="1" s="1"/>
  <c r="M224" i="1"/>
  <c r="N224" i="1" s="1"/>
  <c r="M220" i="1"/>
  <c r="N220" i="1" s="1"/>
  <c r="M216" i="1"/>
  <c r="N216" i="1" s="1"/>
  <c r="M212" i="1"/>
  <c r="N212" i="1" s="1"/>
  <c r="M208" i="1"/>
  <c r="N208" i="1" s="1"/>
  <c r="M204" i="1"/>
  <c r="N204" i="1" s="1"/>
  <c r="M200" i="1"/>
  <c r="N200" i="1" s="1"/>
  <c r="M196" i="1"/>
  <c r="N196" i="1" s="1"/>
  <c r="M192" i="1"/>
  <c r="N192" i="1" s="1"/>
  <c r="M188" i="1"/>
  <c r="N188" i="1" s="1"/>
  <c r="M184" i="1"/>
  <c r="N184" i="1" s="1"/>
  <c r="M180" i="1"/>
  <c r="N180" i="1" s="1"/>
  <c r="M176" i="1"/>
  <c r="N176" i="1" s="1"/>
  <c r="M172" i="1"/>
  <c r="N172" i="1" s="1"/>
  <c r="M168" i="1"/>
  <c r="N168" i="1" s="1"/>
  <c r="M164" i="1"/>
  <c r="N164" i="1" s="1"/>
  <c r="M160" i="1"/>
  <c r="N160" i="1" s="1"/>
  <c r="M156" i="1"/>
  <c r="N156" i="1" s="1"/>
  <c r="M152" i="1"/>
  <c r="N152" i="1" s="1"/>
  <c r="M148" i="1"/>
  <c r="N148" i="1" s="1"/>
  <c r="M144" i="1"/>
  <c r="N144" i="1" s="1"/>
  <c r="M140" i="1"/>
  <c r="N140" i="1" s="1"/>
  <c r="M136" i="1"/>
  <c r="N136" i="1" s="1"/>
  <c r="M132" i="1"/>
  <c r="N132" i="1" s="1"/>
  <c r="M128" i="1"/>
  <c r="N128" i="1" s="1"/>
  <c r="M124" i="1"/>
  <c r="N124" i="1" s="1"/>
  <c r="M120" i="1"/>
  <c r="N120" i="1" s="1"/>
  <c r="M116" i="1"/>
  <c r="N116" i="1" s="1"/>
  <c r="M112" i="1"/>
  <c r="N112" i="1" s="1"/>
  <c r="M108" i="1"/>
  <c r="N108" i="1" s="1"/>
  <c r="M104" i="1"/>
  <c r="N104" i="1" s="1"/>
  <c r="M100" i="1"/>
  <c r="N100" i="1" s="1"/>
  <c r="M96" i="1"/>
  <c r="N96" i="1" s="1"/>
  <c r="M92" i="1"/>
  <c r="N92" i="1" s="1"/>
  <c r="M88" i="1"/>
  <c r="N88" i="1" s="1"/>
  <c r="M84" i="1"/>
  <c r="N84" i="1" s="1"/>
  <c r="M80" i="1"/>
  <c r="N80" i="1" s="1"/>
  <c r="M76" i="1"/>
  <c r="N76" i="1" s="1"/>
  <c r="M72" i="1"/>
  <c r="N72" i="1" s="1"/>
  <c r="M68" i="1"/>
  <c r="N68" i="1" s="1"/>
  <c r="M64" i="1"/>
  <c r="N64" i="1" s="1"/>
  <c r="M60" i="1"/>
  <c r="N60" i="1" s="1"/>
  <c r="M56" i="1"/>
  <c r="N56" i="1" s="1"/>
  <c r="M52" i="1"/>
  <c r="N52" i="1" s="1"/>
  <c r="M48" i="1"/>
  <c r="N48" i="1" s="1"/>
  <c r="M44" i="1"/>
  <c r="N44" i="1" s="1"/>
  <c r="M40" i="1"/>
  <c r="N40" i="1" s="1"/>
  <c r="M36" i="1"/>
  <c r="N36" i="1" s="1"/>
  <c r="M32" i="1"/>
  <c r="N32" i="1" s="1"/>
  <c r="M28" i="1"/>
  <c r="N28" i="1" s="1"/>
  <c r="M24" i="1"/>
  <c r="N24" i="1" s="1"/>
  <c r="M20" i="1"/>
  <c r="N20" i="1" s="1"/>
  <c r="M16" i="1"/>
  <c r="N16" i="1" s="1"/>
  <c r="M12" i="1"/>
  <c r="N12" i="1" s="1"/>
  <c r="M8" i="1"/>
  <c r="N8" i="1" s="1"/>
  <c r="M4" i="1"/>
  <c r="N4" i="1" s="1"/>
  <c r="M999" i="1"/>
  <c r="N999" i="1" s="1"/>
  <c r="M995" i="1"/>
  <c r="N995" i="1" s="1"/>
  <c r="M991" i="1"/>
  <c r="N991" i="1" s="1"/>
  <c r="M987" i="1"/>
  <c r="N987" i="1" s="1"/>
  <c r="M983" i="1"/>
  <c r="N983" i="1" s="1"/>
  <c r="M979" i="1"/>
  <c r="N979" i="1" s="1"/>
  <c r="M975" i="1"/>
  <c r="N975" i="1" s="1"/>
  <c r="M971" i="1"/>
  <c r="N971" i="1" s="1"/>
  <c r="M967" i="1"/>
  <c r="N967" i="1" s="1"/>
  <c r="M963" i="1"/>
  <c r="N963" i="1" s="1"/>
  <c r="M959" i="1"/>
  <c r="N959" i="1" s="1"/>
  <c r="M955" i="1"/>
  <c r="N955" i="1" s="1"/>
  <c r="M951" i="1"/>
  <c r="N951" i="1" s="1"/>
  <c r="M947" i="1"/>
  <c r="N947" i="1" s="1"/>
  <c r="M943" i="1"/>
  <c r="N943" i="1" s="1"/>
  <c r="M939" i="1"/>
  <c r="N939" i="1" s="1"/>
  <c r="M935" i="1"/>
  <c r="N935" i="1" s="1"/>
  <c r="M931" i="1"/>
  <c r="N931" i="1" s="1"/>
  <c r="M927" i="1"/>
  <c r="N927" i="1" s="1"/>
  <c r="M923" i="1"/>
  <c r="N923" i="1" s="1"/>
  <c r="M919" i="1"/>
  <c r="N919" i="1" s="1"/>
  <c r="M915" i="1"/>
  <c r="N915" i="1" s="1"/>
  <c r="M911" i="1"/>
  <c r="N911" i="1" s="1"/>
  <c r="M907" i="1"/>
  <c r="N907" i="1" s="1"/>
  <c r="M903" i="1"/>
  <c r="N903" i="1" s="1"/>
  <c r="M899" i="1"/>
  <c r="N899" i="1" s="1"/>
  <c r="M895" i="1"/>
  <c r="N895" i="1" s="1"/>
  <c r="M891" i="1"/>
  <c r="N891" i="1" s="1"/>
  <c r="M887" i="1"/>
  <c r="N887" i="1" s="1"/>
  <c r="M883" i="1"/>
  <c r="N883" i="1" s="1"/>
  <c r="M879" i="1"/>
  <c r="N879" i="1" s="1"/>
  <c r="M875" i="1"/>
  <c r="N875" i="1" s="1"/>
  <c r="M871" i="1"/>
  <c r="N871" i="1" s="1"/>
  <c r="M867" i="1"/>
  <c r="N867" i="1" s="1"/>
  <c r="M863" i="1"/>
  <c r="N863" i="1" s="1"/>
  <c r="M859" i="1"/>
  <c r="N859" i="1" s="1"/>
  <c r="M855" i="1"/>
  <c r="N855" i="1" s="1"/>
  <c r="M851" i="1"/>
  <c r="N851" i="1" s="1"/>
  <c r="M847" i="1"/>
  <c r="N847" i="1" s="1"/>
  <c r="M843" i="1"/>
  <c r="N843" i="1" s="1"/>
  <c r="M839" i="1"/>
  <c r="N839" i="1" s="1"/>
  <c r="M835" i="1"/>
  <c r="N835" i="1" s="1"/>
  <c r="M831" i="1"/>
  <c r="N831" i="1" s="1"/>
  <c r="M827" i="1"/>
  <c r="N827" i="1" s="1"/>
  <c r="M823" i="1"/>
  <c r="N823" i="1" s="1"/>
  <c r="M819" i="1"/>
  <c r="N819" i="1" s="1"/>
  <c r="M815" i="1"/>
  <c r="N815" i="1" s="1"/>
  <c r="M811" i="1"/>
  <c r="N811" i="1" s="1"/>
  <c r="M807" i="1"/>
  <c r="N807" i="1" s="1"/>
  <c r="M803" i="1"/>
  <c r="N803" i="1" s="1"/>
  <c r="M799" i="1"/>
  <c r="N799" i="1" s="1"/>
  <c r="M795" i="1"/>
  <c r="N795" i="1" s="1"/>
  <c r="M791" i="1"/>
  <c r="N791" i="1" s="1"/>
  <c r="M787" i="1"/>
  <c r="N787" i="1" s="1"/>
  <c r="M783" i="1"/>
  <c r="N783" i="1" s="1"/>
  <c r="M779" i="1"/>
  <c r="N779" i="1" s="1"/>
  <c r="M775" i="1"/>
  <c r="N775" i="1" s="1"/>
  <c r="M771" i="1"/>
  <c r="N771" i="1" s="1"/>
  <c r="M767" i="1"/>
  <c r="N767" i="1" s="1"/>
  <c r="M763" i="1"/>
  <c r="N763" i="1" s="1"/>
  <c r="M759" i="1"/>
  <c r="N759" i="1" s="1"/>
  <c r="M755" i="1"/>
  <c r="N755" i="1" s="1"/>
  <c r="M751" i="1"/>
  <c r="N751" i="1" s="1"/>
  <c r="M747" i="1"/>
  <c r="N747" i="1" s="1"/>
  <c r="M743" i="1"/>
  <c r="N743" i="1" s="1"/>
  <c r="M739" i="1"/>
  <c r="N739" i="1" s="1"/>
  <c r="M735" i="1"/>
  <c r="N735" i="1" s="1"/>
  <c r="M731" i="1"/>
  <c r="N731" i="1" s="1"/>
  <c r="M727" i="1"/>
  <c r="N727" i="1" s="1"/>
  <c r="M723" i="1"/>
  <c r="N723" i="1" s="1"/>
  <c r="M719" i="1"/>
  <c r="N719" i="1" s="1"/>
  <c r="M715" i="1"/>
  <c r="N715" i="1" s="1"/>
  <c r="M711" i="1"/>
  <c r="N711" i="1" s="1"/>
  <c r="M707" i="1"/>
  <c r="N707" i="1" s="1"/>
  <c r="M703" i="1"/>
  <c r="N703" i="1" s="1"/>
  <c r="M699" i="1"/>
  <c r="N699" i="1" s="1"/>
  <c r="M695" i="1"/>
  <c r="N695" i="1" s="1"/>
  <c r="M691" i="1"/>
  <c r="N691" i="1" s="1"/>
  <c r="M687" i="1"/>
  <c r="N687" i="1" s="1"/>
  <c r="M683" i="1"/>
  <c r="N683" i="1" s="1"/>
  <c r="M679" i="1"/>
  <c r="N679" i="1" s="1"/>
  <c r="M675" i="1"/>
  <c r="N675" i="1" s="1"/>
  <c r="M671" i="1"/>
  <c r="N671" i="1" s="1"/>
  <c r="M667" i="1"/>
  <c r="N667" i="1" s="1"/>
  <c r="M663" i="1"/>
  <c r="N663" i="1" s="1"/>
  <c r="M659" i="1"/>
  <c r="N659" i="1" s="1"/>
  <c r="M655" i="1"/>
  <c r="N655" i="1" s="1"/>
  <c r="M651" i="1"/>
  <c r="N651" i="1" s="1"/>
  <c r="M647" i="1"/>
  <c r="N647" i="1" s="1"/>
  <c r="M643" i="1"/>
  <c r="N643" i="1" s="1"/>
  <c r="M639" i="1"/>
  <c r="N639" i="1" s="1"/>
  <c r="M635" i="1"/>
  <c r="N635" i="1" s="1"/>
  <c r="M631" i="1"/>
  <c r="N631" i="1" s="1"/>
  <c r="M627" i="1"/>
  <c r="N627" i="1" s="1"/>
  <c r="M623" i="1"/>
  <c r="N623" i="1" s="1"/>
  <c r="M619" i="1"/>
  <c r="N619" i="1" s="1"/>
  <c r="M615" i="1"/>
  <c r="N615" i="1" s="1"/>
  <c r="M611" i="1"/>
  <c r="N611" i="1" s="1"/>
  <c r="M607" i="1"/>
  <c r="N607" i="1" s="1"/>
  <c r="M603" i="1"/>
  <c r="N603" i="1" s="1"/>
  <c r="M599" i="1"/>
  <c r="N599" i="1" s="1"/>
  <c r="M595" i="1"/>
  <c r="N595" i="1" s="1"/>
  <c r="M591" i="1"/>
  <c r="N591" i="1" s="1"/>
  <c r="M587" i="1"/>
  <c r="N587" i="1" s="1"/>
  <c r="M583" i="1"/>
  <c r="N583" i="1" s="1"/>
  <c r="M579" i="1"/>
  <c r="N579" i="1" s="1"/>
  <c r="M575" i="1"/>
  <c r="N575" i="1" s="1"/>
  <c r="M571" i="1"/>
  <c r="N571" i="1" s="1"/>
  <c r="M567" i="1"/>
  <c r="N567" i="1" s="1"/>
  <c r="M563" i="1"/>
  <c r="N563" i="1" s="1"/>
  <c r="M559" i="1"/>
  <c r="N559" i="1" s="1"/>
  <c r="M555" i="1"/>
  <c r="N555" i="1" s="1"/>
  <c r="M551" i="1"/>
  <c r="N551" i="1" s="1"/>
  <c r="M547" i="1"/>
  <c r="N547" i="1" s="1"/>
  <c r="M543" i="1"/>
  <c r="N543" i="1" s="1"/>
  <c r="M539" i="1"/>
  <c r="N539" i="1" s="1"/>
  <c r="M535" i="1"/>
  <c r="N535" i="1" s="1"/>
  <c r="M531" i="1"/>
  <c r="N531" i="1" s="1"/>
  <c r="M527" i="1"/>
  <c r="N527" i="1" s="1"/>
  <c r="M523" i="1"/>
  <c r="N523" i="1" s="1"/>
  <c r="M519" i="1"/>
  <c r="N519" i="1" s="1"/>
  <c r="M515" i="1"/>
  <c r="N515" i="1" s="1"/>
  <c r="M511" i="1"/>
  <c r="N511" i="1" s="1"/>
  <c r="M507" i="1"/>
  <c r="N507" i="1" s="1"/>
  <c r="M503" i="1"/>
  <c r="N503" i="1" s="1"/>
  <c r="M499" i="1"/>
  <c r="N499" i="1" s="1"/>
  <c r="M495" i="1"/>
  <c r="N495" i="1" s="1"/>
  <c r="M491" i="1"/>
  <c r="N491" i="1" s="1"/>
  <c r="M487" i="1"/>
  <c r="N487" i="1" s="1"/>
  <c r="M483" i="1"/>
  <c r="N483" i="1" s="1"/>
  <c r="M479" i="1"/>
  <c r="N479" i="1" s="1"/>
  <c r="M475" i="1"/>
  <c r="N475" i="1" s="1"/>
  <c r="M471" i="1"/>
  <c r="N471" i="1" s="1"/>
  <c r="M467" i="1"/>
  <c r="N467" i="1" s="1"/>
  <c r="M463" i="1"/>
  <c r="N463" i="1" s="1"/>
  <c r="M459" i="1"/>
  <c r="N459" i="1" s="1"/>
  <c r="M455" i="1"/>
  <c r="N455" i="1" s="1"/>
  <c r="M451" i="1"/>
  <c r="N451" i="1" s="1"/>
  <c r="M447" i="1"/>
  <c r="N447" i="1" s="1"/>
  <c r="M443" i="1"/>
  <c r="N443" i="1" s="1"/>
  <c r="M439" i="1"/>
  <c r="N439" i="1" s="1"/>
  <c r="M435" i="1"/>
  <c r="N435" i="1" s="1"/>
  <c r="M431" i="1"/>
  <c r="N431" i="1" s="1"/>
  <c r="M427" i="1"/>
  <c r="N427" i="1" s="1"/>
  <c r="M423" i="1"/>
  <c r="N423" i="1" s="1"/>
  <c r="M419" i="1"/>
  <c r="N419" i="1" s="1"/>
  <c r="M415" i="1"/>
  <c r="N415" i="1" s="1"/>
  <c r="M411" i="1"/>
  <c r="N411" i="1" s="1"/>
  <c r="M407" i="1"/>
  <c r="N407" i="1" s="1"/>
  <c r="M403" i="1"/>
  <c r="N403" i="1" s="1"/>
  <c r="M399" i="1"/>
  <c r="N399" i="1" s="1"/>
  <c r="M395" i="1"/>
  <c r="N395" i="1" s="1"/>
  <c r="M391" i="1"/>
  <c r="N391" i="1" s="1"/>
  <c r="M387" i="1"/>
  <c r="N387" i="1" s="1"/>
  <c r="M383" i="1"/>
  <c r="N383" i="1" s="1"/>
  <c r="M379" i="1"/>
  <c r="N379" i="1" s="1"/>
  <c r="M375" i="1"/>
  <c r="N375" i="1" s="1"/>
  <c r="M371" i="1"/>
  <c r="N371" i="1" s="1"/>
  <c r="M367" i="1"/>
  <c r="N367" i="1" s="1"/>
  <c r="M363" i="1"/>
  <c r="N363" i="1" s="1"/>
  <c r="M359" i="1"/>
  <c r="N359" i="1" s="1"/>
  <c r="M355" i="1"/>
  <c r="N355" i="1" s="1"/>
  <c r="M351" i="1"/>
  <c r="N351" i="1" s="1"/>
  <c r="M347" i="1"/>
  <c r="N347" i="1" s="1"/>
  <c r="M343" i="1"/>
  <c r="N343" i="1" s="1"/>
  <c r="M339" i="1"/>
  <c r="N339" i="1" s="1"/>
  <c r="M335" i="1"/>
  <c r="N335" i="1" s="1"/>
  <c r="M331" i="1"/>
  <c r="N331" i="1" s="1"/>
  <c r="M327" i="1"/>
  <c r="N327" i="1" s="1"/>
  <c r="M323" i="1"/>
  <c r="N323" i="1" s="1"/>
  <c r="M319" i="1"/>
  <c r="N319" i="1" s="1"/>
  <c r="M315" i="1"/>
  <c r="N315" i="1" s="1"/>
  <c r="M311" i="1"/>
  <c r="N311" i="1" s="1"/>
  <c r="M307" i="1"/>
  <c r="N307" i="1" s="1"/>
  <c r="M303" i="1"/>
  <c r="N303" i="1" s="1"/>
  <c r="M299" i="1"/>
  <c r="N299" i="1" s="1"/>
  <c r="M295" i="1"/>
  <c r="N295" i="1" s="1"/>
  <c r="M291" i="1"/>
  <c r="N291" i="1" s="1"/>
  <c r="M287" i="1"/>
  <c r="N287" i="1" s="1"/>
  <c r="M283" i="1"/>
  <c r="N283" i="1" s="1"/>
  <c r="M279" i="1"/>
  <c r="N279" i="1" s="1"/>
  <c r="M275" i="1"/>
  <c r="N275" i="1" s="1"/>
  <c r="M271" i="1"/>
  <c r="N271" i="1" s="1"/>
  <c r="M267" i="1"/>
  <c r="N267" i="1" s="1"/>
  <c r="M263" i="1"/>
  <c r="N263" i="1" s="1"/>
  <c r="M259" i="1"/>
  <c r="N259" i="1" s="1"/>
  <c r="M255" i="1"/>
  <c r="N255" i="1" s="1"/>
  <c r="M251" i="1"/>
  <c r="N251" i="1" s="1"/>
  <c r="M247" i="1"/>
  <c r="N247" i="1" s="1"/>
  <c r="M243" i="1"/>
  <c r="N243" i="1" s="1"/>
  <c r="M239" i="1"/>
  <c r="N239" i="1" s="1"/>
  <c r="M235" i="1"/>
  <c r="N235" i="1" s="1"/>
  <c r="M231" i="1"/>
  <c r="N231" i="1" s="1"/>
  <c r="M227" i="1"/>
  <c r="N227" i="1" s="1"/>
  <c r="M223" i="1"/>
  <c r="N223" i="1" s="1"/>
  <c r="M219" i="1"/>
  <c r="N219" i="1" s="1"/>
  <c r="M215" i="1"/>
  <c r="N215" i="1" s="1"/>
  <c r="M211" i="1"/>
  <c r="N211" i="1" s="1"/>
  <c r="M207" i="1"/>
  <c r="N207" i="1" s="1"/>
  <c r="M203" i="1"/>
  <c r="N203" i="1" s="1"/>
  <c r="M199" i="1"/>
  <c r="N199" i="1" s="1"/>
  <c r="M195" i="1"/>
  <c r="N195" i="1" s="1"/>
  <c r="M191" i="1"/>
  <c r="N191" i="1" s="1"/>
  <c r="M187" i="1"/>
  <c r="N187" i="1" s="1"/>
  <c r="M183" i="1"/>
  <c r="N183" i="1" s="1"/>
  <c r="M179" i="1"/>
  <c r="N179" i="1" s="1"/>
  <c r="M175" i="1"/>
  <c r="N175" i="1" s="1"/>
  <c r="M171" i="1"/>
  <c r="N171" i="1" s="1"/>
  <c r="M167" i="1"/>
  <c r="N167" i="1" s="1"/>
  <c r="M163" i="1"/>
  <c r="N163" i="1" s="1"/>
  <c r="M159" i="1"/>
  <c r="N159" i="1" s="1"/>
  <c r="M155" i="1"/>
  <c r="N155" i="1" s="1"/>
  <c r="M151" i="1"/>
  <c r="N151" i="1" s="1"/>
  <c r="M147" i="1"/>
  <c r="N147" i="1" s="1"/>
  <c r="M143" i="1"/>
  <c r="N143" i="1" s="1"/>
  <c r="M139" i="1"/>
  <c r="N139" i="1" s="1"/>
  <c r="M135" i="1"/>
  <c r="N135" i="1" s="1"/>
  <c r="M131" i="1"/>
  <c r="N131" i="1" s="1"/>
  <c r="M127" i="1"/>
  <c r="N127" i="1" s="1"/>
  <c r="M123" i="1"/>
  <c r="N123" i="1" s="1"/>
  <c r="M119" i="1"/>
  <c r="N119" i="1" s="1"/>
  <c r="M115" i="1"/>
  <c r="N115" i="1" s="1"/>
  <c r="M111" i="1"/>
  <c r="N111" i="1" s="1"/>
  <c r="M107" i="1"/>
  <c r="N107" i="1" s="1"/>
  <c r="M103" i="1"/>
  <c r="N103" i="1" s="1"/>
  <c r="M99" i="1"/>
  <c r="N99" i="1" s="1"/>
  <c r="M95" i="1"/>
  <c r="N95" i="1" s="1"/>
  <c r="M91" i="1"/>
  <c r="N91" i="1" s="1"/>
  <c r="M87" i="1"/>
  <c r="N87" i="1" s="1"/>
  <c r="M83" i="1"/>
  <c r="N83" i="1" s="1"/>
  <c r="M79" i="1"/>
  <c r="N79" i="1" s="1"/>
  <c r="M75" i="1"/>
  <c r="N75" i="1" s="1"/>
  <c r="M71" i="1"/>
  <c r="N71" i="1" s="1"/>
  <c r="M67" i="1"/>
  <c r="N67" i="1" s="1"/>
  <c r="M63" i="1"/>
  <c r="N63" i="1" s="1"/>
  <c r="M59" i="1"/>
  <c r="N59" i="1" s="1"/>
  <c r="M55" i="1"/>
  <c r="N55" i="1" s="1"/>
  <c r="M51" i="1"/>
  <c r="N51" i="1" s="1"/>
  <c r="M47" i="1"/>
  <c r="N47" i="1" s="1"/>
  <c r="M43" i="1"/>
  <c r="N43" i="1" s="1"/>
  <c r="M39" i="1"/>
  <c r="N39" i="1" s="1"/>
  <c r="M35" i="1"/>
  <c r="N35" i="1" s="1"/>
  <c r="M31" i="1"/>
  <c r="N31" i="1" s="1"/>
  <c r="M27" i="1"/>
  <c r="N27" i="1" s="1"/>
  <c r="M23" i="1"/>
  <c r="N23" i="1" s="1"/>
  <c r="M19" i="1"/>
  <c r="N19" i="1" s="1"/>
  <c r="M15" i="1"/>
  <c r="N15" i="1" s="1"/>
  <c r="M11" i="1"/>
  <c r="N11" i="1" s="1"/>
  <c r="M7" i="1"/>
  <c r="N7" i="1" s="1"/>
  <c r="M3" i="1"/>
  <c r="N3" i="1" s="1"/>
  <c r="M162" i="1"/>
  <c r="N162" i="1" s="1"/>
  <c r="M158" i="1"/>
  <c r="N158" i="1" s="1"/>
  <c r="M154" i="1"/>
  <c r="N154" i="1" s="1"/>
  <c r="M150" i="1"/>
  <c r="N150" i="1" s="1"/>
  <c r="M146" i="1"/>
  <c r="N146" i="1" s="1"/>
  <c r="M142" i="1"/>
  <c r="N142" i="1" s="1"/>
  <c r="M138" i="1"/>
  <c r="N138" i="1" s="1"/>
  <c r="M134" i="1"/>
  <c r="N134" i="1" s="1"/>
  <c r="M130" i="1"/>
  <c r="N130" i="1" s="1"/>
  <c r="M126" i="1"/>
  <c r="N126" i="1" s="1"/>
  <c r="M122" i="1"/>
  <c r="N122" i="1" s="1"/>
  <c r="M118" i="1"/>
  <c r="N118" i="1" s="1"/>
  <c r="M114" i="1"/>
  <c r="N114" i="1" s="1"/>
  <c r="M110" i="1"/>
  <c r="N110" i="1" s="1"/>
  <c r="M106" i="1"/>
  <c r="N106" i="1" s="1"/>
  <c r="M102" i="1"/>
  <c r="N102" i="1" s="1"/>
  <c r="M98" i="1"/>
  <c r="N98" i="1" s="1"/>
  <c r="M94" i="1"/>
  <c r="N94" i="1" s="1"/>
  <c r="M90" i="1"/>
  <c r="N90" i="1" s="1"/>
  <c r="M86" i="1"/>
  <c r="N86" i="1" s="1"/>
  <c r="M82" i="1"/>
  <c r="N82" i="1" s="1"/>
  <c r="M78" i="1"/>
  <c r="N78" i="1" s="1"/>
  <c r="M74" i="1"/>
  <c r="N74" i="1" s="1"/>
  <c r="M70" i="1"/>
  <c r="N70" i="1" s="1"/>
  <c r="M66" i="1"/>
  <c r="N66" i="1" s="1"/>
  <c r="M62" i="1"/>
  <c r="N62" i="1" s="1"/>
  <c r="M58" i="1"/>
  <c r="N58" i="1" s="1"/>
  <c r="M54" i="1"/>
  <c r="N54" i="1" s="1"/>
  <c r="M50" i="1"/>
  <c r="N50" i="1" s="1"/>
  <c r="M46" i="1"/>
  <c r="N46" i="1" s="1"/>
  <c r="M42" i="1"/>
  <c r="N42" i="1" s="1"/>
  <c r="M38" i="1"/>
  <c r="N38" i="1" s="1"/>
  <c r="M34" i="1"/>
  <c r="N34" i="1" s="1"/>
  <c r="M30" i="1"/>
  <c r="N30" i="1" s="1"/>
  <c r="M26" i="1"/>
  <c r="N26" i="1" s="1"/>
  <c r="M22" i="1"/>
  <c r="N22" i="1" s="1"/>
  <c r="M18" i="1"/>
  <c r="N18" i="1" s="1"/>
  <c r="M14" i="1"/>
  <c r="N14" i="1" s="1"/>
  <c r="M10" i="1"/>
  <c r="N10" i="1" s="1"/>
  <c r="M6" i="1"/>
  <c r="N6" i="1" s="1"/>
  <c r="M2" i="1"/>
  <c r="N2" i="1" s="1"/>
  <c r="J999" i="1"/>
  <c r="K999" i="1" s="1"/>
  <c r="J995" i="1"/>
  <c r="K995" i="1" s="1"/>
  <c r="J991" i="1"/>
  <c r="K991" i="1" s="1"/>
  <c r="J963" i="1"/>
  <c r="K963" i="1" s="1"/>
  <c r="J979" i="1"/>
  <c r="K979" i="1" s="1"/>
  <c r="J967" i="1"/>
  <c r="K967" i="1" s="1"/>
  <c r="J955" i="1"/>
  <c r="K955" i="1" s="1"/>
  <c r="J943" i="1"/>
  <c r="K943" i="1" s="1"/>
  <c r="J931" i="1"/>
  <c r="K931" i="1" s="1"/>
  <c r="J919" i="1"/>
  <c r="K919" i="1" s="1"/>
  <c r="J883" i="1"/>
  <c r="K883" i="1" s="1"/>
  <c r="J871" i="1"/>
  <c r="K871" i="1" s="1"/>
  <c r="J859" i="1"/>
  <c r="K859" i="1" s="1"/>
  <c r="J847" i="1"/>
  <c r="K847" i="1" s="1"/>
  <c r="J835" i="1"/>
  <c r="K835" i="1" s="1"/>
  <c r="J987" i="1"/>
  <c r="K987" i="1" s="1"/>
  <c r="J975" i="1"/>
  <c r="K975" i="1" s="1"/>
  <c r="J935" i="1"/>
  <c r="K935" i="1" s="1"/>
  <c r="J923" i="1"/>
  <c r="K923" i="1" s="1"/>
  <c r="J911" i="1"/>
  <c r="K911" i="1" s="1"/>
  <c r="J899" i="1"/>
  <c r="K899" i="1" s="1"/>
  <c r="J887" i="1"/>
  <c r="K887" i="1" s="1"/>
  <c r="J879" i="1"/>
  <c r="K879" i="1" s="1"/>
  <c r="J843" i="1"/>
  <c r="K843" i="1" s="1"/>
  <c r="J831" i="1"/>
  <c r="K831" i="1" s="1"/>
  <c r="J951" i="1"/>
  <c r="K951" i="1" s="1"/>
  <c r="J939" i="1"/>
  <c r="K939" i="1" s="1"/>
  <c r="J927" i="1"/>
  <c r="K927" i="1" s="1"/>
  <c r="J915" i="1"/>
  <c r="K915" i="1" s="1"/>
  <c r="J903" i="1"/>
  <c r="K903" i="1" s="1"/>
  <c r="J891" i="1"/>
  <c r="K891" i="1" s="1"/>
  <c r="J875" i="1"/>
  <c r="K875" i="1" s="1"/>
  <c r="J863" i="1"/>
  <c r="K863" i="1" s="1"/>
  <c r="J851" i="1"/>
  <c r="K851" i="1" s="1"/>
  <c r="J839" i="1"/>
  <c r="K839" i="1" s="1"/>
  <c r="J823" i="1"/>
  <c r="K823" i="1" s="1"/>
  <c r="J983" i="1"/>
  <c r="K983" i="1" s="1"/>
  <c r="J971" i="1"/>
  <c r="K971" i="1" s="1"/>
  <c r="J959" i="1"/>
  <c r="K959" i="1" s="1"/>
  <c r="J947" i="1"/>
  <c r="K947" i="1" s="1"/>
  <c r="J907" i="1"/>
  <c r="K907" i="1" s="1"/>
  <c r="J895" i="1"/>
  <c r="K895" i="1" s="1"/>
  <c r="J867" i="1"/>
  <c r="K867" i="1" s="1"/>
  <c r="J855" i="1"/>
  <c r="K855" i="1" s="1"/>
  <c r="J827" i="1"/>
  <c r="K827" i="1" s="1"/>
  <c r="J811" i="1"/>
  <c r="K811" i="1" s="1"/>
  <c r="J803" i="1"/>
  <c r="K803" i="1" s="1"/>
  <c r="J771" i="1"/>
  <c r="K771" i="1" s="1"/>
  <c r="J759" i="1"/>
  <c r="K759" i="1" s="1"/>
  <c r="J743" i="1"/>
  <c r="K743" i="1" s="1"/>
  <c r="J727" i="1"/>
  <c r="K727" i="1" s="1"/>
  <c r="J711" i="1"/>
  <c r="K711" i="1" s="1"/>
  <c r="J699" i="1"/>
  <c r="K699" i="1" s="1"/>
  <c r="J683" i="1"/>
  <c r="K683" i="1" s="1"/>
  <c r="J667" i="1"/>
  <c r="K667" i="1" s="1"/>
  <c r="J651" i="1"/>
  <c r="K651" i="1" s="1"/>
  <c r="J631" i="1"/>
  <c r="K631" i="1" s="1"/>
  <c r="J615" i="1"/>
  <c r="K615" i="1" s="1"/>
  <c r="J599" i="1"/>
  <c r="K599" i="1" s="1"/>
  <c r="J587" i="1"/>
  <c r="K587" i="1" s="1"/>
  <c r="J567" i="1"/>
  <c r="K567" i="1" s="1"/>
  <c r="J555" i="1"/>
  <c r="K555" i="1" s="1"/>
  <c r="J535" i="1"/>
  <c r="K535" i="1" s="1"/>
  <c r="J815" i="1"/>
  <c r="K815" i="1" s="1"/>
  <c r="J799" i="1"/>
  <c r="K799" i="1" s="1"/>
  <c r="J787" i="1"/>
  <c r="K787" i="1" s="1"/>
  <c r="J775" i="1"/>
  <c r="K775" i="1" s="1"/>
  <c r="J763" i="1"/>
  <c r="K763" i="1" s="1"/>
  <c r="J747" i="1"/>
  <c r="K747" i="1" s="1"/>
  <c r="J731" i="1"/>
  <c r="K731" i="1" s="1"/>
  <c r="J715" i="1"/>
  <c r="K715" i="1" s="1"/>
  <c r="J695" i="1"/>
  <c r="K695" i="1" s="1"/>
  <c r="J679" i="1"/>
  <c r="K679" i="1" s="1"/>
  <c r="J663" i="1"/>
  <c r="K663" i="1" s="1"/>
  <c r="J647" i="1"/>
  <c r="K647" i="1" s="1"/>
  <c r="J635" i="1"/>
  <c r="K635" i="1" s="1"/>
  <c r="J619" i="1"/>
  <c r="K619" i="1" s="1"/>
  <c r="J603" i="1"/>
  <c r="K603" i="1" s="1"/>
  <c r="J583" i="1"/>
  <c r="K583" i="1" s="1"/>
  <c r="J571" i="1"/>
  <c r="K571" i="1" s="1"/>
  <c r="J551" i="1"/>
  <c r="K551" i="1" s="1"/>
  <c r="J539" i="1"/>
  <c r="K539" i="1" s="1"/>
  <c r="J503" i="1"/>
  <c r="K503" i="1" s="1"/>
  <c r="J487" i="1"/>
  <c r="K487" i="1" s="1"/>
  <c r="J475" i="1"/>
  <c r="K475" i="1" s="1"/>
  <c r="J463" i="1"/>
  <c r="K463" i="1" s="1"/>
  <c r="J451" i="1"/>
  <c r="K451" i="1" s="1"/>
  <c r="J439" i="1"/>
  <c r="K439" i="1" s="1"/>
  <c r="J423" i="1"/>
  <c r="K423" i="1" s="1"/>
  <c r="J411" i="1"/>
  <c r="K411" i="1" s="1"/>
  <c r="J399" i="1"/>
  <c r="K399" i="1" s="1"/>
  <c r="J387" i="1"/>
  <c r="K387" i="1" s="1"/>
  <c r="J371" i="1"/>
  <c r="K371" i="1" s="1"/>
  <c r="J359" i="1"/>
  <c r="K359" i="1" s="1"/>
  <c r="J347" i="1"/>
  <c r="K347" i="1" s="1"/>
  <c r="J335" i="1"/>
  <c r="K335" i="1" s="1"/>
  <c r="J323" i="1"/>
  <c r="K323" i="1" s="1"/>
  <c r="J311" i="1"/>
  <c r="K311" i="1" s="1"/>
  <c r="J291" i="1"/>
  <c r="K291" i="1" s="1"/>
  <c r="J791" i="1"/>
  <c r="K791" i="1" s="1"/>
  <c r="J779" i="1"/>
  <c r="K779" i="1" s="1"/>
  <c r="J767" i="1"/>
  <c r="K767" i="1" s="1"/>
  <c r="J755" i="1"/>
  <c r="K755" i="1" s="1"/>
  <c r="J739" i="1"/>
  <c r="K739" i="1" s="1"/>
  <c r="J723" i="1"/>
  <c r="K723" i="1" s="1"/>
  <c r="J707" i="1"/>
  <c r="K707" i="1" s="1"/>
  <c r="J691" i="1"/>
  <c r="K691" i="1" s="1"/>
  <c r="J675" i="1"/>
  <c r="K675" i="1" s="1"/>
  <c r="J659" i="1"/>
  <c r="K659" i="1" s="1"/>
  <c r="J643" i="1"/>
  <c r="K643" i="1" s="1"/>
  <c r="J627" i="1"/>
  <c r="K627" i="1" s="1"/>
  <c r="J611" i="1"/>
  <c r="K611" i="1" s="1"/>
  <c r="J595" i="1"/>
  <c r="K595" i="1" s="1"/>
  <c r="J579" i="1"/>
  <c r="K579" i="1" s="1"/>
  <c r="J563" i="1"/>
  <c r="K563" i="1" s="1"/>
  <c r="J547" i="1"/>
  <c r="K547" i="1" s="1"/>
  <c r="J531" i="1"/>
  <c r="K531" i="1" s="1"/>
  <c r="J523" i="1"/>
  <c r="K523" i="1" s="1"/>
  <c r="J515" i="1"/>
  <c r="K515" i="1" s="1"/>
  <c r="J507" i="1"/>
  <c r="K507" i="1" s="1"/>
  <c r="J495" i="1"/>
  <c r="K495" i="1" s="1"/>
  <c r="J483" i="1"/>
  <c r="K483" i="1" s="1"/>
  <c r="J471" i="1"/>
  <c r="K471" i="1" s="1"/>
  <c r="J459" i="1"/>
  <c r="K459" i="1" s="1"/>
  <c r="J447" i="1"/>
  <c r="K447" i="1" s="1"/>
  <c r="J435" i="1"/>
  <c r="K435" i="1" s="1"/>
  <c r="J427" i="1"/>
  <c r="K427" i="1" s="1"/>
  <c r="J415" i="1"/>
  <c r="K415" i="1" s="1"/>
  <c r="J403" i="1"/>
  <c r="K403" i="1" s="1"/>
  <c r="J391" i="1"/>
  <c r="K391" i="1" s="1"/>
  <c r="J379" i="1"/>
  <c r="K379" i="1" s="1"/>
  <c r="J367" i="1"/>
  <c r="K367" i="1" s="1"/>
  <c r="J355" i="1"/>
  <c r="K355" i="1" s="1"/>
  <c r="J343" i="1"/>
  <c r="K343" i="1" s="1"/>
  <c r="J331" i="1"/>
  <c r="K331" i="1" s="1"/>
  <c r="J319" i="1"/>
  <c r="K319" i="1" s="1"/>
  <c r="J307" i="1"/>
  <c r="K307" i="1" s="1"/>
  <c r="J299" i="1"/>
  <c r="K299" i="1" s="1"/>
  <c r="J287" i="1"/>
  <c r="K287" i="1" s="1"/>
  <c r="J279" i="1"/>
  <c r="K279" i="1" s="1"/>
  <c r="J271" i="1"/>
  <c r="K271" i="1" s="1"/>
  <c r="J263" i="1"/>
  <c r="K263" i="1" s="1"/>
  <c r="J255" i="1"/>
  <c r="K255" i="1" s="1"/>
  <c r="J247" i="1"/>
  <c r="K247" i="1" s="1"/>
  <c r="J239" i="1"/>
  <c r="K239" i="1" s="1"/>
  <c r="J231" i="1"/>
  <c r="K231" i="1" s="1"/>
  <c r="J223" i="1"/>
  <c r="K223" i="1" s="1"/>
  <c r="J215" i="1"/>
  <c r="K215" i="1" s="1"/>
  <c r="J207" i="1"/>
  <c r="K207" i="1" s="1"/>
  <c r="J195" i="1"/>
  <c r="K195" i="1" s="1"/>
  <c r="J191" i="1"/>
  <c r="K191" i="1" s="1"/>
  <c r="J183" i="1"/>
  <c r="K183" i="1" s="1"/>
  <c r="J171" i="1"/>
  <c r="K171" i="1" s="1"/>
  <c r="J163" i="1"/>
  <c r="K163" i="1" s="1"/>
  <c r="J159" i="1"/>
  <c r="K159" i="1" s="1"/>
  <c r="J151" i="1"/>
  <c r="K151" i="1" s="1"/>
  <c r="J139" i="1"/>
  <c r="K139" i="1" s="1"/>
  <c r="J135" i="1"/>
  <c r="K135" i="1" s="1"/>
  <c r="J123" i="1"/>
  <c r="K123" i="1" s="1"/>
  <c r="J119" i="1"/>
  <c r="K119" i="1" s="1"/>
  <c r="J107" i="1"/>
  <c r="K107" i="1" s="1"/>
  <c r="J103" i="1"/>
  <c r="K103" i="1" s="1"/>
  <c r="J95" i="1"/>
  <c r="K95" i="1" s="1"/>
  <c r="J87" i="1"/>
  <c r="K87" i="1" s="1"/>
  <c r="J75" i="1"/>
  <c r="K75" i="1" s="1"/>
  <c r="J71" i="1"/>
  <c r="K71" i="1" s="1"/>
  <c r="J59" i="1"/>
  <c r="K59" i="1" s="1"/>
  <c r="J55" i="1"/>
  <c r="K55" i="1" s="1"/>
  <c r="J47" i="1"/>
  <c r="K47" i="1" s="1"/>
  <c r="J39" i="1"/>
  <c r="K39" i="1" s="1"/>
  <c r="J27" i="1"/>
  <c r="K27" i="1" s="1"/>
  <c r="J19" i="1"/>
  <c r="K19" i="1" s="1"/>
  <c r="J11" i="1"/>
  <c r="K11" i="1" s="1"/>
  <c r="J3" i="1"/>
  <c r="K3" i="1" s="1"/>
  <c r="J998" i="1"/>
  <c r="K998" i="1" s="1"/>
  <c r="J986" i="1"/>
  <c r="K986" i="1" s="1"/>
  <c r="J982" i="1"/>
  <c r="K982" i="1" s="1"/>
  <c r="J974" i="1"/>
  <c r="K974" i="1" s="1"/>
  <c r="J966" i="1"/>
  <c r="K966" i="1" s="1"/>
  <c r="J958" i="1"/>
  <c r="K958" i="1" s="1"/>
  <c r="J950" i="1"/>
  <c r="K950" i="1" s="1"/>
  <c r="J946" i="1"/>
  <c r="K946" i="1" s="1"/>
  <c r="J938" i="1"/>
  <c r="K938" i="1" s="1"/>
  <c r="J926" i="1"/>
  <c r="K926" i="1" s="1"/>
  <c r="J922" i="1"/>
  <c r="K922" i="1" s="1"/>
  <c r="J914" i="1"/>
  <c r="K914" i="1" s="1"/>
  <c r="J906" i="1"/>
  <c r="K906" i="1" s="1"/>
  <c r="J898" i="1"/>
  <c r="K898" i="1" s="1"/>
  <c r="J890" i="1"/>
  <c r="K890" i="1" s="1"/>
  <c r="J882" i="1"/>
  <c r="K882" i="1" s="1"/>
  <c r="J874" i="1"/>
  <c r="K874" i="1" s="1"/>
  <c r="J866" i="1"/>
  <c r="K866" i="1" s="1"/>
  <c r="J858" i="1"/>
  <c r="K858" i="1" s="1"/>
  <c r="J850" i="1"/>
  <c r="K850" i="1" s="1"/>
  <c r="J842" i="1"/>
  <c r="K842" i="1" s="1"/>
  <c r="J834" i="1"/>
  <c r="K834" i="1" s="1"/>
  <c r="J822" i="1"/>
  <c r="K822" i="1" s="1"/>
  <c r="J814" i="1"/>
  <c r="K814" i="1" s="1"/>
  <c r="J806" i="1"/>
  <c r="K806" i="1" s="1"/>
  <c r="J798" i="1"/>
  <c r="K798" i="1" s="1"/>
  <c r="J786" i="1"/>
  <c r="K786" i="1" s="1"/>
  <c r="J782" i="1"/>
  <c r="K782" i="1" s="1"/>
  <c r="J774" i="1"/>
  <c r="K774" i="1" s="1"/>
  <c r="J766" i="1"/>
  <c r="K766" i="1" s="1"/>
  <c r="J758" i="1"/>
  <c r="K758" i="1" s="1"/>
  <c r="J754" i="1"/>
  <c r="K754" i="1" s="1"/>
  <c r="J742" i="1"/>
  <c r="K742" i="1" s="1"/>
  <c r="J734" i="1"/>
  <c r="K734" i="1" s="1"/>
  <c r="J730" i="1"/>
  <c r="K730" i="1" s="1"/>
  <c r="J722" i="1"/>
  <c r="K722" i="1" s="1"/>
  <c r="J714" i="1"/>
  <c r="K714" i="1" s="1"/>
  <c r="J706" i="1"/>
  <c r="K706" i="1" s="1"/>
  <c r="J702" i="1"/>
  <c r="K702" i="1" s="1"/>
  <c r="J698" i="1"/>
  <c r="K698" i="1" s="1"/>
  <c r="J694" i="1"/>
  <c r="K694" i="1" s="1"/>
  <c r="J690" i="1"/>
  <c r="K690" i="1" s="1"/>
  <c r="J682" i="1"/>
  <c r="K682" i="1" s="1"/>
  <c r="J674" i="1"/>
  <c r="K674" i="1" s="1"/>
  <c r="J666" i="1"/>
  <c r="K666" i="1" s="1"/>
  <c r="J658" i="1"/>
  <c r="K658" i="1" s="1"/>
  <c r="J654" i="1"/>
  <c r="K654" i="1" s="1"/>
  <c r="J646" i="1"/>
  <c r="K646" i="1" s="1"/>
  <c r="J638" i="1"/>
  <c r="K638" i="1" s="1"/>
  <c r="J626" i="1"/>
  <c r="K626" i="1" s="1"/>
  <c r="J618" i="1"/>
  <c r="K618" i="1" s="1"/>
  <c r="J610" i="1"/>
  <c r="K610" i="1" s="1"/>
  <c r="J602" i="1"/>
  <c r="K602" i="1" s="1"/>
  <c r="J594" i="1"/>
  <c r="K594" i="1" s="1"/>
  <c r="J582" i="1"/>
  <c r="K582" i="1" s="1"/>
  <c r="J574" i="1"/>
  <c r="K574" i="1" s="1"/>
  <c r="J566" i="1"/>
  <c r="K566" i="1" s="1"/>
  <c r="J554" i="1"/>
  <c r="K554" i="1" s="1"/>
  <c r="J546" i="1"/>
  <c r="K546" i="1" s="1"/>
  <c r="J538" i="1"/>
  <c r="K538" i="1" s="1"/>
  <c r="J530" i="1"/>
  <c r="K530" i="1" s="1"/>
  <c r="J526" i="1"/>
  <c r="K526" i="1" s="1"/>
  <c r="J518" i="1"/>
  <c r="K518" i="1" s="1"/>
  <c r="J506" i="1"/>
  <c r="K506" i="1" s="1"/>
  <c r="J494" i="1"/>
  <c r="K494" i="1" s="1"/>
  <c r="J490" i="1"/>
  <c r="K490" i="1" s="1"/>
  <c r="J482" i="1"/>
  <c r="K482" i="1" s="1"/>
  <c r="J474" i="1"/>
  <c r="K474" i="1" s="1"/>
  <c r="J466" i="1"/>
  <c r="K466" i="1" s="1"/>
  <c r="J458" i="1"/>
  <c r="K458" i="1" s="1"/>
  <c r="J450" i="1"/>
  <c r="K450" i="1" s="1"/>
  <c r="J442" i="1"/>
  <c r="K442" i="1" s="1"/>
  <c r="J434" i="1"/>
  <c r="K434" i="1" s="1"/>
  <c r="J426" i="1"/>
  <c r="K426" i="1" s="1"/>
  <c r="J418" i="1"/>
  <c r="K418" i="1" s="1"/>
  <c r="J410" i="1"/>
  <c r="K410" i="1" s="1"/>
  <c r="J402" i="1"/>
  <c r="K402" i="1" s="1"/>
  <c r="J398" i="1"/>
  <c r="K398" i="1" s="1"/>
  <c r="J394" i="1"/>
  <c r="K394" i="1" s="1"/>
  <c r="J390" i="1"/>
  <c r="K390" i="1" s="1"/>
  <c r="J2" i="1"/>
  <c r="K2" i="1" s="1"/>
  <c r="J1001" i="1"/>
  <c r="K1001" i="1" s="1"/>
  <c r="J997" i="1"/>
  <c r="K997" i="1" s="1"/>
  <c r="J993" i="1"/>
  <c r="K993" i="1" s="1"/>
  <c r="J989" i="1"/>
  <c r="K989" i="1" s="1"/>
  <c r="J985" i="1"/>
  <c r="K985" i="1" s="1"/>
  <c r="J981" i="1"/>
  <c r="K981" i="1" s="1"/>
  <c r="J977" i="1"/>
  <c r="K977" i="1" s="1"/>
  <c r="J973" i="1"/>
  <c r="K973" i="1" s="1"/>
  <c r="J969" i="1"/>
  <c r="K969" i="1" s="1"/>
  <c r="J965" i="1"/>
  <c r="K965" i="1" s="1"/>
  <c r="J961" i="1"/>
  <c r="K961" i="1" s="1"/>
  <c r="J957" i="1"/>
  <c r="K957" i="1" s="1"/>
  <c r="J953" i="1"/>
  <c r="K953" i="1" s="1"/>
  <c r="J949" i="1"/>
  <c r="K949" i="1" s="1"/>
  <c r="J945" i="1"/>
  <c r="K945" i="1" s="1"/>
  <c r="J941" i="1"/>
  <c r="K941" i="1" s="1"/>
  <c r="J937" i="1"/>
  <c r="K937" i="1" s="1"/>
  <c r="J933" i="1"/>
  <c r="K933" i="1" s="1"/>
  <c r="J929" i="1"/>
  <c r="K929" i="1" s="1"/>
  <c r="J925" i="1"/>
  <c r="K925" i="1" s="1"/>
  <c r="J921" i="1"/>
  <c r="K921" i="1" s="1"/>
  <c r="J917" i="1"/>
  <c r="K917" i="1" s="1"/>
  <c r="J913" i="1"/>
  <c r="K913" i="1" s="1"/>
  <c r="J909" i="1"/>
  <c r="K909" i="1" s="1"/>
  <c r="J905" i="1"/>
  <c r="K905" i="1" s="1"/>
  <c r="J901" i="1"/>
  <c r="K901" i="1" s="1"/>
  <c r="J897" i="1"/>
  <c r="K897" i="1" s="1"/>
  <c r="J893" i="1"/>
  <c r="K893" i="1" s="1"/>
  <c r="J889" i="1"/>
  <c r="K889" i="1" s="1"/>
  <c r="J885" i="1"/>
  <c r="K885" i="1" s="1"/>
  <c r="J881" i="1"/>
  <c r="K881" i="1" s="1"/>
  <c r="J877" i="1"/>
  <c r="K877" i="1" s="1"/>
  <c r="J873" i="1"/>
  <c r="K873" i="1" s="1"/>
  <c r="J869" i="1"/>
  <c r="K869" i="1" s="1"/>
  <c r="J865" i="1"/>
  <c r="K865" i="1" s="1"/>
  <c r="J861" i="1"/>
  <c r="K861" i="1" s="1"/>
  <c r="J857" i="1"/>
  <c r="K857" i="1" s="1"/>
  <c r="J853" i="1"/>
  <c r="K853" i="1" s="1"/>
  <c r="J849" i="1"/>
  <c r="K849" i="1" s="1"/>
  <c r="J845" i="1"/>
  <c r="K845" i="1" s="1"/>
  <c r="J841" i="1"/>
  <c r="K841" i="1" s="1"/>
  <c r="J837" i="1"/>
  <c r="K837" i="1" s="1"/>
  <c r="J833" i="1"/>
  <c r="K833" i="1" s="1"/>
  <c r="J829" i="1"/>
  <c r="K829" i="1" s="1"/>
  <c r="J825" i="1"/>
  <c r="K825" i="1" s="1"/>
  <c r="J821" i="1"/>
  <c r="K821" i="1" s="1"/>
  <c r="J817" i="1"/>
  <c r="K817" i="1" s="1"/>
  <c r="J813" i="1"/>
  <c r="K813" i="1" s="1"/>
  <c r="J809" i="1"/>
  <c r="K809" i="1" s="1"/>
  <c r="J805" i="1"/>
  <c r="K805" i="1" s="1"/>
  <c r="J801" i="1"/>
  <c r="K801" i="1" s="1"/>
  <c r="J797" i="1"/>
  <c r="K797" i="1" s="1"/>
  <c r="J793" i="1"/>
  <c r="K793" i="1" s="1"/>
  <c r="J789" i="1"/>
  <c r="K789" i="1" s="1"/>
  <c r="J785" i="1"/>
  <c r="K785" i="1" s="1"/>
  <c r="J781" i="1"/>
  <c r="K781" i="1" s="1"/>
  <c r="J777" i="1"/>
  <c r="K777" i="1" s="1"/>
  <c r="J773" i="1"/>
  <c r="K773" i="1" s="1"/>
  <c r="J769" i="1"/>
  <c r="K769" i="1" s="1"/>
  <c r="J765" i="1"/>
  <c r="K765" i="1" s="1"/>
  <c r="J761" i="1"/>
  <c r="K761" i="1" s="1"/>
  <c r="J757" i="1"/>
  <c r="K757" i="1" s="1"/>
  <c r="J753" i="1"/>
  <c r="K753" i="1" s="1"/>
  <c r="J749" i="1"/>
  <c r="K749" i="1" s="1"/>
  <c r="J745" i="1"/>
  <c r="K745" i="1" s="1"/>
  <c r="J741" i="1"/>
  <c r="K741" i="1" s="1"/>
  <c r="J737" i="1"/>
  <c r="K737" i="1" s="1"/>
  <c r="J733" i="1"/>
  <c r="K733" i="1" s="1"/>
  <c r="J729" i="1"/>
  <c r="K729" i="1" s="1"/>
  <c r="J725" i="1"/>
  <c r="K725" i="1" s="1"/>
  <c r="J721" i="1"/>
  <c r="K721" i="1" s="1"/>
  <c r="J717" i="1"/>
  <c r="K717" i="1" s="1"/>
  <c r="J713" i="1"/>
  <c r="K713" i="1" s="1"/>
  <c r="J709" i="1"/>
  <c r="K709" i="1" s="1"/>
  <c r="J705" i="1"/>
  <c r="K705" i="1" s="1"/>
  <c r="J701" i="1"/>
  <c r="K701" i="1" s="1"/>
  <c r="J697" i="1"/>
  <c r="K697" i="1" s="1"/>
  <c r="J693" i="1"/>
  <c r="K693" i="1" s="1"/>
  <c r="J689" i="1"/>
  <c r="K689" i="1" s="1"/>
  <c r="J685" i="1"/>
  <c r="K685" i="1" s="1"/>
  <c r="J681" i="1"/>
  <c r="K681" i="1" s="1"/>
  <c r="J677" i="1"/>
  <c r="K677" i="1" s="1"/>
  <c r="J673" i="1"/>
  <c r="K673" i="1" s="1"/>
  <c r="J669" i="1"/>
  <c r="K669" i="1" s="1"/>
  <c r="J665" i="1"/>
  <c r="K665" i="1" s="1"/>
  <c r="J661" i="1"/>
  <c r="K661" i="1" s="1"/>
  <c r="J657" i="1"/>
  <c r="K657" i="1" s="1"/>
  <c r="J653" i="1"/>
  <c r="K653" i="1" s="1"/>
  <c r="J649" i="1"/>
  <c r="K649" i="1" s="1"/>
  <c r="J645" i="1"/>
  <c r="K645" i="1" s="1"/>
  <c r="J641" i="1"/>
  <c r="K641" i="1" s="1"/>
  <c r="J637" i="1"/>
  <c r="K637" i="1" s="1"/>
  <c r="J633" i="1"/>
  <c r="K633" i="1" s="1"/>
  <c r="J629" i="1"/>
  <c r="K629" i="1" s="1"/>
  <c r="J625" i="1"/>
  <c r="K625" i="1" s="1"/>
  <c r="J621" i="1"/>
  <c r="K621" i="1" s="1"/>
  <c r="J617" i="1"/>
  <c r="K617" i="1" s="1"/>
  <c r="J613" i="1"/>
  <c r="K613" i="1" s="1"/>
  <c r="J609" i="1"/>
  <c r="K609" i="1" s="1"/>
  <c r="J605" i="1"/>
  <c r="K605" i="1" s="1"/>
  <c r="J601" i="1"/>
  <c r="K601" i="1" s="1"/>
  <c r="J597" i="1"/>
  <c r="K597" i="1" s="1"/>
  <c r="J593" i="1"/>
  <c r="K593" i="1" s="1"/>
  <c r="J589" i="1"/>
  <c r="K589" i="1" s="1"/>
  <c r="J585" i="1"/>
  <c r="K585" i="1" s="1"/>
  <c r="J581" i="1"/>
  <c r="K581" i="1" s="1"/>
  <c r="J577" i="1"/>
  <c r="K577" i="1" s="1"/>
  <c r="J573" i="1"/>
  <c r="K573" i="1" s="1"/>
  <c r="J569" i="1"/>
  <c r="K569" i="1" s="1"/>
  <c r="J565" i="1"/>
  <c r="K565" i="1" s="1"/>
  <c r="J561" i="1"/>
  <c r="K561" i="1" s="1"/>
  <c r="J557" i="1"/>
  <c r="K557" i="1" s="1"/>
  <c r="J553" i="1"/>
  <c r="K553" i="1" s="1"/>
  <c r="J549" i="1"/>
  <c r="K549" i="1" s="1"/>
  <c r="J545" i="1"/>
  <c r="K545" i="1" s="1"/>
  <c r="J541" i="1"/>
  <c r="K541" i="1" s="1"/>
  <c r="J537" i="1"/>
  <c r="K537" i="1" s="1"/>
  <c r="J533" i="1"/>
  <c r="K533" i="1" s="1"/>
  <c r="J529" i="1"/>
  <c r="K529" i="1" s="1"/>
  <c r="J525" i="1"/>
  <c r="K525" i="1" s="1"/>
  <c r="J521" i="1"/>
  <c r="K521" i="1" s="1"/>
  <c r="J517" i="1"/>
  <c r="K517" i="1" s="1"/>
  <c r="J513" i="1"/>
  <c r="K513" i="1" s="1"/>
  <c r="J509" i="1"/>
  <c r="K509" i="1" s="1"/>
  <c r="J505" i="1"/>
  <c r="K505" i="1" s="1"/>
  <c r="J501" i="1"/>
  <c r="K501" i="1" s="1"/>
  <c r="J497" i="1"/>
  <c r="K497" i="1" s="1"/>
  <c r="J493" i="1"/>
  <c r="K493" i="1" s="1"/>
  <c r="J489" i="1"/>
  <c r="K489" i="1" s="1"/>
  <c r="J485" i="1"/>
  <c r="K485" i="1" s="1"/>
  <c r="J481" i="1"/>
  <c r="K481" i="1" s="1"/>
  <c r="J477" i="1"/>
  <c r="K477" i="1" s="1"/>
  <c r="J473" i="1"/>
  <c r="K473" i="1" s="1"/>
  <c r="J469" i="1"/>
  <c r="K469" i="1" s="1"/>
  <c r="J465" i="1"/>
  <c r="K465" i="1" s="1"/>
  <c r="J461" i="1"/>
  <c r="K461" i="1" s="1"/>
  <c r="J457" i="1"/>
  <c r="K457" i="1" s="1"/>
  <c r="J453" i="1"/>
  <c r="K453" i="1" s="1"/>
  <c r="J819" i="1"/>
  <c r="K819" i="1" s="1"/>
  <c r="J807" i="1"/>
  <c r="K807" i="1" s="1"/>
  <c r="J795" i="1"/>
  <c r="K795" i="1" s="1"/>
  <c r="J783" i="1"/>
  <c r="K783" i="1" s="1"/>
  <c r="J751" i="1"/>
  <c r="K751" i="1" s="1"/>
  <c r="J735" i="1"/>
  <c r="K735" i="1" s="1"/>
  <c r="J719" i="1"/>
  <c r="K719" i="1" s="1"/>
  <c r="J703" i="1"/>
  <c r="K703" i="1" s="1"/>
  <c r="J687" i="1"/>
  <c r="K687" i="1" s="1"/>
  <c r="J671" i="1"/>
  <c r="K671" i="1" s="1"/>
  <c r="J655" i="1"/>
  <c r="K655" i="1" s="1"/>
  <c r="J639" i="1"/>
  <c r="K639" i="1" s="1"/>
  <c r="J623" i="1"/>
  <c r="K623" i="1" s="1"/>
  <c r="J607" i="1"/>
  <c r="K607" i="1" s="1"/>
  <c r="J591" i="1"/>
  <c r="K591" i="1" s="1"/>
  <c r="J575" i="1"/>
  <c r="K575" i="1" s="1"/>
  <c r="J559" i="1"/>
  <c r="K559" i="1" s="1"/>
  <c r="J543" i="1"/>
  <c r="K543" i="1" s="1"/>
  <c r="J527" i="1"/>
  <c r="K527" i="1" s="1"/>
  <c r="J519" i="1"/>
  <c r="K519" i="1" s="1"/>
  <c r="J511" i="1"/>
  <c r="K511" i="1" s="1"/>
  <c r="J499" i="1"/>
  <c r="K499" i="1" s="1"/>
  <c r="J491" i="1"/>
  <c r="K491" i="1" s="1"/>
  <c r="J479" i="1"/>
  <c r="K479" i="1" s="1"/>
  <c r="J467" i="1"/>
  <c r="K467" i="1" s="1"/>
  <c r="J455" i="1"/>
  <c r="K455" i="1" s="1"/>
  <c r="J443" i="1"/>
  <c r="K443" i="1" s="1"/>
  <c r="J431" i="1"/>
  <c r="K431" i="1" s="1"/>
  <c r="J419" i="1"/>
  <c r="K419" i="1" s="1"/>
  <c r="J407" i="1"/>
  <c r="K407" i="1" s="1"/>
  <c r="J395" i="1"/>
  <c r="K395" i="1" s="1"/>
  <c r="J383" i="1"/>
  <c r="K383" i="1" s="1"/>
  <c r="J375" i="1"/>
  <c r="K375" i="1" s="1"/>
  <c r="J363" i="1"/>
  <c r="K363" i="1" s="1"/>
  <c r="J351" i="1"/>
  <c r="K351" i="1" s="1"/>
  <c r="J339" i="1"/>
  <c r="K339" i="1" s="1"/>
  <c r="J327" i="1"/>
  <c r="K327" i="1" s="1"/>
  <c r="J315" i="1"/>
  <c r="K315" i="1" s="1"/>
  <c r="J303" i="1"/>
  <c r="K303" i="1" s="1"/>
  <c r="J295" i="1"/>
  <c r="K295" i="1" s="1"/>
  <c r="J283" i="1"/>
  <c r="K283" i="1" s="1"/>
  <c r="J275" i="1"/>
  <c r="K275" i="1" s="1"/>
  <c r="J267" i="1"/>
  <c r="K267" i="1" s="1"/>
  <c r="J259" i="1"/>
  <c r="K259" i="1" s="1"/>
  <c r="J251" i="1"/>
  <c r="K251" i="1" s="1"/>
  <c r="J243" i="1"/>
  <c r="K243" i="1" s="1"/>
  <c r="J235" i="1"/>
  <c r="K235" i="1" s="1"/>
  <c r="J227" i="1"/>
  <c r="K227" i="1" s="1"/>
  <c r="J219" i="1"/>
  <c r="K219" i="1" s="1"/>
  <c r="J211" i="1"/>
  <c r="K211" i="1" s="1"/>
  <c r="J203" i="1"/>
  <c r="K203" i="1" s="1"/>
  <c r="J199" i="1"/>
  <c r="K199" i="1" s="1"/>
  <c r="J187" i="1"/>
  <c r="K187" i="1" s="1"/>
  <c r="J179" i="1"/>
  <c r="K179" i="1" s="1"/>
  <c r="J175" i="1"/>
  <c r="K175" i="1" s="1"/>
  <c r="J167" i="1"/>
  <c r="K167" i="1" s="1"/>
  <c r="J155" i="1"/>
  <c r="K155" i="1" s="1"/>
  <c r="J147" i="1"/>
  <c r="K147" i="1" s="1"/>
  <c r="J143" i="1"/>
  <c r="K143" i="1" s="1"/>
  <c r="J131" i="1"/>
  <c r="K131" i="1" s="1"/>
  <c r="J127" i="1"/>
  <c r="K127" i="1" s="1"/>
  <c r="J115" i="1"/>
  <c r="K115" i="1" s="1"/>
  <c r="J111" i="1"/>
  <c r="K111" i="1" s="1"/>
  <c r="J99" i="1"/>
  <c r="K99" i="1" s="1"/>
  <c r="J91" i="1"/>
  <c r="K91" i="1" s="1"/>
  <c r="J83" i="1"/>
  <c r="K83" i="1" s="1"/>
  <c r="J79" i="1"/>
  <c r="K79" i="1" s="1"/>
  <c r="J67" i="1"/>
  <c r="K67" i="1" s="1"/>
  <c r="J63" i="1"/>
  <c r="K63" i="1" s="1"/>
  <c r="J51" i="1"/>
  <c r="K51" i="1" s="1"/>
  <c r="J43" i="1"/>
  <c r="K43" i="1" s="1"/>
  <c r="J35" i="1"/>
  <c r="K35" i="1" s="1"/>
  <c r="J31" i="1"/>
  <c r="K31" i="1" s="1"/>
  <c r="J23" i="1"/>
  <c r="K23" i="1" s="1"/>
  <c r="J15" i="1"/>
  <c r="K15" i="1" s="1"/>
  <c r="J7" i="1"/>
  <c r="K7" i="1" s="1"/>
  <c r="J994" i="1"/>
  <c r="K994" i="1" s="1"/>
  <c r="J990" i="1"/>
  <c r="K990" i="1" s="1"/>
  <c r="J978" i="1"/>
  <c r="K978" i="1" s="1"/>
  <c r="J970" i="1"/>
  <c r="K970" i="1" s="1"/>
  <c r="J962" i="1"/>
  <c r="K962" i="1" s="1"/>
  <c r="J954" i="1"/>
  <c r="K954" i="1" s="1"/>
  <c r="J942" i="1"/>
  <c r="K942" i="1" s="1"/>
  <c r="J934" i="1"/>
  <c r="K934" i="1" s="1"/>
  <c r="J930" i="1"/>
  <c r="K930" i="1" s="1"/>
  <c r="J918" i="1"/>
  <c r="K918" i="1" s="1"/>
  <c r="J910" i="1"/>
  <c r="K910" i="1" s="1"/>
  <c r="J902" i="1"/>
  <c r="K902" i="1" s="1"/>
  <c r="J894" i="1"/>
  <c r="K894" i="1" s="1"/>
  <c r="J886" i="1"/>
  <c r="K886" i="1" s="1"/>
  <c r="J878" i="1"/>
  <c r="K878" i="1" s="1"/>
  <c r="J870" i="1"/>
  <c r="K870" i="1" s="1"/>
  <c r="J862" i="1"/>
  <c r="K862" i="1" s="1"/>
  <c r="J854" i="1"/>
  <c r="K854" i="1" s="1"/>
  <c r="J846" i="1"/>
  <c r="K846" i="1" s="1"/>
  <c r="J838" i="1"/>
  <c r="K838" i="1" s="1"/>
  <c r="J830" i="1"/>
  <c r="K830" i="1" s="1"/>
  <c r="J826" i="1"/>
  <c r="K826" i="1" s="1"/>
  <c r="J818" i="1"/>
  <c r="K818" i="1" s="1"/>
  <c r="J810" i="1"/>
  <c r="K810" i="1" s="1"/>
  <c r="J802" i="1"/>
  <c r="K802" i="1" s="1"/>
  <c r="J794" i="1"/>
  <c r="K794" i="1" s="1"/>
  <c r="J790" i="1"/>
  <c r="K790" i="1" s="1"/>
  <c r="J778" i="1"/>
  <c r="K778" i="1" s="1"/>
  <c r="J770" i="1"/>
  <c r="K770" i="1" s="1"/>
  <c r="J762" i="1"/>
  <c r="K762" i="1" s="1"/>
  <c r="J750" i="1"/>
  <c r="K750" i="1" s="1"/>
  <c r="J746" i="1"/>
  <c r="K746" i="1" s="1"/>
  <c r="J738" i="1"/>
  <c r="K738" i="1" s="1"/>
  <c r="J726" i="1"/>
  <c r="K726" i="1" s="1"/>
  <c r="J718" i="1"/>
  <c r="K718" i="1" s="1"/>
  <c r="J710" i="1"/>
  <c r="K710" i="1" s="1"/>
  <c r="J686" i="1"/>
  <c r="K686" i="1" s="1"/>
  <c r="J678" i="1"/>
  <c r="K678" i="1" s="1"/>
  <c r="J670" i="1"/>
  <c r="K670" i="1" s="1"/>
  <c r="J662" i="1"/>
  <c r="K662" i="1" s="1"/>
  <c r="J650" i="1"/>
  <c r="K650" i="1" s="1"/>
  <c r="J642" i="1"/>
  <c r="K642" i="1" s="1"/>
  <c r="J634" i="1"/>
  <c r="K634" i="1" s="1"/>
  <c r="J630" i="1"/>
  <c r="K630" i="1" s="1"/>
  <c r="J622" i="1"/>
  <c r="K622" i="1" s="1"/>
  <c r="J614" i="1"/>
  <c r="K614" i="1" s="1"/>
  <c r="J606" i="1"/>
  <c r="K606" i="1" s="1"/>
  <c r="J598" i="1"/>
  <c r="K598" i="1" s="1"/>
  <c r="J590" i="1"/>
  <c r="K590" i="1" s="1"/>
  <c r="J586" i="1"/>
  <c r="K586" i="1" s="1"/>
  <c r="J578" i="1"/>
  <c r="K578" i="1" s="1"/>
  <c r="J570" i="1"/>
  <c r="K570" i="1" s="1"/>
  <c r="J562" i="1"/>
  <c r="K562" i="1" s="1"/>
  <c r="J558" i="1"/>
  <c r="K558" i="1" s="1"/>
  <c r="J550" i="1"/>
  <c r="K550" i="1" s="1"/>
  <c r="J542" i="1"/>
  <c r="K542" i="1" s="1"/>
  <c r="J534" i="1"/>
  <c r="K534" i="1" s="1"/>
  <c r="J522" i="1"/>
  <c r="K522" i="1" s="1"/>
  <c r="J514" i="1"/>
  <c r="K514" i="1" s="1"/>
  <c r="J510" i="1"/>
  <c r="K510" i="1" s="1"/>
  <c r="J502" i="1"/>
  <c r="K502" i="1" s="1"/>
  <c r="J498" i="1"/>
  <c r="K498" i="1" s="1"/>
  <c r="J486" i="1"/>
  <c r="K486" i="1" s="1"/>
  <c r="J478" i="1"/>
  <c r="K478" i="1" s="1"/>
  <c r="J470" i="1"/>
  <c r="K470" i="1" s="1"/>
  <c r="J462" i="1"/>
  <c r="K462" i="1" s="1"/>
  <c r="J454" i="1"/>
  <c r="K454" i="1" s="1"/>
  <c r="J446" i="1"/>
  <c r="K446" i="1" s="1"/>
  <c r="J438" i="1"/>
  <c r="K438" i="1" s="1"/>
  <c r="J430" i="1"/>
  <c r="K430" i="1" s="1"/>
  <c r="J422" i="1"/>
  <c r="K422" i="1" s="1"/>
  <c r="J414" i="1"/>
  <c r="K414" i="1" s="1"/>
  <c r="J406" i="1"/>
  <c r="K406" i="1" s="1"/>
  <c r="J1000" i="1"/>
  <c r="K1000" i="1" s="1"/>
  <c r="J996" i="1"/>
  <c r="K996" i="1" s="1"/>
  <c r="J992" i="1"/>
  <c r="K992" i="1" s="1"/>
  <c r="J988" i="1"/>
  <c r="K988" i="1" s="1"/>
  <c r="J984" i="1"/>
  <c r="K984" i="1" s="1"/>
  <c r="J980" i="1"/>
  <c r="K980" i="1" s="1"/>
  <c r="J976" i="1"/>
  <c r="K976" i="1" s="1"/>
  <c r="J972" i="1"/>
  <c r="K972" i="1" s="1"/>
  <c r="J968" i="1"/>
  <c r="K968" i="1" s="1"/>
  <c r="J964" i="1"/>
  <c r="K964" i="1" s="1"/>
  <c r="J960" i="1"/>
  <c r="K960" i="1" s="1"/>
  <c r="J956" i="1"/>
  <c r="K956" i="1" s="1"/>
  <c r="J952" i="1"/>
  <c r="K952" i="1" s="1"/>
  <c r="J948" i="1"/>
  <c r="K948" i="1" s="1"/>
  <c r="J944" i="1"/>
  <c r="K944" i="1" s="1"/>
  <c r="J940" i="1"/>
  <c r="K940" i="1" s="1"/>
  <c r="J936" i="1"/>
  <c r="K936" i="1" s="1"/>
  <c r="J932" i="1"/>
  <c r="K932" i="1" s="1"/>
  <c r="J928" i="1"/>
  <c r="K928" i="1" s="1"/>
  <c r="J924" i="1"/>
  <c r="K924" i="1" s="1"/>
  <c r="J920" i="1"/>
  <c r="K920" i="1" s="1"/>
  <c r="J916" i="1"/>
  <c r="K916" i="1" s="1"/>
  <c r="J912" i="1"/>
  <c r="K912" i="1" s="1"/>
  <c r="J908" i="1"/>
  <c r="K908" i="1" s="1"/>
  <c r="J904" i="1"/>
  <c r="K904" i="1" s="1"/>
  <c r="J900" i="1"/>
  <c r="K900" i="1" s="1"/>
  <c r="J896" i="1"/>
  <c r="K896" i="1" s="1"/>
  <c r="J892" i="1"/>
  <c r="K892" i="1" s="1"/>
  <c r="J888" i="1"/>
  <c r="K888" i="1" s="1"/>
  <c r="J884" i="1"/>
  <c r="K884" i="1" s="1"/>
  <c r="J880" i="1"/>
  <c r="K880" i="1" s="1"/>
  <c r="J876" i="1"/>
  <c r="K876" i="1" s="1"/>
  <c r="J872" i="1"/>
  <c r="K872" i="1" s="1"/>
  <c r="J868" i="1"/>
  <c r="K868" i="1" s="1"/>
  <c r="J864" i="1"/>
  <c r="K864" i="1" s="1"/>
  <c r="J860" i="1"/>
  <c r="K860" i="1" s="1"/>
  <c r="J856" i="1"/>
  <c r="K856" i="1" s="1"/>
  <c r="J852" i="1"/>
  <c r="K852" i="1" s="1"/>
  <c r="J848" i="1"/>
  <c r="K848" i="1" s="1"/>
  <c r="J844" i="1"/>
  <c r="K844" i="1" s="1"/>
  <c r="J840" i="1"/>
  <c r="K840" i="1" s="1"/>
  <c r="J836" i="1"/>
  <c r="K836" i="1" s="1"/>
  <c r="J832" i="1"/>
  <c r="K832" i="1" s="1"/>
  <c r="J828" i="1"/>
  <c r="K828" i="1" s="1"/>
  <c r="J824" i="1"/>
  <c r="K824" i="1" s="1"/>
  <c r="J820" i="1"/>
  <c r="K820" i="1" s="1"/>
  <c r="J816" i="1"/>
  <c r="K816" i="1" s="1"/>
  <c r="J812" i="1"/>
  <c r="K812" i="1" s="1"/>
  <c r="J808" i="1"/>
  <c r="K808" i="1" s="1"/>
  <c r="J804" i="1"/>
  <c r="K804" i="1" s="1"/>
  <c r="J800" i="1"/>
  <c r="K800" i="1" s="1"/>
  <c r="J796" i="1"/>
  <c r="K796" i="1" s="1"/>
  <c r="J792" i="1"/>
  <c r="K792" i="1" s="1"/>
  <c r="J788" i="1"/>
  <c r="K788" i="1" s="1"/>
  <c r="J784" i="1"/>
  <c r="K784" i="1" s="1"/>
  <c r="J780" i="1"/>
  <c r="K780" i="1" s="1"/>
  <c r="J776" i="1"/>
  <c r="K776" i="1" s="1"/>
  <c r="J772" i="1"/>
  <c r="K772" i="1" s="1"/>
  <c r="J768" i="1"/>
  <c r="K768" i="1" s="1"/>
  <c r="J764" i="1"/>
  <c r="K764" i="1" s="1"/>
  <c r="J760" i="1"/>
  <c r="K760" i="1" s="1"/>
  <c r="J756" i="1"/>
  <c r="K756" i="1" s="1"/>
  <c r="J752" i="1"/>
  <c r="K752" i="1" s="1"/>
  <c r="J748" i="1"/>
  <c r="K748" i="1" s="1"/>
  <c r="J744" i="1"/>
  <c r="K744" i="1" s="1"/>
  <c r="J740" i="1"/>
  <c r="K740" i="1" s="1"/>
  <c r="J736" i="1"/>
  <c r="K736" i="1" s="1"/>
  <c r="J732" i="1"/>
  <c r="K732" i="1" s="1"/>
  <c r="J728" i="1"/>
  <c r="K728" i="1" s="1"/>
  <c r="J724" i="1"/>
  <c r="K724" i="1" s="1"/>
  <c r="J720" i="1"/>
  <c r="K720" i="1" s="1"/>
  <c r="J716" i="1"/>
  <c r="K716" i="1" s="1"/>
  <c r="J712" i="1"/>
  <c r="K712" i="1" s="1"/>
  <c r="J708" i="1"/>
  <c r="K708" i="1" s="1"/>
  <c r="J704" i="1"/>
  <c r="K704" i="1" s="1"/>
  <c r="J700" i="1"/>
  <c r="K700" i="1" s="1"/>
  <c r="J696" i="1"/>
  <c r="K696" i="1" s="1"/>
  <c r="J692" i="1"/>
  <c r="K692" i="1" s="1"/>
  <c r="J688" i="1"/>
  <c r="K688" i="1" s="1"/>
  <c r="J684" i="1"/>
  <c r="K684" i="1" s="1"/>
  <c r="J680" i="1"/>
  <c r="K680" i="1" s="1"/>
  <c r="J676" i="1"/>
  <c r="K676" i="1" s="1"/>
  <c r="J672" i="1"/>
  <c r="K672" i="1" s="1"/>
  <c r="J668" i="1"/>
  <c r="K668" i="1" s="1"/>
  <c r="J664" i="1"/>
  <c r="K664" i="1" s="1"/>
  <c r="J660" i="1"/>
  <c r="K660" i="1" s="1"/>
  <c r="J656" i="1"/>
  <c r="K656" i="1" s="1"/>
  <c r="J652" i="1"/>
  <c r="K652" i="1" s="1"/>
  <c r="J648" i="1"/>
  <c r="K648" i="1" s="1"/>
  <c r="J644" i="1"/>
  <c r="K644" i="1" s="1"/>
  <c r="J640" i="1"/>
  <c r="K640" i="1" s="1"/>
  <c r="J636" i="1"/>
  <c r="K636" i="1" s="1"/>
  <c r="J632" i="1"/>
  <c r="K632" i="1" s="1"/>
  <c r="J628" i="1"/>
  <c r="K628" i="1" s="1"/>
  <c r="J624" i="1"/>
  <c r="K624" i="1" s="1"/>
  <c r="J620" i="1"/>
  <c r="K620" i="1" s="1"/>
  <c r="J616" i="1"/>
  <c r="K616" i="1" s="1"/>
  <c r="J612" i="1"/>
  <c r="K612" i="1" s="1"/>
  <c r="J608" i="1"/>
  <c r="K608" i="1" s="1"/>
  <c r="J604" i="1"/>
  <c r="K604" i="1" s="1"/>
  <c r="J600" i="1"/>
  <c r="K600" i="1" s="1"/>
  <c r="J596" i="1"/>
  <c r="K596" i="1" s="1"/>
  <c r="J592" i="1"/>
  <c r="K592" i="1" s="1"/>
  <c r="J588" i="1"/>
  <c r="K588" i="1" s="1"/>
  <c r="J584" i="1"/>
  <c r="K584" i="1" s="1"/>
  <c r="J580" i="1"/>
  <c r="K580" i="1" s="1"/>
  <c r="J576" i="1"/>
  <c r="K576" i="1" s="1"/>
  <c r="J572" i="1"/>
  <c r="K572" i="1" s="1"/>
  <c r="J568" i="1"/>
  <c r="K568" i="1" s="1"/>
  <c r="J564" i="1"/>
  <c r="K564" i="1" s="1"/>
  <c r="J560" i="1"/>
  <c r="K560" i="1" s="1"/>
  <c r="J556" i="1"/>
  <c r="K556" i="1" s="1"/>
  <c r="J552" i="1"/>
  <c r="K552" i="1" s="1"/>
  <c r="J548" i="1"/>
  <c r="K548" i="1" s="1"/>
  <c r="J544" i="1"/>
  <c r="K544" i="1" s="1"/>
  <c r="J540" i="1"/>
  <c r="K540" i="1" s="1"/>
  <c r="J536" i="1"/>
  <c r="K536" i="1" s="1"/>
  <c r="J532" i="1"/>
  <c r="K532" i="1" s="1"/>
  <c r="J528" i="1"/>
  <c r="K528" i="1" s="1"/>
  <c r="J524" i="1"/>
  <c r="K524" i="1" s="1"/>
  <c r="J520" i="1"/>
  <c r="K520" i="1" s="1"/>
  <c r="J516" i="1"/>
  <c r="K516" i="1" s="1"/>
  <c r="J512" i="1"/>
  <c r="K512" i="1" s="1"/>
  <c r="J508" i="1"/>
  <c r="K508" i="1" s="1"/>
  <c r="J504" i="1"/>
  <c r="K504" i="1" s="1"/>
  <c r="J500" i="1"/>
  <c r="K500" i="1" s="1"/>
  <c r="J496" i="1"/>
  <c r="K496" i="1" s="1"/>
  <c r="J386" i="1"/>
  <c r="K386" i="1" s="1"/>
  <c r="J382" i="1"/>
  <c r="K382" i="1" s="1"/>
  <c r="J378" i="1"/>
  <c r="K378" i="1" s="1"/>
  <c r="J374" i="1"/>
  <c r="K374" i="1" s="1"/>
  <c r="J370" i="1"/>
  <c r="K370" i="1" s="1"/>
  <c r="J366" i="1"/>
  <c r="K366" i="1" s="1"/>
  <c r="J362" i="1"/>
  <c r="K362" i="1" s="1"/>
  <c r="J358" i="1"/>
  <c r="K358" i="1" s="1"/>
  <c r="J354" i="1"/>
  <c r="K354" i="1" s="1"/>
  <c r="J350" i="1"/>
  <c r="K350" i="1" s="1"/>
  <c r="J346" i="1"/>
  <c r="K346" i="1" s="1"/>
  <c r="J342" i="1"/>
  <c r="K342" i="1" s="1"/>
  <c r="J338" i="1"/>
  <c r="K338" i="1" s="1"/>
  <c r="J334" i="1"/>
  <c r="K334" i="1" s="1"/>
  <c r="J330" i="1"/>
  <c r="K330" i="1" s="1"/>
  <c r="J326" i="1"/>
  <c r="K326" i="1" s="1"/>
  <c r="J322" i="1"/>
  <c r="K322" i="1" s="1"/>
  <c r="J318" i="1"/>
  <c r="K318" i="1" s="1"/>
  <c r="J314" i="1"/>
  <c r="K314" i="1" s="1"/>
  <c r="J310" i="1"/>
  <c r="K310" i="1" s="1"/>
  <c r="J306" i="1"/>
  <c r="K306" i="1" s="1"/>
  <c r="J302" i="1"/>
  <c r="K302" i="1" s="1"/>
  <c r="J298" i="1"/>
  <c r="K298" i="1" s="1"/>
  <c r="J294" i="1"/>
  <c r="K294" i="1" s="1"/>
  <c r="J290" i="1"/>
  <c r="K290" i="1" s="1"/>
  <c r="J286" i="1"/>
  <c r="K286" i="1" s="1"/>
  <c r="J282" i="1"/>
  <c r="K282" i="1" s="1"/>
  <c r="J278" i="1"/>
  <c r="K278" i="1" s="1"/>
  <c r="J274" i="1"/>
  <c r="K274" i="1" s="1"/>
  <c r="J270" i="1"/>
  <c r="K270" i="1" s="1"/>
  <c r="J266" i="1"/>
  <c r="K266" i="1" s="1"/>
  <c r="J262" i="1"/>
  <c r="K262" i="1" s="1"/>
  <c r="J258" i="1"/>
  <c r="K258" i="1" s="1"/>
  <c r="J254" i="1"/>
  <c r="K254" i="1" s="1"/>
  <c r="J250" i="1"/>
  <c r="K250" i="1" s="1"/>
  <c r="J246" i="1"/>
  <c r="K246" i="1" s="1"/>
  <c r="J242" i="1"/>
  <c r="K242" i="1" s="1"/>
  <c r="J238" i="1"/>
  <c r="K238" i="1" s="1"/>
  <c r="J234" i="1"/>
  <c r="K234" i="1" s="1"/>
  <c r="J230" i="1"/>
  <c r="K230" i="1" s="1"/>
  <c r="J226" i="1"/>
  <c r="K226" i="1" s="1"/>
  <c r="J222" i="1"/>
  <c r="K222" i="1" s="1"/>
  <c r="J218" i="1"/>
  <c r="K218" i="1" s="1"/>
  <c r="J214" i="1"/>
  <c r="K214" i="1" s="1"/>
  <c r="J210" i="1"/>
  <c r="K210" i="1" s="1"/>
  <c r="J206" i="1"/>
  <c r="K206" i="1" s="1"/>
  <c r="J202" i="1"/>
  <c r="K202" i="1" s="1"/>
  <c r="J198" i="1"/>
  <c r="K198" i="1" s="1"/>
  <c r="J194" i="1"/>
  <c r="K194" i="1" s="1"/>
  <c r="J190" i="1"/>
  <c r="K190" i="1" s="1"/>
  <c r="J186" i="1"/>
  <c r="K186" i="1" s="1"/>
  <c r="J182" i="1"/>
  <c r="K182" i="1" s="1"/>
  <c r="J178" i="1"/>
  <c r="K178" i="1" s="1"/>
  <c r="J174" i="1"/>
  <c r="K174" i="1" s="1"/>
  <c r="J170" i="1"/>
  <c r="K170" i="1" s="1"/>
  <c r="J166" i="1"/>
  <c r="K166" i="1" s="1"/>
  <c r="J162" i="1"/>
  <c r="K162" i="1" s="1"/>
  <c r="J158" i="1"/>
  <c r="K158" i="1" s="1"/>
  <c r="J154" i="1"/>
  <c r="K154" i="1" s="1"/>
  <c r="J150" i="1"/>
  <c r="K150" i="1" s="1"/>
  <c r="J146" i="1"/>
  <c r="K146" i="1" s="1"/>
  <c r="J142" i="1"/>
  <c r="K142" i="1" s="1"/>
  <c r="J138" i="1"/>
  <c r="K138" i="1" s="1"/>
  <c r="J134" i="1"/>
  <c r="K134" i="1" s="1"/>
  <c r="J130" i="1"/>
  <c r="K130" i="1" s="1"/>
  <c r="J126" i="1"/>
  <c r="K126" i="1" s="1"/>
  <c r="J122" i="1"/>
  <c r="K122" i="1" s="1"/>
  <c r="J118" i="1"/>
  <c r="K118" i="1" s="1"/>
  <c r="J114" i="1"/>
  <c r="K114" i="1" s="1"/>
  <c r="J110" i="1"/>
  <c r="K110" i="1" s="1"/>
  <c r="J106" i="1"/>
  <c r="K106" i="1" s="1"/>
  <c r="J102" i="1"/>
  <c r="K102" i="1" s="1"/>
  <c r="J98" i="1"/>
  <c r="K98" i="1" s="1"/>
  <c r="J94" i="1"/>
  <c r="K94" i="1" s="1"/>
  <c r="J90" i="1"/>
  <c r="K90" i="1" s="1"/>
  <c r="J86" i="1"/>
  <c r="K86" i="1" s="1"/>
  <c r="J82" i="1"/>
  <c r="K82" i="1" s="1"/>
  <c r="J78" i="1"/>
  <c r="K78" i="1" s="1"/>
  <c r="J74" i="1"/>
  <c r="K74" i="1" s="1"/>
  <c r="J70" i="1"/>
  <c r="K70" i="1" s="1"/>
  <c r="J66" i="1"/>
  <c r="K66" i="1" s="1"/>
  <c r="J62" i="1"/>
  <c r="K62" i="1" s="1"/>
  <c r="J58" i="1"/>
  <c r="K58" i="1" s="1"/>
  <c r="J54" i="1"/>
  <c r="K54" i="1" s="1"/>
  <c r="J50" i="1"/>
  <c r="K50" i="1" s="1"/>
  <c r="J46" i="1"/>
  <c r="K46" i="1" s="1"/>
  <c r="J42" i="1"/>
  <c r="K42" i="1" s="1"/>
  <c r="J38" i="1"/>
  <c r="K38" i="1" s="1"/>
  <c r="J34" i="1"/>
  <c r="K34" i="1" s="1"/>
  <c r="J30" i="1"/>
  <c r="K30" i="1" s="1"/>
  <c r="J26" i="1"/>
  <c r="K26" i="1" s="1"/>
  <c r="J22" i="1"/>
  <c r="K22" i="1" s="1"/>
  <c r="J18" i="1"/>
  <c r="K18" i="1" s="1"/>
  <c r="J14" i="1"/>
  <c r="K14" i="1" s="1"/>
  <c r="J10" i="1"/>
  <c r="K10" i="1" s="1"/>
  <c r="J6" i="1"/>
  <c r="K6" i="1" s="1"/>
  <c r="J449" i="1"/>
  <c r="K449" i="1" s="1"/>
  <c r="J445" i="1"/>
  <c r="K445" i="1" s="1"/>
  <c r="J441" i="1"/>
  <c r="K441" i="1" s="1"/>
  <c r="J437" i="1"/>
  <c r="K437" i="1" s="1"/>
  <c r="J433" i="1"/>
  <c r="K433" i="1" s="1"/>
  <c r="J429" i="1"/>
  <c r="K429" i="1" s="1"/>
  <c r="J425" i="1"/>
  <c r="K425" i="1" s="1"/>
  <c r="J421" i="1"/>
  <c r="K421" i="1" s="1"/>
  <c r="J417" i="1"/>
  <c r="K417" i="1" s="1"/>
  <c r="J413" i="1"/>
  <c r="K413" i="1" s="1"/>
  <c r="J409" i="1"/>
  <c r="K409" i="1" s="1"/>
  <c r="J405" i="1"/>
  <c r="K405" i="1" s="1"/>
  <c r="J401" i="1"/>
  <c r="K401" i="1" s="1"/>
  <c r="J397" i="1"/>
  <c r="K397" i="1" s="1"/>
  <c r="J393" i="1"/>
  <c r="K393" i="1" s="1"/>
  <c r="J389" i="1"/>
  <c r="K389" i="1" s="1"/>
  <c r="J385" i="1"/>
  <c r="K385" i="1" s="1"/>
  <c r="J381" i="1"/>
  <c r="K381" i="1" s="1"/>
  <c r="J377" i="1"/>
  <c r="K377" i="1" s="1"/>
  <c r="J373" i="1"/>
  <c r="K373" i="1" s="1"/>
  <c r="J369" i="1"/>
  <c r="K369" i="1" s="1"/>
  <c r="J365" i="1"/>
  <c r="K365" i="1" s="1"/>
  <c r="J361" i="1"/>
  <c r="K361" i="1" s="1"/>
  <c r="J357" i="1"/>
  <c r="K357" i="1" s="1"/>
  <c r="J353" i="1"/>
  <c r="K353" i="1" s="1"/>
  <c r="J349" i="1"/>
  <c r="K349" i="1" s="1"/>
  <c r="J345" i="1"/>
  <c r="K345" i="1" s="1"/>
  <c r="J341" i="1"/>
  <c r="K341" i="1" s="1"/>
  <c r="J337" i="1"/>
  <c r="K337" i="1" s="1"/>
  <c r="J333" i="1"/>
  <c r="K333" i="1" s="1"/>
  <c r="J329" i="1"/>
  <c r="K329" i="1" s="1"/>
  <c r="J325" i="1"/>
  <c r="K325" i="1" s="1"/>
  <c r="J321" i="1"/>
  <c r="K321" i="1" s="1"/>
  <c r="J317" i="1"/>
  <c r="K317" i="1" s="1"/>
  <c r="J313" i="1"/>
  <c r="K313" i="1" s="1"/>
  <c r="J309" i="1"/>
  <c r="K309" i="1" s="1"/>
  <c r="J305" i="1"/>
  <c r="K305" i="1" s="1"/>
  <c r="J301" i="1"/>
  <c r="K301" i="1" s="1"/>
  <c r="J297" i="1"/>
  <c r="K297" i="1" s="1"/>
  <c r="J293" i="1"/>
  <c r="K293" i="1" s="1"/>
  <c r="J289" i="1"/>
  <c r="K289" i="1" s="1"/>
  <c r="J285" i="1"/>
  <c r="K285" i="1" s="1"/>
  <c r="J281" i="1"/>
  <c r="K281" i="1" s="1"/>
  <c r="J277" i="1"/>
  <c r="K277" i="1" s="1"/>
  <c r="J273" i="1"/>
  <c r="K273" i="1" s="1"/>
  <c r="J269" i="1"/>
  <c r="K269" i="1" s="1"/>
  <c r="J265" i="1"/>
  <c r="K265" i="1" s="1"/>
  <c r="J261" i="1"/>
  <c r="K261" i="1" s="1"/>
  <c r="J257" i="1"/>
  <c r="K257" i="1" s="1"/>
  <c r="J253" i="1"/>
  <c r="K253" i="1" s="1"/>
  <c r="J249" i="1"/>
  <c r="K249" i="1" s="1"/>
  <c r="J245" i="1"/>
  <c r="K245" i="1" s="1"/>
  <c r="J241" i="1"/>
  <c r="K241" i="1" s="1"/>
  <c r="J237" i="1"/>
  <c r="K237" i="1" s="1"/>
  <c r="J233" i="1"/>
  <c r="K233" i="1" s="1"/>
  <c r="J229" i="1"/>
  <c r="K229" i="1" s="1"/>
  <c r="J225" i="1"/>
  <c r="K225" i="1" s="1"/>
  <c r="J221" i="1"/>
  <c r="K221" i="1" s="1"/>
  <c r="J217" i="1"/>
  <c r="K217" i="1" s="1"/>
  <c r="J213" i="1"/>
  <c r="K213" i="1" s="1"/>
  <c r="J209" i="1"/>
  <c r="K209" i="1" s="1"/>
  <c r="J205" i="1"/>
  <c r="K205" i="1" s="1"/>
  <c r="J201" i="1"/>
  <c r="K201" i="1" s="1"/>
  <c r="J197" i="1"/>
  <c r="K197" i="1" s="1"/>
  <c r="J193" i="1"/>
  <c r="K193" i="1" s="1"/>
  <c r="J189" i="1"/>
  <c r="K189" i="1" s="1"/>
  <c r="J185" i="1"/>
  <c r="K185" i="1" s="1"/>
  <c r="J181" i="1"/>
  <c r="K181" i="1" s="1"/>
  <c r="J177" i="1"/>
  <c r="K177" i="1" s="1"/>
  <c r="J173" i="1"/>
  <c r="K173" i="1" s="1"/>
  <c r="J169" i="1"/>
  <c r="K169" i="1" s="1"/>
  <c r="J165" i="1"/>
  <c r="K165" i="1" s="1"/>
  <c r="J161" i="1"/>
  <c r="K161" i="1" s="1"/>
  <c r="J157" i="1"/>
  <c r="K157" i="1" s="1"/>
  <c r="J153" i="1"/>
  <c r="K153" i="1" s="1"/>
  <c r="J149" i="1"/>
  <c r="K149" i="1" s="1"/>
  <c r="J145" i="1"/>
  <c r="K145" i="1" s="1"/>
  <c r="J141" i="1"/>
  <c r="K141" i="1" s="1"/>
  <c r="J137" i="1"/>
  <c r="K137" i="1" s="1"/>
  <c r="J133" i="1"/>
  <c r="K133" i="1" s="1"/>
  <c r="J129" i="1"/>
  <c r="K129" i="1" s="1"/>
  <c r="J125" i="1"/>
  <c r="K125" i="1" s="1"/>
  <c r="J121" i="1"/>
  <c r="K121" i="1" s="1"/>
  <c r="J117" i="1"/>
  <c r="K117" i="1" s="1"/>
  <c r="J113" i="1"/>
  <c r="K113" i="1" s="1"/>
  <c r="J109" i="1"/>
  <c r="K109" i="1" s="1"/>
  <c r="J105" i="1"/>
  <c r="K105" i="1" s="1"/>
  <c r="J101" i="1"/>
  <c r="K101" i="1" s="1"/>
  <c r="J97" i="1"/>
  <c r="K97" i="1" s="1"/>
  <c r="J93" i="1"/>
  <c r="K93" i="1" s="1"/>
  <c r="J89" i="1"/>
  <c r="K89" i="1" s="1"/>
  <c r="J85" i="1"/>
  <c r="K85" i="1" s="1"/>
  <c r="J81" i="1"/>
  <c r="K81" i="1" s="1"/>
  <c r="J77" i="1"/>
  <c r="K77" i="1" s="1"/>
  <c r="J73" i="1"/>
  <c r="K73" i="1" s="1"/>
  <c r="J69" i="1"/>
  <c r="K69" i="1" s="1"/>
  <c r="J65" i="1"/>
  <c r="K65" i="1" s="1"/>
  <c r="J61" i="1"/>
  <c r="K61" i="1" s="1"/>
  <c r="J57" i="1"/>
  <c r="K57" i="1" s="1"/>
  <c r="J53" i="1"/>
  <c r="K53" i="1" s="1"/>
  <c r="J49" i="1"/>
  <c r="K49" i="1" s="1"/>
  <c r="J45" i="1"/>
  <c r="K45" i="1" s="1"/>
  <c r="J41" i="1"/>
  <c r="K41" i="1" s="1"/>
  <c r="J37" i="1"/>
  <c r="K37" i="1" s="1"/>
  <c r="J33" i="1"/>
  <c r="K33" i="1" s="1"/>
  <c r="J29" i="1"/>
  <c r="K29" i="1" s="1"/>
  <c r="J25" i="1"/>
  <c r="K25" i="1" s="1"/>
  <c r="J21" i="1"/>
  <c r="K21" i="1" s="1"/>
  <c r="J17" i="1"/>
  <c r="K17" i="1" s="1"/>
  <c r="J13" i="1"/>
  <c r="K13" i="1" s="1"/>
  <c r="J9" i="1"/>
  <c r="K9" i="1" s="1"/>
  <c r="J5" i="1"/>
  <c r="K5" i="1" s="1"/>
  <c r="J492" i="1"/>
  <c r="K492" i="1" s="1"/>
  <c r="J488" i="1"/>
  <c r="K488" i="1" s="1"/>
  <c r="J484" i="1"/>
  <c r="K484" i="1" s="1"/>
  <c r="J480" i="1"/>
  <c r="K480" i="1" s="1"/>
  <c r="J476" i="1"/>
  <c r="K476" i="1" s="1"/>
  <c r="J472" i="1"/>
  <c r="K472" i="1" s="1"/>
  <c r="J468" i="1"/>
  <c r="K468" i="1" s="1"/>
  <c r="J464" i="1"/>
  <c r="K464" i="1" s="1"/>
  <c r="J460" i="1"/>
  <c r="K460" i="1" s="1"/>
  <c r="J456" i="1"/>
  <c r="K456" i="1" s="1"/>
  <c r="J452" i="1"/>
  <c r="K452" i="1" s="1"/>
  <c r="J448" i="1"/>
  <c r="K448" i="1" s="1"/>
  <c r="J444" i="1"/>
  <c r="K444" i="1" s="1"/>
  <c r="J440" i="1"/>
  <c r="K440" i="1" s="1"/>
  <c r="J436" i="1"/>
  <c r="K436" i="1" s="1"/>
  <c r="J432" i="1"/>
  <c r="K432" i="1" s="1"/>
  <c r="J428" i="1"/>
  <c r="K428" i="1" s="1"/>
  <c r="J424" i="1"/>
  <c r="K424" i="1" s="1"/>
  <c r="J420" i="1"/>
  <c r="K420" i="1" s="1"/>
  <c r="J416" i="1"/>
  <c r="K416" i="1" s="1"/>
  <c r="J412" i="1"/>
  <c r="K412" i="1" s="1"/>
  <c r="J408" i="1"/>
  <c r="K408" i="1" s="1"/>
  <c r="J404" i="1"/>
  <c r="K404" i="1" s="1"/>
  <c r="J400" i="1"/>
  <c r="K400" i="1" s="1"/>
  <c r="J396" i="1"/>
  <c r="K396" i="1" s="1"/>
  <c r="J392" i="1"/>
  <c r="K392" i="1" s="1"/>
  <c r="J388" i="1"/>
  <c r="K388" i="1" s="1"/>
  <c r="J384" i="1"/>
  <c r="K384" i="1" s="1"/>
  <c r="J380" i="1"/>
  <c r="K380" i="1" s="1"/>
  <c r="J376" i="1"/>
  <c r="K376" i="1" s="1"/>
  <c r="J372" i="1"/>
  <c r="K372" i="1" s="1"/>
  <c r="J368" i="1"/>
  <c r="K368" i="1" s="1"/>
  <c r="J364" i="1"/>
  <c r="K364" i="1" s="1"/>
  <c r="J360" i="1"/>
  <c r="K360" i="1" s="1"/>
  <c r="J356" i="1"/>
  <c r="K356" i="1" s="1"/>
  <c r="J352" i="1"/>
  <c r="K352" i="1" s="1"/>
  <c r="J348" i="1"/>
  <c r="K348" i="1" s="1"/>
  <c r="J344" i="1"/>
  <c r="K344" i="1" s="1"/>
  <c r="J340" i="1"/>
  <c r="K340" i="1" s="1"/>
  <c r="J336" i="1"/>
  <c r="K336" i="1" s="1"/>
  <c r="J332" i="1"/>
  <c r="K332" i="1" s="1"/>
  <c r="J328" i="1"/>
  <c r="K328" i="1" s="1"/>
  <c r="J324" i="1"/>
  <c r="K324" i="1" s="1"/>
  <c r="J320" i="1"/>
  <c r="K320" i="1" s="1"/>
  <c r="J316" i="1"/>
  <c r="K316" i="1" s="1"/>
  <c r="J312" i="1"/>
  <c r="K312" i="1" s="1"/>
  <c r="J308" i="1"/>
  <c r="K308" i="1" s="1"/>
  <c r="J304" i="1"/>
  <c r="K304" i="1" s="1"/>
  <c r="J300" i="1"/>
  <c r="K300" i="1" s="1"/>
  <c r="J296" i="1"/>
  <c r="K296" i="1" s="1"/>
  <c r="J292" i="1"/>
  <c r="K292" i="1" s="1"/>
  <c r="J288" i="1"/>
  <c r="K288" i="1" s="1"/>
  <c r="J284" i="1"/>
  <c r="K284" i="1" s="1"/>
  <c r="J280" i="1"/>
  <c r="K280" i="1" s="1"/>
  <c r="J276" i="1"/>
  <c r="K276" i="1" s="1"/>
  <c r="J272" i="1"/>
  <c r="K272" i="1" s="1"/>
  <c r="J268" i="1"/>
  <c r="K268" i="1" s="1"/>
  <c r="J264" i="1"/>
  <c r="K264" i="1" s="1"/>
  <c r="J260" i="1"/>
  <c r="K260" i="1" s="1"/>
  <c r="J256" i="1"/>
  <c r="K256" i="1" s="1"/>
  <c r="J252" i="1"/>
  <c r="K252" i="1" s="1"/>
  <c r="J248" i="1"/>
  <c r="K248" i="1" s="1"/>
  <c r="J244" i="1"/>
  <c r="K244" i="1" s="1"/>
  <c r="J240" i="1"/>
  <c r="K240" i="1" s="1"/>
  <c r="J236" i="1"/>
  <c r="K236" i="1" s="1"/>
  <c r="J232" i="1"/>
  <c r="K232" i="1" s="1"/>
  <c r="J228" i="1"/>
  <c r="K228" i="1" s="1"/>
  <c r="J224" i="1"/>
  <c r="K224" i="1" s="1"/>
  <c r="J220" i="1"/>
  <c r="K220" i="1" s="1"/>
  <c r="J216" i="1"/>
  <c r="K216" i="1" s="1"/>
  <c r="J212" i="1"/>
  <c r="K212" i="1" s="1"/>
  <c r="J208" i="1"/>
  <c r="K208" i="1" s="1"/>
  <c r="J204" i="1"/>
  <c r="K204" i="1" s="1"/>
  <c r="J200" i="1"/>
  <c r="K200" i="1" s="1"/>
  <c r="J196" i="1"/>
  <c r="K196" i="1" s="1"/>
  <c r="J192" i="1"/>
  <c r="K192" i="1" s="1"/>
  <c r="J188" i="1"/>
  <c r="K188" i="1" s="1"/>
  <c r="J184" i="1"/>
  <c r="K184" i="1" s="1"/>
  <c r="J180" i="1"/>
  <c r="K180" i="1" s="1"/>
  <c r="J176" i="1"/>
  <c r="K176" i="1" s="1"/>
  <c r="J172" i="1"/>
  <c r="K172" i="1" s="1"/>
  <c r="J168" i="1"/>
  <c r="K168" i="1" s="1"/>
  <c r="J164" i="1"/>
  <c r="K164" i="1" s="1"/>
  <c r="J160" i="1"/>
  <c r="K160" i="1" s="1"/>
  <c r="J156" i="1"/>
  <c r="K156" i="1" s="1"/>
  <c r="J152" i="1"/>
  <c r="K152" i="1" s="1"/>
  <c r="J148" i="1"/>
  <c r="K148" i="1" s="1"/>
  <c r="J144" i="1"/>
  <c r="K144" i="1" s="1"/>
  <c r="J140" i="1"/>
  <c r="K140" i="1" s="1"/>
  <c r="J136" i="1"/>
  <c r="K136" i="1" s="1"/>
  <c r="J132" i="1"/>
  <c r="K132" i="1" s="1"/>
  <c r="J128" i="1"/>
  <c r="K128" i="1" s="1"/>
  <c r="J124" i="1"/>
  <c r="K124" i="1" s="1"/>
  <c r="J120" i="1"/>
  <c r="K120" i="1" s="1"/>
  <c r="J116" i="1"/>
  <c r="K116" i="1" s="1"/>
  <c r="J112" i="1"/>
  <c r="K112" i="1" s="1"/>
  <c r="J108" i="1"/>
  <c r="K108" i="1" s="1"/>
  <c r="J104" i="1"/>
  <c r="K104" i="1" s="1"/>
  <c r="J100" i="1"/>
  <c r="K100" i="1" s="1"/>
  <c r="J96" i="1"/>
  <c r="K96" i="1" s="1"/>
  <c r="J92" i="1"/>
  <c r="K92" i="1" s="1"/>
  <c r="J88" i="1"/>
  <c r="K88" i="1" s="1"/>
  <c r="J84" i="1"/>
  <c r="K84" i="1" s="1"/>
  <c r="J80" i="1"/>
  <c r="K80" i="1" s="1"/>
  <c r="J76" i="1"/>
  <c r="K76" i="1" s="1"/>
  <c r="J72" i="1"/>
  <c r="K72" i="1" s="1"/>
  <c r="J68" i="1"/>
  <c r="K68" i="1" s="1"/>
  <c r="J64" i="1"/>
  <c r="K64" i="1" s="1"/>
  <c r="J60" i="1"/>
  <c r="K60" i="1" s="1"/>
  <c r="J56" i="1"/>
  <c r="K56" i="1" s="1"/>
  <c r="J52" i="1"/>
  <c r="K52" i="1" s="1"/>
  <c r="J48" i="1"/>
  <c r="K48" i="1" s="1"/>
  <c r="J44" i="1"/>
  <c r="K44" i="1" s="1"/>
  <c r="J40" i="1"/>
  <c r="K40" i="1" s="1"/>
  <c r="J36" i="1"/>
  <c r="K36" i="1" s="1"/>
  <c r="J32" i="1"/>
  <c r="K32" i="1" s="1"/>
  <c r="J28" i="1"/>
  <c r="K28" i="1" s="1"/>
  <c r="J24" i="1"/>
  <c r="K24" i="1" s="1"/>
  <c r="J20" i="1"/>
  <c r="K20" i="1" s="1"/>
  <c r="J16" i="1"/>
  <c r="K16" i="1" s="1"/>
  <c r="J12" i="1"/>
  <c r="K12" i="1" s="1"/>
  <c r="J8" i="1"/>
  <c r="K8" i="1" s="1"/>
  <c r="J4" i="1"/>
  <c r="K4" i="1" s="1"/>
</calcChain>
</file>

<file path=xl/sharedStrings.xml><?xml version="1.0" encoding="utf-8"?>
<sst xmlns="http://schemas.openxmlformats.org/spreadsheetml/2006/main" count="3727" uniqueCount="1169">
  <si>
    <t>id чека</t>
  </si>
  <si>
    <t>id товара</t>
  </si>
  <si>
    <t>цена за шт в рублях</t>
  </si>
  <si>
    <t>кол-во штук в чеке</t>
  </si>
  <si>
    <t>сумма чека</t>
  </si>
  <si>
    <t>дата создания чека</t>
  </si>
  <si>
    <t>магазин покупки</t>
  </si>
  <si>
    <t>id клиента</t>
  </si>
  <si>
    <t>Бристоль</t>
  </si>
  <si>
    <t>Дикси</t>
  </si>
  <si>
    <t>Городской Супермаркет</t>
  </si>
  <si>
    <t>Верный</t>
  </si>
  <si>
    <t>Спар</t>
  </si>
  <si>
    <t>Карусель</t>
  </si>
  <si>
    <t>Мираторг</t>
  </si>
  <si>
    <t>Мосмарт</t>
  </si>
  <si>
    <t>Перекресток</t>
  </si>
  <si>
    <t>Гиперглобус</t>
  </si>
  <si>
    <t>Лента</t>
  </si>
  <si>
    <t>Метро</t>
  </si>
  <si>
    <t>Билла</t>
  </si>
  <si>
    <t>Пятерочка</t>
  </si>
  <si>
    <t>О'кей</t>
  </si>
  <si>
    <t>Ароматный Мир</t>
  </si>
  <si>
    <t>Магнит</t>
  </si>
  <si>
    <t>Седьмой Континент</t>
  </si>
  <si>
    <t>Ашан</t>
  </si>
  <si>
    <t>Азбука Вкуса</t>
  </si>
  <si>
    <t>Сладов</t>
  </si>
  <si>
    <t>Сахар</t>
  </si>
  <si>
    <t>Семко</t>
  </si>
  <si>
    <t>Овощи</t>
  </si>
  <si>
    <t>Фруктовый сад</t>
  </si>
  <si>
    <t>Сок</t>
  </si>
  <si>
    <t>Green Garden</t>
  </si>
  <si>
    <t>Фрукты</t>
  </si>
  <si>
    <t>Дарница</t>
  </si>
  <si>
    <t>Хлеб</t>
  </si>
  <si>
    <t>Фруктовый Рай</t>
  </si>
  <si>
    <t>Паста Зара</t>
  </si>
  <si>
    <t>Макароны</t>
  </si>
  <si>
    <t>Ярмарка</t>
  </si>
  <si>
    <t>Крупа</t>
  </si>
  <si>
    <t>Домик в деревне</t>
  </si>
  <si>
    <t>Молоко</t>
  </si>
  <si>
    <t>Чудо</t>
  </si>
  <si>
    <t>Йогурт</t>
  </si>
  <si>
    <t>Славянка</t>
  </si>
  <si>
    <t>Конфеты</t>
  </si>
  <si>
    <t>Сырная долина</t>
  </si>
  <si>
    <t>Сыр</t>
  </si>
  <si>
    <t>Добрый</t>
  </si>
  <si>
    <t>Tchibo</t>
  </si>
  <si>
    <t>Кофе</t>
  </si>
  <si>
    <t>Меридиан</t>
  </si>
  <si>
    <t>Рыба</t>
  </si>
  <si>
    <t>Черкизово</t>
  </si>
  <si>
    <t>Колбаса</t>
  </si>
  <si>
    <t>Фрукты-Ягоды</t>
  </si>
  <si>
    <t>Тесс</t>
  </si>
  <si>
    <t>Чай</t>
  </si>
  <si>
    <t>Продимекс</t>
  </si>
  <si>
    <t>Овощной ряд</t>
  </si>
  <si>
    <t>Мистраль</t>
  </si>
  <si>
    <t>Бабаевский</t>
  </si>
  <si>
    <t>Беллакт</t>
  </si>
  <si>
    <t>Эрманн</t>
  </si>
  <si>
    <t>Увелка</t>
  </si>
  <si>
    <t>Белогорье</t>
  </si>
  <si>
    <t>Печенье</t>
  </si>
  <si>
    <t>Lipton</t>
  </si>
  <si>
    <t>Estrella</t>
  </si>
  <si>
    <t>Чипсы</t>
  </si>
  <si>
    <t>Ростагроэкспорт</t>
  </si>
  <si>
    <t>Экзотик</t>
  </si>
  <si>
    <t>Илецкая</t>
  </si>
  <si>
    <t>Соль</t>
  </si>
  <si>
    <t>Активиа</t>
  </si>
  <si>
    <t>Дымов</t>
  </si>
  <si>
    <t>Славянская</t>
  </si>
  <si>
    <t>Рот Фронт</t>
  </si>
  <si>
    <t>Окраина</t>
  </si>
  <si>
    <t>Jacobs</t>
  </si>
  <si>
    <t>Красный Октябрь</t>
  </si>
  <si>
    <t>Черная Карта</t>
  </si>
  <si>
    <t>Националь</t>
  </si>
  <si>
    <t>Русское море</t>
  </si>
  <si>
    <t>Хлебный Дом</t>
  </si>
  <si>
    <t>Ахмад</t>
  </si>
  <si>
    <t>Русский сахар</t>
  </si>
  <si>
    <t>Рис</t>
  </si>
  <si>
    <t>Борилла</t>
  </si>
  <si>
    <t>Карат</t>
  </si>
  <si>
    <t>Русский Хлеб</t>
  </si>
  <si>
    <t>Агросахар</t>
  </si>
  <si>
    <t>Зеленая грядка</t>
  </si>
  <si>
    <t>Экстра</t>
  </si>
  <si>
    <t>Балтийский берег</t>
  </si>
  <si>
    <t>Посиделкино</t>
  </si>
  <si>
    <t>Простоквашино</t>
  </si>
  <si>
    <t>КДВ</t>
  </si>
  <si>
    <t>Макфа</t>
  </si>
  <si>
    <t>Pringles</t>
  </si>
  <si>
    <t>Гавриш</t>
  </si>
  <si>
    <t>President</t>
  </si>
  <si>
    <t>Nescafe</t>
  </si>
  <si>
    <t>Салта</t>
  </si>
  <si>
    <t>Greenfield</t>
  </si>
  <si>
    <t>Мясо</t>
  </si>
  <si>
    <t>Снежана</t>
  </si>
  <si>
    <t>Агрокомплекс</t>
  </si>
  <si>
    <t>Каравай</t>
  </si>
  <si>
    <t>Rich</t>
  </si>
  <si>
    <t>Вимм-Билль-Данн</t>
  </si>
  <si>
    <t>Белый Злат</t>
  </si>
  <si>
    <t>Сава</t>
  </si>
  <si>
    <t>Роллтон</t>
  </si>
  <si>
    <t>Русская картошка</t>
  </si>
  <si>
    <t>Санта Бремор</t>
  </si>
  <si>
    <t>Микоян</t>
  </si>
  <si>
    <t>Агро-Альянс</t>
  </si>
  <si>
    <t>Сады Придонья</t>
  </si>
  <si>
    <t>Lay's</t>
  </si>
  <si>
    <t>Hochland</t>
  </si>
  <si>
    <t>Юбилейное</t>
  </si>
  <si>
    <t>поставщик</t>
  </si>
  <si>
    <t>категория товара</t>
  </si>
  <si>
    <t>+380</t>
  </si>
  <si>
    <t>Украина</t>
  </si>
  <si>
    <t>+992</t>
  </si>
  <si>
    <t>Таджикистан</t>
  </si>
  <si>
    <t>+998</t>
  </si>
  <si>
    <t>Узбекистан</t>
  </si>
  <si>
    <t>+375</t>
  </si>
  <si>
    <t>Беларусь</t>
  </si>
  <si>
    <t>+7</t>
  </si>
  <si>
    <t>Казахстан</t>
  </si>
  <si>
    <t>Россия</t>
  </si>
  <si>
    <t>Код</t>
  </si>
  <si>
    <t>Страна</t>
  </si>
  <si>
    <t>нет</t>
  </si>
  <si>
    <t>Лидия Андреевна Крюкова</t>
  </si>
  <si>
    <t>+7 630-011-3417</t>
  </si>
  <si>
    <t>да</t>
  </si>
  <si>
    <t>Евдокия Эдуардовна Соловьева</t>
  </si>
  <si>
    <t>+380 293-011-4872</t>
  </si>
  <si>
    <t>Амвросий Игнатович Юдин</t>
  </si>
  <si>
    <t>+998 678-480-0704</t>
  </si>
  <si>
    <t>Белоусова Жанна Кузьминична</t>
  </si>
  <si>
    <t>+998 662-556-3959</t>
  </si>
  <si>
    <t>Воробьева Анжела Аскольдовна</t>
  </si>
  <si>
    <t>+998 342-700-2159</t>
  </si>
  <si>
    <t>Авдеев Олимпий Жанович</t>
  </si>
  <si>
    <t>+380 686-730-6702</t>
  </si>
  <si>
    <t>Лариса Романовна Крюкова</t>
  </si>
  <si>
    <t>+7 997-792-5112</t>
  </si>
  <si>
    <t>Афанасьев Кузьма Исидорович</t>
  </si>
  <si>
    <t>+992 145-030-4792</t>
  </si>
  <si>
    <t>Якуб Филатович Молчанов</t>
  </si>
  <si>
    <t>+375 877-885-2826</t>
  </si>
  <si>
    <t>Амос Гордеевич Евсеев</t>
  </si>
  <si>
    <t>+998 662-959-7800</t>
  </si>
  <si>
    <t>Людмила Борисовна Иванова</t>
  </si>
  <si>
    <t>+992 614-322-7161</t>
  </si>
  <si>
    <t>Светлана Семеновна Николаева</t>
  </si>
  <si>
    <t>+998 782-759-1031</t>
  </si>
  <si>
    <t>Константинов Милован Денисович</t>
  </si>
  <si>
    <t>+375 933-846-4405</t>
  </si>
  <si>
    <t>Эмилия Болеславовна Цветкова</t>
  </si>
  <si>
    <t>+380 017-252-3368</t>
  </si>
  <si>
    <t>Ольга Аскольдовна Данилова</t>
  </si>
  <si>
    <t>+375 477-336-9780</t>
  </si>
  <si>
    <t>Любосмысл Тихонович Веселов</t>
  </si>
  <si>
    <t>+992 570-665-8734</t>
  </si>
  <si>
    <t>Емельянов Игорь Андреевич</t>
  </si>
  <si>
    <t>+380 950-384-1472</t>
  </si>
  <si>
    <t>Феликс Ааронович Яковлев</t>
  </si>
  <si>
    <t>+380 537-432-3099</t>
  </si>
  <si>
    <t>Михайлова Лора Наумовна</t>
  </si>
  <si>
    <t>+7 411-977-9395</t>
  </si>
  <si>
    <t>Игнатова Вера Вячеславовна</t>
  </si>
  <si>
    <t>+992 772-470-1976</t>
  </si>
  <si>
    <t>Корнилов Леон Иосипович</t>
  </si>
  <si>
    <t>+992 666-298-7733</t>
  </si>
  <si>
    <t>Лаврентьева Вера Владиславовна</t>
  </si>
  <si>
    <t>+998 849-649-9045</t>
  </si>
  <si>
    <t>Творимир Артурович Гришин</t>
  </si>
  <si>
    <t>+380 958-231-6305</t>
  </si>
  <si>
    <t>Ипат Дмитриевич Панов</t>
  </si>
  <si>
    <t>+7 571-938-4741</t>
  </si>
  <si>
    <t>Стрелкова Наина Эдуардовна</t>
  </si>
  <si>
    <t>+7 289-019-1718</t>
  </si>
  <si>
    <t>Агата Олеговна Мартынова</t>
  </si>
  <si>
    <t>+7 210-575-0459</t>
  </si>
  <si>
    <t>Алла Рудольфовна Сидорова</t>
  </si>
  <si>
    <t>+998 313-336-2516</t>
  </si>
  <si>
    <t>Никодим Арсенович Потапов</t>
  </si>
  <si>
    <t>+998 481-371-2630</t>
  </si>
  <si>
    <t>Одинцов Анисим Евсеевич</t>
  </si>
  <si>
    <t>+380 254-333-6466</t>
  </si>
  <si>
    <t>Волков Викентий Герасимович</t>
  </si>
  <si>
    <t>+7 056-712-2591</t>
  </si>
  <si>
    <t>Абрамов Амвросий Богданович</t>
  </si>
  <si>
    <t>+380 606-168-8976</t>
  </si>
  <si>
    <t>Эммануил Филимонович Захаров</t>
  </si>
  <si>
    <t>+380 004-121-0383</t>
  </si>
  <si>
    <t>Марфа Архиповна Белоусова</t>
  </si>
  <si>
    <t>+7 975-515-1931</t>
  </si>
  <si>
    <t>Александра Геннадиевна Филатова</t>
  </si>
  <si>
    <t>+992 869-966-7816</t>
  </si>
  <si>
    <t>Еремей Бориславович Воронов</t>
  </si>
  <si>
    <t>+375 986-655-6691</t>
  </si>
  <si>
    <t>Кириллова Пелагея Юльевна</t>
  </si>
  <si>
    <t>+380 265-102-2104</t>
  </si>
  <si>
    <t>Галина Семеновна Петухова</t>
  </si>
  <si>
    <t>+7 542-005-0327</t>
  </si>
  <si>
    <t>Любомир Ермолаевич Стрелков</t>
  </si>
  <si>
    <t>+375 722-671-7064</t>
  </si>
  <si>
    <t>г-жа Воробьева Иванна Юрьевна</t>
  </si>
  <si>
    <t>+992 756-085-4605</t>
  </si>
  <si>
    <t>Тихонова Ираида Ефимовна</t>
  </si>
  <si>
    <t>+998 946-408-1930</t>
  </si>
  <si>
    <t>Якушева Светлана Даниловна</t>
  </si>
  <si>
    <t>+380 143-562-6602</t>
  </si>
  <si>
    <t>Меркушева Марина Наумовна</t>
  </si>
  <si>
    <t>+7 592-632-8448</t>
  </si>
  <si>
    <t>Князев Платон Андреевич</t>
  </si>
  <si>
    <t>+7 450-475-2540</t>
  </si>
  <si>
    <t>Титова Ксения Дмитриевна</t>
  </si>
  <si>
    <t>+380 533-078-8885</t>
  </si>
  <si>
    <t>Овчинникова Зоя Вячеславовна</t>
  </si>
  <si>
    <t>+998 284-687-3096</t>
  </si>
  <si>
    <t>Григорьев Сократ Ануфриевич</t>
  </si>
  <si>
    <t>+380 245-175-6131</t>
  </si>
  <si>
    <t>Горшкова Клавдия Борисовна</t>
  </si>
  <si>
    <t>+380 668-055-3546</t>
  </si>
  <si>
    <t>Харлампий Демьянович Алексеев</t>
  </si>
  <si>
    <t>+992 000-000-7415</t>
  </si>
  <si>
    <t>Миронов Фома Вилорович</t>
  </si>
  <si>
    <t>+375 427-098-5558</t>
  </si>
  <si>
    <t>Кудряшов Влас Алексеевич</t>
  </si>
  <si>
    <t>+375 173-908-3215</t>
  </si>
  <si>
    <t>Бобылева Анна Мироновна</t>
  </si>
  <si>
    <t>+7 894-636-1225</t>
  </si>
  <si>
    <t>Петрова Майя Богдановна</t>
  </si>
  <si>
    <t>+7 352-977-7374</t>
  </si>
  <si>
    <t>Мартынов Фома Гордеевич</t>
  </si>
  <si>
    <t>+998 856-058-2613</t>
  </si>
  <si>
    <t>Алевтина Алексеевна Исакова</t>
  </si>
  <si>
    <t>+998 692-163-4083</t>
  </si>
  <si>
    <t>Гордей Матвеевич Медведев</t>
  </si>
  <si>
    <t>+992 774-047-4624</t>
  </si>
  <si>
    <t>Ермаков Всеслав Эдуардович</t>
  </si>
  <si>
    <t>+7 755-098-2625</t>
  </si>
  <si>
    <t>Русакова Полина Михайловна</t>
  </si>
  <si>
    <t>+992 544-936-8109</t>
  </si>
  <si>
    <t>Любовь Богдановна Новикова</t>
  </si>
  <si>
    <t>+375 253-379-5656</t>
  </si>
  <si>
    <t>Кононова Элеонора Юрьевна</t>
  </si>
  <si>
    <t>+992 550-001-8470</t>
  </si>
  <si>
    <t>Ирина Макаровна Шарова</t>
  </si>
  <si>
    <t>+375 841-273-5425</t>
  </si>
  <si>
    <t>Нестерова Таисия Яковлевна</t>
  </si>
  <si>
    <t>+7 414-973-8213</t>
  </si>
  <si>
    <t>г-н Зуев Трифон Зиновьевич</t>
  </si>
  <si>
    <t>+992 377-961-6550</t>
  </si>
  <si>
    <t>г-жа Ефимова Анна Филипповна</t>
  </si>
  <si>
    <t>+375 268-005-4917</t>
  </si>
  <si>
    <t>Баранова Раиса Эльдаровна</t>
  </si>
  <si>
    <t>+7 022-690-6735</t>
  </si>
  <si>
    <t>Фомичева Феврония Даниловна</t>
  </si>
  <si>
    <t>+7 724-347-2918</t>
  </si>
  <si>
    <t>Лыткина Ираида Александровна</t>
  </si>
  <si>
    <t>+375 869-843-0628</t>
  </si>
  <si>
    <t>Эммануил Валерьевич Королев</t>
  </si>
  <si>
    <t>+380 350-189-8989</t>
  </si>
  <si>
    <t>Васильева Анжелика Наумовна</t>
  </si>
  <si>
    <t>+992 654-311-2893</t>
  </si>
  <si>
    <t>Октябрина Павловна Зимина</t>
  </si>
  <si>
    <t>+7 352-652-3977</t>
  </si>
  <si>
    <t>Елизар Харлампьевич Мамонтов</t>
  </si>
  <si>
    <t>+998 714-433-6940</t>
  </si>
  <si>
    <t>Марфа Эдуардовна Макарова</t>
  </si>
  <si>
    <t>+7 354-672-8947</t>
  </si>
  <si>
    <t>г-жа Миронова Клавдия Феликсовна</t>
  </si>
  <si>
    <t>+380 255-745-0289</t>
  </si>
  <si>
    <t>Гостомысл Фомич Одинцов</t>
  </si>
  <si>
    <t>+998 220-798-0143</t>
  </si>
  <si>
    <t>Алевтина Егоровна Кузнецова</t>
  </si>
  <si>
    <t>+7 981-245-0102</t>
  </si>
  <si>
    <t>Фаина Аркадьевна Веселова</t>
  </si>
  <si>
    <t>+7 762-296-2673</t>
  </si>
  <si>
    <t>Елизавета Артемовна Данилова</t>
  </si>
  <si>
    <t>+7 085-149-7713</t>
  </si>
  <si>
    <t>Моисеев Евстафий Чеславович</t>
  </si>
  <si>
    <t>+380 971-032-0139</t>
  </si>
  <si>
    <t>Новиков Ростислав Августович</t>
  </si>
  <si>
    <t>+992 994-189-2821</t>
  </si>
  <si>
    <t>Соколова Кира Дмитриевна</t>
  </si>
  <si>
    <t>+992 471-072-5643</t>
  </si>
  <si>
    <t>Екатерина Рудольфовна Кулакова</t>
  </si>
  <si>
    <t>+7 411-180-0061</t>
  </si>
  <si>
    <t>Пономарев Творимир Демидович</t>
  </si>
  <si>
    <t>+7 927-005-2176</t>
  </si>
  <si>
    <t>Гаврилов Матвей Трифонович</t>
  </si>
  <si>
    <t>+7 914-597-1350</t>
  </si>
  <si>
    <t>Новикова Ия Рубеновна</t>
  </si>
  <si>
    <t>+375 529-351-9731</t>
  </si>
  <si>
    <t>Виктория Ильинична Соколова</t>
  </si>
  <si>
    <t>+998 436-367-6830</t>
  </si>
  <si>
    <t>Жанна Станиславовна Семенова</t>
  </si>
  <si>
    <t>+992 443-164-9246</t>
  </si>
  <si>
    <t>Горбунова Алевтина Максимовна</t>
  </si>
  <si>
    <t>+998 455-746-0633</t>
  </si>
  <si>
    <t>Максим Анатольевич Семенов</t>
  </si>
  <si>
    <t>+375 165-356-7542</t>
  </si>
  <si>
    <t>Никитина Лора Георгиевна</t>
  </si>
  <si>
    <t>+375 956-020-3484</t>
  </si>
  <si>
    <t>Феврония Юрьевна Шубина</t>
  </si>
  <si>
    <t>+998 301-225-3693</t>
  </si>
  <si>
    <t>Амвросий Артемьевич Гаврилов</t>
  </si>
  <si>
    <t>+7 875-362-2366</t>
  </si>
  <si>
    <t>Щукина Элеонора Робертовна</t>
  </si>
  <si>
    <t>+7 885-064-8776</t>
  </si>
  <si>
    <t>Измаил Глебович Зыков</t>
  </si>
  <si>
    <t>+380 809-127-8060</t>
  </si>
  <si>
    <t>Лаврентьева Маргарита Артемовна</t>
  </si>
  <si>
    <t>+380 916-341-6028</t>
  </si>
  <si>
    <t>Михеев Андроник Ефимьевич</t>
  </si>
  <si>
    <t>+7 147-975-5645</t>
  </si>
  <si>
    <t>Вадим Артёмович Анисимов</t>
  </si>
  <si>
    <t>+992 204-182-8433</t>
  </si>
  <si>
    <t>Захар Артемьевич Воробьев</t>
  </si>
  <si>
    <t>+992 852-094-1088</t>
  </si>
  <si>
    <t>Леон Аверьянович Захаров</t>
  </si>
  <si>
    <t>+7 091-838-5158</t>
  </si>
  <si>
    <t>Рогов Сила Гордеевич</t>
  </si>
  <si>
    <t>+375 824-010-1358</t>
  </si>
  <si>
    <t>Копылов Мартьян Августович</t>
  </si>
  <si>
    <t>+380 329-195-8747</t>
  </si>
  <si>
    <t>Марфа Георгиевна Титова</t>
  </si>
  <si>
    <t>+998 035-761-6314</t>
  </si>
  <si>
    <t>Маслова Анастасия Станиславовна</t>
  </si>
  <si>
    <t>+7 729-805-4220</t>
  </si>
  <si>
    <t>Ермаков Степан Егорович</t>
  </si>
  <si>
    <t>+375 972-832-7690</t>
  </si>
  <si>
    <t>Наталья Геннадьевна Колесникова</t>
  </si>
  <si>
    <t>+998 661-487-5525</t>
  </si>
  <si>
    <t>Станислав Ильясович Ширяев</t>
  </si>
  <si>
    <t>+7 402-873-2919</t>
  </si>
  <si>
    <t>Маслов Захар Феофанович</t>
  </si>
  <si>
    <t>+7 747-226-1755</t>
  </si>
  <si>
    <t>Антонина Борисовна Жданова</t>
  </si>
  <si>
    <t>+7 189-378-6167</t>
  </si>
  <si>
    <t>Аггей Валентинович Артемьев</t>
  </si>
  <si>
    <t>+380 922-338-1312</t>
  </si>
  <si>
    <t>Давыд Филатович Мухин</t>
  </si>
  <si>
    <t>+380 363-690-1507</t>
  </si>
  <si>
    <t>Григорьева Ульяна Артемовна</t>
  </si>
  <si>
    <t>+998 773-281-1360</t>
  </si>
  <si>
    <t>Власов Адриан Чеславович</t>
  </si>
  <si>
    <t>+998 437-737-9329</t>
  </si>
  <si>
    <t>Копылова Эмилия Тарасовна</t>
  </si>
  <si>
    <t>+7 722-155-8660</t>
  </si>
  <si>
    <t>Алла Геннадьевна Фомина</t>
  </si>
  <si>
    <t>+998 090-420-2619</t>
  </si>
  <si>
    <t>Мартын Августович Баранов</t>
  </si>
  <si>
    <t>+998 936-440-2703</t>
  </si>
  <si>
    <t>Радислав Герасимович Колобов</t>
  </si>
  <si>
    <t>+7 916-678-5714</t>
  </si>
  <si>
    <t>Николай Феоктистович Дроздов</t>
  </si>
  <si>
    <t>+380 169-087-4183</t>
  </si>
  <si>
    <t>Силина Татьяна Аркадьевна</t>
  </si>
  <si>
    <t>+998 286-143-0624</t>
  </si>
  <si>
    <t>Журавлев Аристарх Евсеевич</t>
  </si>
  <si>
    <t>+380 266-548-4802</t>
  </si>
  <si>
    <t>Валентина Кирилловна Семенова</t>
  </si>
  <si>
    <t>+992 124-441-2478</t>
  </si>
  <si>
    <t>Рубен Димитриевич Веселов</t>
  </si>
  <si>
    <t>+375 515-558-2884</t>
  </si>
  <si>
    <t>Орехова Кира Натановна</t>
  </si>
  <si>
    <t>+992 902-872-9763</t>
  </si>
  <si>
    <t>Алексей Трифонович Блинов</t>
  </si>
  <si>
    <t>+380 001-347-5456</t>
  </si>
  <si>
    <t>Корнил Адрианович Комиссаров</t>
  </si>
  <si>
    <t>+7 191-068-2694</t>
  </si>
  <si>
    <t>Евдокия Ефимовна Карпова</t>
  </si>
  <si>
    <t>+998 955-643-6256</t>
  </si>
  <si>
    <t>Прасковья Петровна Дементьева</t>
  </si>
  <si>
    <t>+998 225-019-2493</t>
  </si>
  <si>
    <t>Лавр Харлампович Беляков</t>
  </si>
  <si>
    <t>+375 844-419-2850</t>
  </si>
  <si>
    <t>Лука Игнатьевич Власов</t>
  </si>
  <si>
    <t>+375 280-614-3764</t>
  </si>
  <si>
    <t>Зоя Вячеславовна Панова</t>
  </si>
  <si>
    <t>+375 563-314-3708</t>
  </si>
  <si>
    <t>Калинин Никита Артурович</t>
  </si>
  <si>
    <t>+998 271-883-9995</t>
  </si>
  <si>
    <t>Владимиров Орест Артемьевич</t>
  </si>
  <si>
    <t>+7 731-326-3751</t>
  </si>
  <si>
    <t>Дарья Степановна Потапова</t>
  </si>
  <si>
    <t>+998 783-609-3463</t>
  </si>
  <si>
    <t>Морозова Феврония Николаевна</t>
  </si>
  <si>
    <t>+7 142-825-3773</t>
  </si>
  <si>
    <t>Пахом Даниилович Кузьмин</t>
  </si>
  <si>
    <t>+998 999-821-3025</t>
  </si>
  <si>
    <t>Кошелева Марина Рудольфовна</t>
  </si>
  <si>
    <t>+7 529-529-9415</t>
  </si>
  <si>
    <t>Куликова Евгения Григорьевна</t>
  </si>
  <si>
    <t>+7 120-273-0435</t>
  </si>
  <si>
    <t>Алевтина Ефимовна Белякова</t>
  </si>
  <si>
    <t>+998 965-511-3258</t>
  </si>
  <si>
    <t>Галактион Жанович Новиков</t>
  </si>
  <si>
    <t>+998 087-830-4222</t>
  </si>
  <si>
    <t>Фомичев Ипполит Артурович</t>
  </si>
  <si>
    <t>+7 322-163-7549</t>
  </si>
  <si>
    <t>Маркова Ксения Максимовна</t>
  </si>
  <si>
    <t>+998 941-560-7307</t>
  </si>
  <si>
    <t>Нинель Кузьминична Журавлева</t>
  </si>
  <si>
    <t>+380 229-176-0124</t>
  </si>
  <si>
    <t>Эмилия Вадимовна Александрова</t>
  </si>
  <si>
    <t>+992 353-055-1290</t>
  </si>
  <si>
    <t>Герасимов Родион Харитонович</t>
  </si>
  <si>
    <t>+380 959-961-5281</t>
  </si>
  <si>
    <t>Поляков Силантий Адамович</t>
  </si>
  <si>
    <t>+380 672-066-4140</t>
  </si>
  <si>
    <t>Татьяна Павловна Павлова</t>
  </si>
  <si>
    <t>+380 250-699-1873</t>
  </si>
  <si>
    <t>Сергеев Панкратий Теймуразович</t>
  </si>
  <si>
    <t>+998 833-068-3629</t>
  </si>
  <si>
    <t>Любомир Валерианович Туров</t>
  </si>
  <si>
    <t>+7 524-548-9435</t>
  </si>
  <si>
    <t>Кононова Прасковья Павловна</t>
  </si>
  <si>
    <t>+7 747-866-6152</t>
  </si>
  <si>
    <t>Ираклий Изотович Авдеев</t>
  </si>
  <si>
    <t>+7 559-899-4463</t>
  </si>
  <si>
    <t>Михей Феликсович Лихачев</t>
  </si>
  <si>
    <t>+7 173-514-9301</t>
  </si>
  <si>
    <t>Шестакова Элеонора Дмитриевна</t>
  </si>
  <si>
    <t>+992 980-571-8150</t>
  </si>
  <si>
    <t>Ермакова Дарья Алексеевна</t>
  </si>
  <si>
    <t>+7 816-795-8885</t>
  </si>
  <si>
    <t>Феврония Антоновна Кулагина</t>
  </si>
  <si>
    <t>+7 730-745-5768</t>
  </si>
  <si>
    <t>Демид Антонович Мясников</t>
  </si>
  <si>
    <t>+992 520-869-0598</t>
  </si>
  <si>
    <t>Анастасия Игоревна Белова</t>
  </si>
  <si>
    <t>+992 976-290-1474</t>
  </si>
  <si>
    <t>Эдуард Фадеевич Сергеев</t>
  </si>
  <si>
    <t>+992 841-082-9227</t>
  </si>
  <si>
    <t>Мария Анатольевна Смирнова</t>
  </si>
  <si>
    <t>+992 878-995-1603</t>
  </si>
  <si>
    <t>Арсений Ермолаевич Емельянов</t>
  </si>
  <si>
    <t>+992 412-286-2797</t>
  </si>
  <si>
    <t>Любовь Павловна Капустина</t>
  </si>
  <si>
    <t>+375 342-835-7024</t>
  </si>
  <si>
    <t>Елизар Архипович Щербаков</t>
  </si>
  <si>
    <t>+992 403-485-6889</t>
  </si>
  <si>
    <t>Синклитикия Никифоровна Овчинникова</t>
  </si>
  <si>
    <t>+992 013-075-6493</t>
  </si>
  <si>
    <t>Боян Дорофеевич Калашников</t>
  </si>
  <si>
    <t>+7 231-022-9731</t>
  </si>
  <si>
    <t>Дьячков Серафим Дорофеевич</t>
  </si>
  <si>
    <t>+380 737-667-7208</t>
  </si>
  <si>
    <t>Артемьева София Ильинична</t>
  </si>
  <si>
    <t>+7 772-932-9839</t>
  </si>
  <si>
    <t>Родион Яковлевич Коновалов</t>
  </si>
  <si>
    <t>+998 737-854-0193</t>
  </si>
  <si>
    <t>Прасковья Яковлевна Белоусова</t>
  </si>
  <si>
    <t>+992 647-315-8824</t>
  </si>
  <si>
    <t>Вероника Сергеевна Блинова</t>
  </si>
  <si>
    <t>+375 678-304-0891</t>
  </si>
  <si>
    <t>Любим Зиновьевич Брагин</t>
  </si>
  <si>
    <t>+998 523-421-5092</t>
  </si>
  <si>
    <t>Назаров Пантелеймон Трофимович</t>
  </si>
  <si>
    <t>+7 689-265-9126</t>
  </si>
  <si>
    <t>Евфросиния Тимофеевна Миронова</t>
  </si>
  <si>
    <t>+998 455-040-0995</t>
  </si>
  <si>
    <t>Савватий Богданович Фролов</t>
  </si>
  <si>
    <t>+998 276-111-5039</t>
  </si>
  <si>
    <t>Олимпиада Львовна Михайлова</t>
  </si>
  <si>
    <t>+998 087-023-3754</t>
  </si>
  <si>
    <t>Лариса Степановна Гурьева</t>
  </si>
  <si>
    <t>+992 852-358-1111</t>
  </si>
  <si>
    <t>Сорокина Марфа Викторовна</t>
  </si>
  <si>
    <t>+7 891-832-3772</t>
  </si>
  <si>
    <t>Шубин Орест Августович</t>
  </si>
  <si>
    <t>+7 069-852-7793</t>
  </si>
  <si>
    <t>Ираида Егоровна Родионова</t>
  </si>
  <si>
    <t>+375 242-923-3569</t>
  </si>
  <si>
    <t>Кузнецов Севастьян Валерьевич</t>
  </si>
  <si>
    <t>+380 611-258-8704</t>
  </si>
  <si>
    <t>Кира Степановна Рогова</t>
  </si>
  <si>
    <t>+380 671-809-3559</t>
  </si>
  <si>
    <t>Ираида Феликсовна Белоусова</t>
  </si>
  <si>
    <t>+992 964-689-9206</t>
  </si>
  <si>
    <t>Фомина Антонина Павловна</t>
  </si>
  <si>
    <t>+992 226-423-7263</t>
  </si>
  <si>
    <t>Лазарев Аникей Венедиктович</t>
  </si>
  <si>
    <t>+992 059-483-3104</t>
  </si>
  <si>
    <t>Давыдов Амос Владиславович</t>
  </si>
  <si>
    <t>+380 937-173-7394</t>
  </si>
  <si>
    <t>Пелагея Антоновна Цветкова</t>
  </si>
  <si>
    <t>+992 555-207-4186</t>
  </si>
  <si>
    <t>Дмитрий Трифонович Денисов</t>
  </si>
  <si>
    <t>+380 469-601-0972</t>
  </si>
  <si>
    <t>Евпраксия Федоровна Фомина</t>
  </si>
  <si>
    <t>+7 836-233-8115</t>
  </si>
  <si>
    <t>Константин Ефимьевич Колесников</t>
  </si>
  <si>
    <t>+7 269-195-3186</t>
  </si>
  <si>
    <t>Елена Эдуардовна Кудряшова</t>
  </si>
  <si>
    <t>+7 502-802-5787</t>
  </si>
  <si>
    <t>Ксения Кузьминична Авдеева</t>
  </si>
  <si>
    <t>+7 219-084-6295</t>
  </si>
  <si>
    <t>Евгения Георгиевна Рожкова</t>
  </si>
  <si>
    <t>+992 046-188-5111</t>
  </si>
  <si>
    <t>Федосеева Василиса Аскольдовна</t>
  </si>
  <si>
    <t>+375 081-974-3402</t>
  </si>
  <si>
    <t>Анастасия Альбертовна Фролова</t>
  </si>
  <si>
    <t>+380 960-351-2387</t>
  </si>
  <si>
    <t>Клавдия Константиновна Хохлова</t>
  </si>
  <si>
    <t>+375 881-217-3017</t>
  </si>
  <si>
    <t>Евсеев Ратмир Артемьевич</t>
  </si>
  <si>
    <t>+7 560-711-8976</t>
  </si>
  <si>
    <t>Клавдия Богдановна Ковалева</t>
  </si>
  <si>
    <t>+7 629-137-1639</t>
  </si>
  <si>
    <t>Маслова Иванна Макаровна</t>
  </si>
  <si>
    <t>+380 119-291-6424</t>
  </si>
  <si>
    <t>Фёкла Натановна Дементьева</t>
  </si>
  <si>
    <t>+7 894-629-6946</t>
  </si>
  <si>
    <t>Гурьева Людмила Владимировна</t>
  </si>
  <si>
    <t>+380 249-840-3292</t>
  </si>
  <si>
    <t>Елизавета Яковлевна Лапина</t>
  </si>
  <si>
    <t>+998 583-835-9258</t>
  </si>
  <si>
    <t>Любомир Архипович Пономарев</t>
  </si>
  <si>
    <t>+7 052-743-8708</t>
  </si>
  <si>
    <t>Назарова Ия Ивановна</t>
  </si>
  <si>
    <t>+7 181-999-1398</t>
  </si>
  <si>
    <t>Вероника Геннадьевна Воронова</t>
  </si>
  <si>
    <t>+992 638-653-7931</t>
  </si>
  <si>
    <t>Баранов Эраст Терентьевич</t>
  </si>
  <si>
    <t>+998 438-329-1521</t>
  </si>
  <si>
    <t>Ермаков Ярослав Тихонович</t>
  </si>
  <si>
    <t>+7 212-350-2928</t>
  </si>
  <si>
    <t>Юлия Геннадиевна Белякова</t>
  </si>
  <si>
    <t>+7 304-758-2488</t>
  </si>
  <si>
    <t>Мирон Давидович Горбачев</t>
  </si>
  <si>
    <t>+380 280-785-9631</t>
  </si>
  <si>
    <t>Лора Вадимовна Турова</t>
  </si>
  <si>
    <t>+992 028-876-8250</t>
  </si>
  <si>
    <t>Владимирова Алина Феликсовна</t>
  </si>
  <si>
    <t>+375 524-220-8374</t>
  </si>
  <si>
    <t>Матвей Адамович Богданов</t>
  </si>
  <si>
    <t>+380 728-449-1745</t>
  </si>
  <si>
    <t>Валерьян Федосеевич Цветков</t>
  </si>
  <si>
    <t>+998 247-862-3690</t>
  </si>
  <si>
    <t>Нестеров Чеслав Аверьянович</t>
  </si>
  <si>
    <t>+380 802-906-1048</t>
  </si>
  <si>
    <t>Вишняков Ярослав Анатольевич</t>
  </si>
  <si>
    <t>+7 028-813-4020</t>
  </si>
  <si>
    <t>Исакова Людмила Олеговна</t>
  </si>
  <si>
    <t>+998 997-462-0828</t>
  </si>
  <si>
    <t>Агап Валерьевич Логинов</t>
  </si>
  <si>
    <t>+7 685-361-2926</t>
  </si>
  <si>
    <t>Никита Виленович Степанов</t>
  </si>
  <si>
    <t>+7 379-140-2865</t>
  </si>
  <si>
    <t>Потап Егорович Лапин</t>
  </si>
  <si>
    <t>+7 945-211-9429</t>
  </si>
  <si>
    <t>Тимофеев Аполлинарий Фомич</t>
  </si>
  <si>
    <t>+7 421-153-6302</t>
  </si>
  <si>
    <t>Велимир Игоревич Макаров</t>
  </si>
  <si>
    <t>+7 225-063-9920</t>
  </si>
  <si>
    <t>Никифоров Богдан Харитонович</t>
  </si>
  <si>
    <t>+7 648-807-1917</t>
  </si>
  <si>
    <t>Максимова Елена Валериевна</t>
  </si>
  <si>
    <t>+7 782-443-4000</t>
  </si>
  <si>
    <t>Николай Гавриилович Савин</t>
  </si>
  <si>
    <t>+7 244-331-6219</t>
  </si>
  <si>
    <t>Маркова Василиса Юрьевна</t>
  </si>
  <si>
    <t>+998 213-223-6638</t>
  </si>
  <si>
    <t>Гуляева Раиса Кузьминична</t>
  </si>
  <si>
    <t>+998 169-477-8408</t>
  </si>
  <si>
    <t>Красильников Павел Ермилович</t>
  </si>
  <si>
    <t>+7 362-778-4019</t>
  </si>
  <si>
    <t>Вероника Руслановна Ефремова</t>
  </si>
  <si>
    <t>+380 286-003-5332</t>
  </si>
  <si>
    <t>Алевтина Архиповна Ефимова</t>
  </si>
  <si>
    <t>+7 456-978-0873</t>
  </si>
  <si>
    <t>Журавлева Александра Валентиновна</t>
  </si>
  <si>
    <t>+7 449-357-2065</t>
  </si>
  <si>
    <t>Никита Венедиктович Третьяков</t>
  </si>
  <si>
    <t>+375 299-252-6550</t>
  </si>
  <si>
    <t>Суханов Станислав Архипович</t>
  </si>
  <si>
    <t>+7 466-253-9021</t>
  </si>
  <si>
    <t>Юлия Кузьминична Капустина</t>
  </si>
  <si>
    <t>+998 697-530-0958</t>
  </si>
  <si>
    <t>Герман Арсеньевич Калинин</t>
  </si>
  <si>
    <t>+380 315-815-3268</t>
  </si>
  <si>
    <t>Ирина Анатольевна Васильева</t>
  </si>
  <si>
    <t>+375 958-521-7488</t>
  </si>
  <si>
    <t>Устинов Евграф Исидорович</t>
  </si>
  <si>
    <t>+7 572-970-7703</t>
  </si>
  <si>
    <t>Фокин Глеб Елизарович</t>
  </si>
  <si>
    <t>+7 296-302-4718</t>
  </si>
  <si>
    <t>Никонов Софон Авдеевич</t>
  </si>
  <si>
    <t>+992 638-430-8419</t>
  </si>
  <si>
    <t>Давыд Фёдорович Белоусов</t>
  </si>
  <si>
    <t>+998 838-480-9390</t>
  </si>
  <si>
    <t>Муравьева Алла Петровна</t>
  </si>
  <si>
    <t>+7 584-823-9648</t>
  </si>
  <si>
    <t>Устинов Милан Архипович</t>
  </si>
  <si>
    <t>+992 442-185-5422</t>
  </si>
  <si>
    <t>Костина Жанна Рубеновна</t>
  </si>
  <si>
    <t>+998 154-674-1649</t>
  </si>
  <si>
    <t>Большаков Антип Тихонович</t>
  </si>
  <si>
    <t>+992 943-140-9489</t>
  </si>
  <si>
    <t>Александр Архипович Гущин</t>
  </si>
  <si>
    <t>+7 319-073-7259</t>
  </si>
  <si>
    <t>Никанор Феодосьевич Воронов</t>
  </si>
  <si>
    <t>+7 778-043-0691</t>
  </si>
  <si>
    <t>Лукин Борис Власович</t>
  </si>
  <si>
    <t>+375 690-843-0501</t>
  </si>
  <si>
    <t>Ия Робертовна Белова</t>
  </si>
  <si>
    <t>+380 524-191-7258</t>
  </si>
  <si>
    <t>Сысоева Светлана Захаровна</t>
  </si>
  <si>
    <t>+7 925-005-3361</t>
  </si>
  <si>
    <t>Самсонов Борислав Фролович</t>
  </si>
  <si>
    <t>+998 113-461-2855</t>
  </si>
  <si>
    <t>Абрамов Адриан Фролович</t>
  </si>
  <si>
    <t>+7 974-088-4889</t>
  </si>
  <si>
    <t>Автоном Терентьевич Филиппов</t>
  </si>
  <si>
    <t>+7 524-093-8464</t>
  </si>
  <si>
    <t>Волкова Валентина Николаевна</t>
  </si>
  <si>
    <t>+7 661-552-6669</t>
  </si>
  <si>
    <t>Савельев Климент Гурьевич</t>
  </si>
  <si>
    <t>+7 844-239-9142</t>
  </si>
  <si>
    <t>Бирюкова Агафья Артемовна</t>
  </si>
  <si>
    <t>+7 412-542-8365</t>
  </si>
  <si>
    <t>Мясников Зосима Якубович</t>
  </si>
  <si>
    <t>+7 869-111-2094</t>
  </si>
  <si>
    <t>Цветков Лука Витальевич</t>
  </si>
  <si>
    <t>+992 266-513-0456</t>
  </si>
  <si>
    <t>Шарова Екатерина Леоновна</t>
  </si>
  <si>
    <t>+380 260-756-9533</t>
  </si>
  <si>
    <t>Русаков Модест Захарьевич</t>
  </si>
  <si>
    <t>+380 921-086-4453</t>
  </si>
  <si>
    <t>Иванна Захаровна Сергеева</t>
  </si>
  <si>
    <t>+992 672-498-6349</t>
  </si>
  <si>
    <t>Андрон Валерьевич Морозов</t>
  </si>
  <si>
    <t>+992 403-930-8580</t>
  </si>
  <si>
    <t>Рожкова Маргарита Артемовна</t>
  </si>
  <si>
    <t>+992 257-520-2828</t>
  </si>
  <si>
    <t>Белов Симон Иосипович</t>
  </si>
  <si>
    <t>+380 270-120-1119</t>
  </si>
  <si>
    <t>Елисей Игнатович Лобанов</t>
  </si>
  <si>
    <t>+998 766-764-4076</t>
  </si>
  <si>
    <t>Конон Валентинович Владимиров</t>
  </si>
  <si>
    <t>+7 616-701-4879</t>
  </si>
  <si>
    <t>Юрий Августович Исаков</t>
  </si>
  <si>
    <t>+7 487-712-2137</t>
  </si>
  <si>
    <t>Суханова Алла Эльдаровна</t>
  </si>
  <si>
    <t>+380 459-176-1508</t>
  </si>
  <si>
    <t>Брагина Полина Евгеньевна</t>
  </si>
  <si>
    <t>+992 330-173-6947</t>
  </si>
  <si>
    <t>Виктория Наумовна Никитина</t>
  </si>
  <si>
    <t>+998 643-985-0175</t>
  </si>
  <si>
    <t>Анжелика Валериевна Рожкова</t>
  </si>
  <si>
    <t>+7 984-361-4421</t>
  </si>
  <si>
    <t>Флорентин Демьянович Родионов</t>
  </si>
  <si>
    <t>+375 389-470-8585</t>
  </si>
  <si>
    <t>Маслова Агафья Юрьевна</t>
  </si>
  <si>
    <t>+375 285-458-8961</t>
  </si>
  <si>
    <t>Анжела Ивановна Григорьева</t>
  </si>
  <si>
    <t>+998 777-844-5783</t>
  </si>
  <si>
    <t>Максимова Евпраксия Ждановна</t>
  </si>
  <si>
    <t>+7 197-654-6044</t>
  </si>
  <si>
    <t>Алевтина Михайловна Зыкова</t>
  </si>
  <si>
    <t>+375 890-614-0667</t>
  </si>
  <si>
    <t>Спиридон Владленович Воронцов</t>
  </si>
  <si>
    <t>+992 587-542-2147</t>
  </si>
  <si>
    <t>Любовь Альбертовна Одинцова</t>
  </si>
  <si>
    <t>+7 535-345-7895</t>
  </si>
  <si>
    <t>Сорокина Феврония Геннадьевна</t>
  </si>
  <si>
    <t>+7 264-686-5607</t>
  </si>
  <si>
    <t>Валерия Семеновна Потапова</t>
  </si>
  <si>
    <t>+7 670-667-8381</t>
  </si>
  <si>
    <t>Миронов Аверкий Зиновьевич</t>
  </si>
  <si>
    <t>+7 613-538-5501</t>
  </si>
  <si>
    <t>Филимон Ефимьевич Беляков</t>
  </si>
  <si>
    <t>+380 403-818-2198</t>
  </si>
  <si>
    <t>Валерия Владимировна Медведева</t>
  </si>
  <si>
    <t>+992 644-743-9326</t>
  </si>
  <si>
    <t>Самойлова Жанна Семеновна</t>
  </si>
  <si>
    <t>+380 264-466-6372</t>
  </si>
  <si>
    <t>Таисия Богдановна Якушева</t>
  </si>
  <si>
    <t>+380 086-392-5406</t>
  </si>
  <si>
    <t>Марк Яковлевич Корнилов</t>
  </si>
  <si>
    <t>+998 608-979-4237</t>
  </si>
  <si>
    <t>Калинин Лев Феодосьевич</t>
  </si>
  <si>
    <t>+375 820-460-9487</t>
  </si>
  <si>
    <t>Любовь Романовна Данилова</t>
  </si>
  <si>
    <t>+7 977-556-0650</t>
  </si>
  <si>
    <t>Зуев Гостомысл Игоревич</t>
  </si>
  <si>
    <t>+992 906-130-4174</t>
  </si>
  <si>
    <t>Кир Васильевич Горбунов</t>
  </si>
  <si>
    <t>+375 226-003-8992</t>
  </si>
  <si>
    <t>Евфросиния Петровна Чернова</t>
  </si>
  <si>
    <t>+380 383-190-2360</t>
  </si>
  <si>
    <t>Федорова Жанна Вадимовна</t>
  </si>
  <si>
    <t>+998 197-437-6957</t>
  </si>
  <si>
    <t>тов. Степанова Синклитикия Александровна</t>
  </si>
  <si>
    <t>+992 891-393-2973</t>
  </si>
  <si>
    <t>Якушев Мина Гавриилович</t>
  </si>
  <si>
    <t>+998 914-522-1318</t>
  </si>
  <si>
    <t>Глафира Николаевна Мельникова</t>
  </si>
  <si>
    <t>+7 340-358-5907</t>
  </si>
  <si>
    <t>Русаков Лев Тимурович</t>
  </si>
  <si>
    <t>+7 326-132-7435</t>
  </si>
  <si>
    <t>Христофор Авдеевич Щукин</t>
  </si>
  <si>
    <t>+380 705-295-2201</t>
  </si>
  <si>
    <t>Анна Альбертовна Никифорова</t>
  </si>
  <si>
    <t>+998 381-147-6466</t>
  </si>
  <si>
    <t>Кулакова Нина Семеновна</t>
  </si>
  <si>
    <t>+380 855-516-3611</t>
  </si>
  <si>
    <t>Сазонова Оксана Александровна</t>
  </si>
  <si>
    <t>+375 840-221-8767</t>
  </si>
  <si>
    <t>Тихонова Евфросиния Феликсовна</t>
  </si>
  <si>
    <t>+380 992-850-2292</t>
  </si>
  <si>
    <t>Спиридон Чеславович Абрамов</t>
  </si>
  <si>
    <t>+992 750-248-5649</t>
  </si>
  <si>
    <t>Гущин Ипполит Яковлевич</t>
  </si>
  <si>
    <t>+998 265-405-9627</t>
  </si>
  <si>
    <t>г-н Савельев Федосий Феоктистович</t>
  </si>
  <si>
    <t>+992 292-122-7648</t>
  </si>
  <si>
    <t>Маслов Сократ Анатольевич</t>
  </si>
  <si>
    <t>+7 709-119-0759</t>
  </si>
  <si>
    <t>г-н Копылов Лаврентий Артемьевич</t>
  </si>
  <si>
    <t>+7 981-183-3972</t>
  </si>
  <si>
    <t>Васильев Милован Георгиевич</t>
  </si>
  <si>
    <t>+992 979-262-5049</t>
  </si>
  <si>
    <t>Авдеев Филипп Елисеевич</t>
  </si>
  <si>
    <t>+7 048-020-5515</t>
  </si>
  <si>
    <t>Василиса Леоновна Назарова</t>
  </si>
  <si>
    <t>+380 174-160-6456</t>
  </si>
  <si>
    <t>Зыкова Таисия Леонидовна</t>
  </si>
  <si>
    <t>+375 187-052-9526</t>
  </si>
  <si>
    <t>Лапин Эрнест Антипович</t>
  </si>
  <si>
    <t>+380 487-238-5930</t>
  </si>
  <si>
    <t>Филиппов Павел Игнатович</t>
  </si>
  <si>
    <t>+998 153-345-5047</t>
  </si>
  <si>
    <t>Жданов Аверьян Валерьевич</t>
  </si>
  <si>
    <t>+992 908-969-9000</t>
  </si>
  <si>
    <t>Носкова Ольга Ждановна</t>
  </si>
  <si>
    <t>+7 260-379-8995</t>
  </si>
  <si>
    <t>Вишняков Фома Викентьевич</t>
  </si>
  <si>
    <t>+380 030-138-6532</t>
  </si>
  <si>
    <t>Родионова Евпраксия Олеговна</t>
  </si>
  <si>
    <t>+7 139-999-3338</t>
  </si>
  <si>
    <t>Арсений Вилорович Лобанов</t>
  </si>
  <si>
    <t>+992 862-124-2046</t>
  </si>
  <si>
    <t>Зайцев Ефрем Даниилович</t>
  </si>
  <si>
    <t>+380 833-248-7380</t>
  </si>
  <si>
    <t>Самуил Зиновьевич Фокин</t>
  </si>
  <si>
    <t>+7 038-725-7867</t>
  </si>
  <si>
    <t>Мария Кузьминична Борисова</t>
  </si>
  <si>
    <t>+998 049-489-2171</t>
  </si>
  <si>
    <t>Тимофеева Анастасия Натановна</t>
  </si>
  <si>
    <t>+7 892-625-6649</t>
  </si>
  <si>
    <t>Кириллов Валерьян Иосипович</t>
  </si>
  <si>
    <t>+992 904-682-2250</t>
  </si>
  <si>
    <t>Авдей Брониславович Владимиров</t>
  </si>
  <si>
    <t>+7 739-924-9444</t>
  </si>
  <si>
    <t>Маргарита Ждановна Зуева</t>
  </si>
  <si>
    <t>+998 241-358-6988</t>
  </si>
  <si>
    <t>Брагин Любомир Гертрудович</t>
  </si>
  <si>
    <t>+375 156-538-5529</t>
  </si>
  <si>
    <t>Лазарев Арефий Анатольевич</t>
  </si>
  <si>
    <t>+992 358-380-4702</t>
  </si>
  <si>
    <t>Фёкла Феликсовна Харитонова</t>
  </si>
  <si>
    <t>+992 928-516-3980</t>
  </si>
  <si>
    <t>Раиса Станиславовна Чернова</t>
  </si>
  <si>
    <t>+998 583-780-6740</t>
  </si>
  <si>
    <t>Прокл Тимурович Александров</t>
  </si>
  <si>
    <t>+7 393-681-6723</t>
  </si>
  <si>
    <t>Бурова Марфа Игоревна</t>
  </si>
  <si>
    <t>+7 669-661-5797</t>
  </si>
  <si>
    <t>Королев Феофан Бориславович</t>
  </si>
  <si>
    <t>+992 908-369-0617</t>
  </si>
  <si>
    <t>Гурьев Евсей Гертрудович</t>
  </si>
  <si>
    <t>+998 678-470-2329</t>
  </si>
  <si>
    <t>Белозеров Лука Харлампьевич</t>
  </si>
  <si>
    <t>+380 828-307-7136</t>
  </si>
  <si>
    <t>Анжела Филипповна Новикова</t>
  </si>
  <si>
    <t>+7 858-333-4042</t>
  </si>
  <si>
    <t>Ермаков Вадим Юлианович</t>
  </si>
  <si>
    <t>+380 667-385-3298</t>
  </si>
  <si>
    <t>Фрол Авдеевич Фадеев</t>
  </si>
  <si>
    <t>+380 435-435-7454</t>
  </si>
  <si>
    <t>Никитин Светозар Харлампьевич</t>
  </si>
  <si>
    <t>+7 724-995-2653</t>
  </si>
  <si>
    <t>Блинов Натан Всеволодович</t>
  </si>
  <si>
    <t>+992 861-842-9595</t>
  </si>
  <si>
    <t>Горбунова Наина Филипповна</t>
  </si>
  <si>
    <t>+998 876-305-1700</t>
  </si>
  <si>
    <t>Трофимова Василиса Матвеевна</t>
  </si>
  <si>
    <t>+380 349-100-4938</t>
  </si>
  <si>
    <t>Бобылев Никодим Виленович</t>
  </si>
  <si>
    <t>+7 962-495-5040</t>
  </si>
  <si>
    <t>Лазарев Софон Якубович</t>
  </si>
  <si>
    <t>+380 697-469-4252</t>
  </si>
  <si>
    <t>Кудряшова Василиса Болеславовна</t>
  </si>
  <si>
    <t>+380 947-602-2812</t>
  </si>
  <si>
    <t>Назар Августович Назаров</t>
  </si>
  <si>
    <t>+7 007-157-8873</t>
  </si>
  <si>
    <t>Соловьев Родион Данилович</t>
  </si>
  <si>
    <t>+992 086-931-5836</t>
  </si>
  <si>
    <t>Евдокимов Януарий Феликсович</t>
  </si>
  <si>
    <t>+998 581-380-6694</t>
  </si>
  <si>
    <t>Князева Акулина Алексеевна</t>
  </si>
  <si>
    <t>+992 234-736-4616</t>
  </si>
  <si>
    <t>тов. Копылова Жанна Архиповна</t>
  </si>
  <si>
    <t>+998 880-147-7505</t>
  </si>
  <si>
    <t>Эмилия Олеговна Калинина</t>
  </si>
  <si>
    <t>+998 827-959-0308</t>
  </si>
  <si>
    <t>Александра Владиславовна Беляева</t>
  </si>
  <si>
    <t>+7 430-487-6579</t>
  </si>
  <si>
    <t>Дорофеев Тимур Валерьянович</t>
  </si>
  <si>
    <t>+7 219-942-5792</t>
  </si>
  <si>
    <t>Николаева Зинаида Ивановна</t>
  </si>
  <si>
    <t>+7 727-444-8253</t>
  </si>
  <si>
    <t>Федотова Ангелина Максимовна</t>
  </si>
  <si>
    <t>+998 801-433-5842</t>
  </si>
  <si>
    <t>Медведева Алина Алексеевна</t>
  </si>
  <si>
    <t>+380 341-215-3278</t>
  </si>
  <si>
    <t>Леонид Арсенович Давыдов</t>
  </si>
  <si>
    <t>+380 369-038-6358</t>
  </si>
  <si>
    <t>Ефремов Епифан Ильич</t>
  </si>
  <si>
    <t>+7 833-884-1180</t>
  </si>
  <si>
    <t>Чеслав Бориславович Мамонтов</t>
  </si>
  <si>
    <t>+7 356-385-2881</t>
  </si>
  <si>
    <t>Абрамова Елизавета Эдуардовна</t>
  </si>
  <si>
    <t>+375 260-927-0999</t>
  </si>
  <si>
    <t>Виктор Марсович Игнатов</t>
  </si>
  <si>
    <t>+375 074-074-0170</t>
  </si>
  <si>
    <t>Татьяна Михайловна Новикова</t>
  </si>
  <si>
    <t>+7 093-201-9949</t>
  </si>
  <si>
    <t>Жуков Никифор Фомич</t>
  </si>
  <si>
    <t>+998 388-311-1484</t>
  </si>
  <si>
    <t>Ратибор Андреевич Маслов</t>
  </si>
  <si>
    <t>+998 016-556-9015</t>
  </si>
  <si>
    <t>Виктор Жанович Никифоров</t>
  </si>
  <si>
    <t>+992 326-136-2416</t>
  </si>
  <si>
    <t>Зоя Егоровна Третьякова</t>
  </si>
  <si>
    <t>+7 089-779-0837</t>
  </si>
  <si>
    <t>Силин Антип Ильясович</t>
  </si>
  <si>
    <t>+992 372-939-7775</t>
  </si>
  <si>
    <t>Регина Кирилловна Нестерова</t>
  </si>
  <si>
    <t>+7 288-468-9287</t>
  </si>
  <si>
    <t>Сидор Вячеславович Зиновьев</t>
  </si>
  <si>
    <t>+7 263-859-8875</t>
  </si>
  <si>
    <t>Эммануил Ааронович Кошелев</t>
  </si>
  <si>
    <t>+7 894-900-2879</t>
  </si>
  <si>
    <t>Ладимир Гурьевич Егоров</t>
  </si>
  <si>
    <t>+7 376-172-1887</t>
  </si>
  <si>
    <t>Владилен Иосифович Третьяков</t>
  </si>
  <si>
    <t>+7 915-487-8205</t>
  </si>
  <si>
    <t>Аггей Терентьевич Волков</t>
  </si>
  <si>
    <t>+992 508-269-1094</t>
  </si>
  <si>
    <t>Лыткина Вера Ждановна</t>
  </si>
  <si>
    <t>+992 253-231-6427</t>
  </si>
  <si>
    <t>Ильина Милица Захаровна</t>
  </si>
  <si>
    <t>+7 640-461-4099</t>
  </si>
  <si>
    <t>Пестов Измаил Глебович</t>
  </si>
  <si>
    <t>+992 314-900-5858</t>
  </si>
  <si>
    <t>Сократ Юльевич Афанасьев</t>
  </si>
  <si>
    <t>+7 322-351-7967</t>
  </si>
  <si>
    <t>Панфил Федотович Шаров</t>
  </si>
  <si>
    <t>+992 883-671-0611</t>
  </si>
  <si>
    <t>Галина Кирилловна Прохорова</t>
  </si>
  <si>
    <t>+375 523-528-4996</t>
  </si>
  <si>
    <t>Капитон Феликсович Кабанов</t>
  </si>
  <si>
    <t>+380 465-945-6481</t>
  </si>
  <si>
    <t>Капитон Харитонович Родионов</t>
  </si>
  <si>
    <t>+7 710-415-0428</t>
  </si>
  <si>
    <t>Иванна Наумовна Иванова</t>
  </si>
  <si>
    <t>+998 237-658-9236</t>
  </si>
  <si>
    <t>Бажен Дмитриевич Исаков</t>
  </si>
  <si>
    <t>+7 638-478-8735</t>
  </si>
  <si>
    <t>Регина Сергеевна Чернова</t>
  </si>
  <si>
    <t>+7 425-907-2619</t>
  </si>
  <si>
    <t>Регина Сергеевна Ефимова</t>
  </si>
  <si>
    <t>+380 616-238-3294</t>
  </si>
  <si>
    <t>Ипатий Устинович Зимин</t>
  </si>
  <si>
    <t>+992 129-804-1705</t>
  </si>
  <si>
    <t>Панова Евгения Викторовна</t>
  </si>
  <si>
    <t>+998 176-720-2162</t>
  </si>
  <si>
    <t>Агата Геннадьевна Колесникова</t>
  </si>
  <si>
    <t>+7 600-803-0627</t>
  </si>
  <si>
    <t>Алина Михайловна Шестакова</t>
  </si>
  <si>
    <t>+375 960-328-1316</t>
  </si>
  <si>
    <t>Эмилия Руслановна Шарапова</t>
  </si>
  <si>
    <t>+380 424-152-2316</t>
  </si>
  <si>
    <t>Горшкова Василиса Святославовна</t>
  </si>
  <si>
    <t>+7 963-508-8333</t>
  </si>
  <si>
    <t>Валентина Захаровна Боброва</t>
  </si>
  <si>
    <t>+375 284-418-1233</t>
  </si>
  <si>
    <t>Абрамова Евдокия Егоровна</t>
  </si>
  <si>
    <t>+992 266-481-3942</t>
  </si>
  <si>
    <t>Кондратьева Валентина Львовна</t>
  </si>
  <si>
    <t>+380 076-252-5210</t>
  </si>
  <si>
    <t>Карп Афанасьевич Фомичев</t>
  </si>
  <si>
    <t>+375 205-037-7882</t>
  </si>
  <si>
    <t>Стрелков Геннадий Бориславович</t>
  </si>
  <si>
    <t>+380 030-761-0677</t>
  </si>
  <si>
    <t>Самойлова Татьяна Эльдаровна</t>
  </si>
  <si>
    <t>+375 079-578-9874</t>
  </si>
  <si>
    <t>Морозова Майя Борисовна</t>
  </si>
  <si>
    <t>+998 824-309-1395</t>
  </si>
  <si>
    <t>Ия Никифоровна Лапина</t>
  </si>
  <si>
    <t>+992 248-066-2060</t>
  </si>
  <si>
    <t>Дементий Антипович Мухин</t>
  </si>
  <si>
    <t>+992 110-427-6136</t>
  </si>
  <si>
    <t>Филиппова Юлия Леоновна</t>
  </si>
  <si>
    <t>+380 088-024-3161</t>
  </si>
  <si>
    <t>Полякова Анжела Аскольдовна</t>
  </si>
  <si>
    <t>+7 752-341-5050</t>
  </si>
  <si>
    <t>Лукин Харлампий Игнатович</t>
  </si>
  <si>
    <t>+375 077-514-8048</t>
  </si>
  <si>
    <t>Федотов Радислав Антонович</t>
  </si>
  <si>
    <t>+380 276-157-8458</t>
  </si>
  <si>
    <t>Лора Болеславовна Потапова</t>
  </si>
  <si>
    <t>+7 632-222-4524</t>
  </si>
  <si>
    <t>Сила Денисович Гурьев</t>
  </si>
  <si>
    <t>+7 273-904-5457</t>
  </si>
  <si>
    <t>Иванов Христофор Ильясович</t>
  </si>
  <si>
    <t>+998 053-607-1948</t>
  </si>
  <si>
    <t>Поляков Боян Андреевич</t>
  </si>
  <si>
    <t>+998 826-456-9884</t>
  </si>
  <si>
    <t>Ратибор Арсеньевич Петров</t>
  </si>
  <si>
    <t>+998 488-220-8790</t>
  </si>
  <si>
    <t>Капустина Тамара Валериевна</t>
  </si>
  <si>
    <t>+7 747-678-7543</t>
  </si>
  <si>
    <t>Феофан Гурьевич Дорофеев</t>
  </si>
  <si>
    <t>+992 349-223-5769</t>
  </si>
  <si>
    <t>Алексеев Касьян Ефимович</t>
  </si>
  <si>
    <t>+998 752-893-8536</t>
  </si>
  <si>
    <t>Юлия Вячеславовна Журавлева</t>
  </si>
  <si>
    <t>+7 630-977-5834</t>
  </si>
  <si>
    <t>Элеонора Ивановна Королева</t>
  </si>
  <si>
    <t>+998 084-412-0746</t>
  </si>
  <si>
    <t>Полина Николаевна Евдокимова</t>
  </si>
  <si>
    <t>+7 899-265-0963</t>
  </si>
  <si>
    <t>Лукия Ефимовна Тимофеева</t>
  </si>
  <si>
    <t>+7 321-005-5110</t>
  </si>
  <si>
    <t>Майя Вадимовна Рябова</t>
  </si>
  <si>
    <t>+7 592-570-4871</t>
  </si>
  <si>
    <t>Кудрявцева Ульяна Филипповна</t>
  </si>
  <si>
    <t>+998 525-413-6836</t>
  </si>
  <si>
    <t>Виноградов Карл Алексеевич</t>
  </si>
  <si>
    <t>+380 633-205-1404</t>
  </si>
  <si>
    <t>Чеслав Виленович Шестаков</t>
  </si>
  <si>
    <t>+998 222-956-9780</t>
  </si>
  <si>
    <t>Бирюков Олимпий Иосифович</t>
  </si>
  <si>
    <t>+375 226-887-4565</t>
  </si>
  <si>
    <t>г-н Рыбаков Автоном Антонович</t>
  </si>
  <si>
    <t>+7 109-995-2846</t>
  </si>
  <si>
    <t>Нинель Натановна Лазарева</t>
  </si>
  <si>
    <t>+375 372-396-9651</t>
  </si>
  <si>
    <t>Сорокина Феврония Натановна</t>
  </si>
  <si>
    <t>+998 607-517-9439</t>
  </si>
  <si>
    <t>Новикова Лидия Павловна</t>
  </si>
  <si>
    <t>+375 743-922-4671</t>
  </si>
  <si>
    <t>Герасимов Еремей Демидович</t>
  </si>
  <si>
    <t>+7 181-799-6850</t>
  </si>
  <si>
    <t>Вероника Евгеньевна Федосеева</t>
  </si>
  <si>
    <t>+380 835-708-4433</t>
  </si>
  <si>
    <t>Кудрявцев Демид Ерофеевич</t>
  </si>
  <si>
    <t>+7 454-941-1729</t>
  </si>
  <si>
    <t>Филимон Федотович Иванов</t>
  </si>
  <si>
    <t>+7 297-169-3756</t>
  </si>
  <si>
    <t>Лонгин Арсенович Никонов</t>
  </si>
  <si>
    <t>+998 498-706-1394</t>
  </si>
  <si>
    <t>Юлия Леоновна Наумова</t>
  </si>
  <si>
    <t>+375 435-951-1995</t>
  </si>
  <si>
    <t>Агата Юрьевна Галкина</t>
  </si>
  <si>
    <t>+998 350-816-0031</t>
  </si>
  <si>
    <t>Гурьев Влас Юлианович</t>
  </si>
  <si>
    <t>+992 863-895-4307</t>
  </si>
  <si>
    <t>Мефодий Филиппович Воробьев</t>
  </si>
  <si>
    <t>+998 006-788-9211</t>
  </si>
  <si>
    <t>Август Вячеславович Брагин</t>
  </si>
  <si>
    <t>+7 063-931-5918</t>
  </si>
  <si>
    <t>Любовь Георгиевна Мамонтова</t>
  </si>
  <si>
    <t>+380 545-746-8707</t>
  </si>
  <si>
    <t>Осипов Светозар Ефремович</t>
  </si>
  <si>
    <t>+998 353-736-8172</t>
  </si>
  <si>
    <t>Зоя Кирилловна Брагина</t>
  </si>
  <si>
    <t>+998 591-865-8342</t>
  </si>
  <si>
    <t>Калинина Ирина Филипповна</t>
  </si>
  <si>
    <t>+380 622-144-1703</t>
  </si>
  <si>
    <t>Александра Матвеевна Артемьева</t>
  </si>
  <si>
    <t>+380 669-437-2066</t>
  </si>
  <si>
    <t>Носкова Вера Федоровна</t>
  </si>
  <si>
    <t>+7 753-596-5037</t>
  </si>
  <si>
    <t>Никодим Игоревич Бобров</t>
  </si>
  <si>
    <t>+375 682-373-1802</t>
  </si>
  <si>
    <t>Вера Георгиевна Некрасова</t>
  </si>
  <si>
    <t>+375 796-304-7865</t>
  </si>
  <si>
    <t>Фадей Ефимович Калинин</t>
  </si>
  <si>
    <t>+998 469-847-6587</t>
  </si>
  <si>
    <t>Дата регистрации клиента</t>
  </si>
  <si>
    <t>Программа лояльности клиента</t>
  </si>
  <si>
    <t>ФИО</t>
  </si>
  <si>
    <t>номер телефона клиента</t>
  </si>
  <si>
    <t>Анализ продаж продуктовых сетей</t>
  </si>
  <si>
    <t>Динамика продаж по магазинам</t>
  </si>
  <si>
    <t>Изучение продаж по категориям товаров</t>
  </si>
  <si>
    <t>Изучение клиентов по географии и лайфтайму</t>
  </si>
  <si>
    <t>Сравнение поставщиков по объемам закупок</t>
  </si>
  <si>
    <t xml:space="preserve">Отработка Hard Skills </t>
  </si>
  <si>
    <t>Преобразование типов и визуальное форматирование</t>
  </si>
  <si>
    <t>Условное форматирование данных</t>
  </si>
  <si>
    <t>Среднее кол-во по категориям (что покупают чаще)</t>
  </si>
  <si>
    <t>Умные таблицы и работа с абсолютными и относительными ссылками</t>
  </si>
  <si>
    <t>Аналитика географии клиентов</t>
  </si>
  <si>
    <t>Математические и текстовые функции</t>
  </si>
  <si>
    <t>Функции для работы с датой и временем</t>
  </si>
  <si>
    <t>Функции поиска и извлечения данных</t>
  </si>
  <si>
    <t>Сводные таблицы и срезы данных</t>
  </si>
  <si>
    <t>Частотность имен для рекламной компании</t>
  </si>
  <si>
    <t>Платежеспособность по странам</t>
  </si>
  <si>
    <t>Суммарные продажи по поставщикам</t>
  </si>
  <si>
    <t>Задачи исследования</t>
  </si>
  <si>
    <t>Декомпозиция</t>
  </si>
  <si>
    <t>Анализ цен внутри товарной категории по магазинам</t>
  </si>
  <si>
    <t>Анализ цен внутри категории по поставщикам</t>
  </si>
  <si>
    <t xml:space="preserve">Лайфтайм клиента </t>
  </si>
  <si>
    <t>Выводы исследования</t>
  </si>
  <si>
    <t>Суммарные продажи по магазинам</t>
  </si>
  <si>
    <t>Суммарные продажи по категориям</t>
  </si>
  <si>
    <t>№</t>
  </si>
  <si>
    <t>Данные сгенерированы ChatGPT и не являются NDA</t>
  </si>
  <si>
    <t>Названия строк</t>
  </si>
  <si>
    <t>Общий итог</t>
  </si>
  <si>
    <t>Сумма по полю сумма чека</t>
  </si>
  <si>
    <t>2023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</si>
  <si>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</si>
  <si>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</si>
  <si>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</si>
  <si>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</si>
  <si>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</si>
  <si>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</si>
  <si>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</si>
  <si>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</si>
  <si>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</si>
  <si>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</si>
  <si>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</si>
  <si>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</si>
  <si>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2024</t>
  </si>
  <si>
    <t>Категория</t>
  </si>
  <si>
    <t>Поставщик</t>
  </si>
  <si>
    <t>Средняя цена в категории за шт</t>
  </si>
  <si>
    <t>Продуктовая сеть</t>
  </si>
  <si>
    <t>GMV</t>
  </si>
  <si>
    <t>Период</t>
  </si>
  <si>
    <t>(Все)</t>
  </si>
  <si>
    <t>Выгода для клиента</t>
  </si>
  <si>
    <t>Для ТС Магнит за анализируемый период характерны два особо сильных спада продаж в мае и ноябре 2023 г. В мае объем продаж снизился на 3 119 у.е. или почти в  10 раз по сравнению с прошлым месяцем и составил 356 у.е. С ноября 2023 г. по апрель 2024 г. сохраняется тенденция роста объема продаж, который достиг своего максимума в мае 2024 г. - 4 950 у.е. В мае 2024 г. нет данных по продажам в ТС Магнит</t>
  </si>
  <si>
    <t>Суммарные продажи по ТС Магнит составили 37 636 у.е., что относится к средним показателям по выручке среди представленных  продуктовых сетей. Выгода для покупателей за весь период составила -3% по всем категориям. Следует отметить, что в 2024 г. в ТС Магнит уже наблюдалась наценка от средних цен - 13%, вместо дисконта в 2024 г. -10%. Возможно произошло изменение ассортимента и стратегии продаж,  стимулирование спроса через маркетинг и программу лояльности.</t>
  </si>
  <si>
    <t>Средняя цена в категории за шт по поставщику</t>
  </si>
  <si>
    <t>Среднее по полю Выгода для клиента</t>
  </si>
  <si>
    <t>Динамика продаж с января 2023г. по май 2024 г. характеризуется значительными колебаниями. В 2023 г. особенно сильная просадка продаж наблюдается в октябре - до 185 800 у.е. Пик продаж пришелся на март 2024 и достиг 299 875 у.е., что может быть связано с успешно проведенными акциями или запуском нового продукта. Затем наблюдался спад продаж и к маю 2024 г. продажи достигли своего минимума 118 215 у.е. (-181 660 у.е. за 2 месяца), что связано с отсутствием в мае 2024 г. данных о продажах 8 ТС (Мосмарт, Верный, Седьмой Континент, Бристоль, Мираторг, Магнит, Дикси, Пятёрочка).</t>
  </si>
  <si>
    <t xml:space="preserve"> Средняя цена в категории за шт </t>
  </si>
  <si>
    <t>Выгода по поставщикам</t>
  </si>
  <si>
    <t>По поставщикам довольно большой разброс значений GMV: наибольшие суммарные продажи у Паста Зара - 147 150 у.е., наименьшие у Микоян - 410 у.е.</t>
  </si>
  <si>
    <t xml:space="preserve">Наиболее высокие средние цены в категории фрукты от поставщика Green Garden - 369,2 у.е., наименьшие - в  категории колбаса от поставщика Микоян - 82 у.е. </t>
  </si>
  <si>
    <t>Наибольшие суммарные продажи в категории "Макароны" - 334 725 у.е., наименьшие - в категории "Колбаса" - 106 565 у.е.</t>
  </si>
  <si>
    <t>Среди продуктовых сетей лидером по продажам стала ТС О'кей c GMV 264 220 у.е., наименьшие продажи у  ТС Билла - 136 375 у.е.</t>
  </si>
  <si>
    <t>Среднее по полю кол-во штук в чеке</t>
  </si>
  <si>
    <t>В среднем за одну покупку покупатели берут больше всего товары из категории "Молоко" - 3,2 шт, меньше всего покупают товаров из категории "Сыр" - 2,6 ед.</t>
  </si>
  <si>
    <t>человек</t>
  </si>
  <si>
    <t>Большинство клиентов торговых сетей из России - 34% от общего числа клиентов или 146 чел., меньше всего из Беларуси - 12% или 51 чел.</t>
  </si>
  <si>
    <t>Количество</t>
  </si>
  <si>
    <t>По участию в программе лояльности клиенты распределились почти пополам: 219 чел. не участвуют  в программе лояльности, что на 4 человека больше, чем участвующих (215 чел.).</t>
  </si>
  <si>
    <t>Дата регистрации</t>
  </si>
  <si>
    <t>Количество дней с момента регистрации</t>
  </si>
  <si>
    <t>Коды телефона</t>
  </si>
  <si>
    <t>Страна клиента</t>
  </si>
  <si>
    <t>Количество по полю id клиента</t>
  </si>
  <si>
    <t>8-107</t>
  </si>
  <si>
    <t>108-207</t>
  </si>
  <si>
    <t>208-307</t>
  </si>
  <si>
    <t>308-407</t>
  </si>
  <si>
    <t>408-507</t>
  </si>
  <si>
    <t>508-607</t>
  </si>
  <si>
    <t>608-707</t>
  </si>
  <si>
    <t>708-807</t>
  </si>
  <si>
    <t>808-907</t>
  </si>
  <si>
    <t>Кол-во дней с момента регистрации до покупки</t>
  </si>
  <si>
    <t>Преимущественное число клиентов были зарегистрированы от 36 до 37 месяцев назад. Наименьшее число клиентов зарегистрированы более 41 месяца назад.</t>
  </si>
  <si>
    <t>Имя</t>
  </si>
  <si>
    <t>Отчество</t>
  </si>
  <si>
    <t>Фамилия</t>
  </si>
  <si>
    <t>ФИО без обращений</t>
  </si>
  <si>
    <t>ФИО в одинаковом порядке</t>
  </si>
  <si>
    <t>Алевтина</t>
  </si>
  <si>
    <t>Александра</t>
  </si>
  <si>
    <t>Алла</t>
  </si>
  <si>
    <t>Анастасия</t>
  </si>
  <si>
    <t>Анжела</t>
  </si>
  <si>
    <t>Валентина</t>
  </si>
  <si>
    <t>Василиса</t>
  </si>
  <si>
    <t>Вера</t>
  </si>
  <si>
    <t>Вероника</t>
  </si>
  <si>
    <t>Жанна</t>
  </si>
  <si>
    <t>Зоя</t>
  </si>
  <si>
    <t>Ираида</t>
  </si>
  <si>
    <t>Ия</t>
  </si>
  <si>
    <t>Лора</t>
  </si>
  <si>
    <t>Любовь</t>
  </si>
  <si>
    <t>Любомир</t>
  </si>
  <si>
    <t>Марфа</t>
  </si>
  <si>
    <t>Татьяна</t>
  </si>
  <si>
    <t>Феврония</t>
  </si>
  <si>
    <t>Элеонора</t>
  </si>
  <si>
    <t>Эмилия</t>
  </si>
  <si>
    <t>Юлия</t>
  </si>
  <si>
    <t xml:space="preserve">, </t>
  </si>
  <si>
    <t>.</t>
  </si>
  <si>
    <t xml:space="preserve">  </t>
  </si>
  <si>
    <t xml:space="preserve">Топ 8 имен клиентов: </t>
  </si>
  <si>
    <t xml:space="preserve"> </t>
  </si>
  <si>
    <t>Отклонение от средней цены варьируются от 10% (наценка) до -10% (скидка), что указывает на значительные различия в ценовой политике по магазинам. С наибольшим дисконтом товары продаются в ТС Пятерочка - там средний цены на 10% ниже. И наоборот, в среднем на 10% выше цены в ТС Лента.</t>
  </si>
  <si>
    <t>Динамика продаж с января 2023г. по май 2024 г. характеризуется значительными колебаниями. В 2023 г. особенно сильная просадка продаж наблюдается в октябре - до 185 800 у.е. Пик продаж пришелся на март 2024 и достиг 299 875 у.е., что может быть связано с успешно проведенными акциями или запуском нового продукта. Затем наблюдался спад продаж и к маю 2024г. продажи достигли своего минимума 118 215 у.е. (-181 660 у.е. за 2 месяца), что связано с отсутствием в мае 2024 г. данных о продажах 8 ТС (Мосмарт, Верный, Седьмой Континент, Бристоль, Мираторг, Магнит, Дикси, Пятёрочка).</t>
  </si>
  <si>
    <t>Наиболее существенные денежные средства поступили из России 31% от всех поступлений или 1 256 650 у.е. Меньше всего денежных средств поступило из Беларуси - 12% или 493 965 у.е.</t>
  </si>
  <si>
    <t>ОБЩИЙ GMV</t>
  </si>
  <si>
    <t>ТОП МАГАЗИН ПО GMV</t>
  </si>
  <si>
    <t>ТОП КАТЕГОРИЯ</t>
  </si>
  <si>
    <t>ТОП ПОСТАВЩИК ПО GMV</t>
  </si>
  <si>
    <t>ID уникальный</t>
  </si>
  <si>
    <t>Сумма по полю ID уникальный</t>
  </si>
  <si>
    <t>КОЛИЧЕСТВО ПОКУПОК</t>
  </si>
  <si>
    <t>участие в программе лояльности</t>
  </si>
  <si>
    <t>лайфтайм клиента</t>
  </si>
  <si>
    <t xml:space="preserve">Наибольшее число клиентов были зарегистрированы в период </t>
  </si>
  <si>
    <t>месяцев.</t>
  </si>
  <si>
    <t xml:space="preserve">месяцев, наименьшее - в период </t>
  </si>
  <si>
    <t>Большинство клиентов, совершивших покупку были зарегистрированы от 308 до 607 дней назад, т.е. примерно от 10 мес. до 20 мес. назад.</t>
  </si>
  <si>
    <t>Исследование выполнила: Светлана Насонкова</t>
  </si>
  <si>
    <t>Построение диаграмм и дашборда</t>
  </si>
  <si>
    <t>Наиболее существенные денежные средства поступили из России - 31% от всех поступлений или 1 256 650 у.е. Меньше всего пришло денежных средств из Беларуси - 12% или 493 965 у.е.</t>
  </si>
  <si>
    <t>Последнюю дату покупки клиента</t>
  </si>
  <si>
    <t>Фактический лайфтайм (мес)</t>
  </si>
  <si>
    <t>1-3</t>
  </si>
  <si>
    <t>3-5</t>
  </si>
  <si>
    <t>5-7</t>
  </si>
  <si>
    <t>7-9</t>
  </si>
  <si>
    <t>9-11</t>
  </si>
  <si>
    <t>11-13</t>
  </si>
  <si>
    <t>13-15</t>
  </si>
  <si>
    <t>15-17</t>
  </si>
  <si>
    <t>17-19</t>
  </si>
  <si>
    <t>19-21</t>
  </si>
  <si>
    <t>21-23</t>
  </si>
  <si>
    <t>23-25</t>
  </si>
  <si>
    <t>25-27</t>
  </si>
  <si>
    <t>27-29</t>
  </si>
  <si>
    <t>Наибольшее число клиентов были зарегистрированы в период 15-17 месяцев, наименьшее в 1-3 месяца</t>
  </si>
  <si>
    <t>Топ 8 имен клиентов: Василиса, Феврония, Алевтина, Эмилия, Марфа, Любовь, Вера, Жанна.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</si>
</sst>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yyyy\-mm\-dd"/>
    <numFmt numFmtId="165" formatCode="_-* #,##0.0_-;\-* #,##0.0_-;_-* &quot;-&quot;??_-;_-@_-"/>
    <numFmt numFmtId="166" formatCode="#,##0\ _₽"/>
    <numFmt numFmtId="167" formatCode="0.0"/>
    <numFmt numFmtId="168" formatCode="#,##0.0\ _₽"/>
    <numFmt numFmtId="169" formatCode="#,##0\ &quot;₽&quot;"/>
    <numFmt numFmtId="170" formatCode="0,&quot; тыс. у.е.&quot;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Calibri"/>
      <family val="2"/>
      <charset val="204"/>
      <scheme val="minor"/>
    </font>
    <font>
      <b/>
      <sz val="14"/>
      <color rgb="FF000000"/>
      <name val="Arial"/>
      <family val="2"/>
      <charset val="204"/>
    </font>
    <font>
      <b/>
      <sz val="16"/>
      <color rgb="FF28A08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4" fillId="0" borderId="0"/>
  </cellStyleXfs>
  <cellXfs count="88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  <xf numFmtId="0" fontId="4" fillId="0" borderId="2" xfId="1" applyFont="1" applyBorder="1"/>
    <xf numFmtId="0" fontId="4" fillId="0" borderId="0" xfId="1" applyFont="1"/>
    <xf numFmtId="0" fontId="1" fillId="0" borderId="3" xfId="1" applyBorder="1"/>
    <xf numFmtId="0" fontId="1" fillId="0" borderId="4" xfId="1" applyBorder="1"/>
    <xf numFmtId="0" fontId="1" fillId="0" borderId="6" xfId="1" applyBorder="1"/>
    <xf numFmtId="0" fontId="1" fillId="0" borderId="7" xfId="1" applyBorder="1"/>
    <xf numFmtId="0" fontId="4" fillId="0" borderId="8" xfId="1" applyFont="1" applyBorder="1"/>
    <xf numFmtId="0" fontId="1" fillId="0" borderId="5" xfId="1" applyBorder="1"/>
    <xf numFmtId="0" fontId="5" fillId="0" borderId="9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0" xfId="0" applyFont="1" applyBorder="1" applyAlignment="1">
      <alignment horizontal="center" vertical="top"/>
    </xf>
    <xf numFmtId="9" fontId="0" fillId="0" borderId="0" xfId="3" applyFont="1"/>
    <xf numFmtId="165" fontId="0" fillId="0" borderId="0" xfId="2" applyNumberFormat="1" applyFont="1"/>
    <xf numFmtId="0" fontId="2" fillId="0" borderId="10" xfId="0" applyFont="1" applyBorder="1" applyAlignment="1">
      <alignment horizontal="center" vertical="top" wrapText="1"/>
    </xf>
    <xf numFmtId="0" fontId="0" fillId="0" borderId="0" xfId="0" pivotButton="1" applyAlignment="1">
      <alignment horizontal="center"/>
    </xf>
    <xf numFmtId="166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5" xfId="0" pivotButton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9" fontId="0" fillId="0" borderId="11" xfId="0" applyNumberFormat="1" applyBorder="1"/>
    <xf numFmtId="9" fontId="0" fillId="0" borderId="10" xfId="0" applyNumberFormat="1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67" fontId="0" fillId="0" borderId="0" xfId="0" applyNumberFormat="1"/>
    <xf numFmtId="9" fontId="0" fillId="0" borderId="12" xfId="0" applyNumberFormat="1" applyBorder="1"/>
    <xf numFmtId="9" fontId="0" fillId="0" borderId="0" xfId="0" applyNumberFormat="1"/>
    <xf numFmtId="3" fontId="0" fillId="0" borderId="0" xfId="0" applyNumberFormat="1"/>
    <xf numFmtId="168" fontId="0" fillId="0" borderId="0" xfId="0" applyNumberFormat="1"/>
    <xf numFmtId="0" fontId="0" fillId="4" borderId="13" xfId="0" applyFill="1" applyBorder="1"/>
    <xf numFmtId="0" fontId="0" fillId="4" borderId="15" xfId="0" applyFill="1" applyBorder="1"/>
    <xf numFmtId="14" fontId="0" fillId="4" borderId="15" xfId="0" applyNumberFormat="1" applyFill="1" applyBorder="1"/>
    <xf numFmtId="0" fontId="0" fillId="2" borderId="16" xfId="0" applyFill="1" applyBorder="1"/>
    <xf numFmtId="0" fontId="0" fillId="2" borderId="14" xfId="0" applyFill="1" applyBorder="1"/>
    <xf numFmtId="14" fontId="0" fillId="2" borderId="14" xfId="0" applyNumberFormat="1" applyFill="1" applyBorder="1"/>
    <xf numFmtId="0" fontId="0" fillId="4" borderId="16" xfId="0" applyFill="1" applyBorder="1"/>
    <xf numFmtId="0" fontId="0" fillId="4" borderId="14" xfId="0" applyFill="1" applyBorder="1"/>
    <xf numFmtId="14" fontId="0" fillId="4" borderId="14" xfId="0" applyNumberFormat="1" applyFill="1" applyBorder="1"/>
    <xf numFmtId="0" fontId="6" fillId="5" borderId="0" xfId="1" applyFont="1" applyFill="1"/>
    <xf numFmtId="0" fontId="0" fillId="6" borderId="0" xfId="0" applyFill="1"/>
    <xf numFmtId="14" fontId="0" fillId="0" borderId="0" xfId="0" applyNumberFormat="1"/>
    <xf numFmtId="0" fontId="9" fillId="3" borderId="5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11" fillId="0" borderId="5" xfId="1" applyFont="1" applyBorder="1" applyAlignment="1">
      <alignment vertical="center"/>
    </xf>
    <xf numFmtId="0" fontId="11" fillId="0" borderId="6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1" fontId="0" fillId="0" borderId="0" xfId="0" applyNumberFormat="1"/>
    <xf numFmtId="0" fontId="11" fillId="0" borderId="0" xfId="0" applyFont="1" applyAlignment="1">
      <alignment vertical="top" wrapText="1"/>
    </xf>
    <xf numFmtId="0" fontId="0" fillId="0" borderId="0" xfId="0" applyAlignment="1">
      <alignment vertical="top"/>
    </xf>
    <xf numFmtId="1" fontId="0" fillId="0" borderId="0" xfId="0" applyNumberFormat="1" applyAlignment="1">
      <alignment horizontal="left"/>
    </xf>
    <xf numFmtId="4" fontId="0" fillId="4" borderId="13" xfId="0" applyNumberFormat="1" applyFill="1" applyBorder="1"/>
    <xf numFmtId="4" fontId="0" fillId="2" borderId="16" xfId="0" applyNumberFormat="1" applyFill="1" applyBorder="1"/>
    <xf numFmtId="4" fontId="0" fillId="4" borderId="16" xfId="0" applyNumberFormat="1" applyFill="1" applyBorder="1"/>
    <xf numFmtId="0" fontId="4" fillId="0" borderId="17" xfId="1" applyFont="1" applyBorder="1"/>
    <xf numFmtId="0" fontId="4" fillId="0" borderId="18" xfId="1" applyFont="1" applyBorder="1"/>
    <xf numFmtId="0" fontId="4" fillId="0" borderId="9" xfId="1" applyFont="1" applyBorder="1" applyAlignment="1">
      <alignment horizontal="center"/>
    </xf>
    <xf numFmtId="0" fontId="1" fillId="0" borderId="19" xfId="1" applyBorder="1" applyAlignment="1">
      <alignment horizontal="center" vertical="center"/>
    </xf>
    <xf numFmtId="0" fontId="1" fillId="0" borderId="9" xfId="1" applyBorder="1" applyAlignment="1">
      <alignment horizontal="left" wrapText="1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9" xfId="1" applyBorder="1" applyAlignment="1">
      <alignment horizontal="left" vertical="top" wrapText="1"/>
    </xf>
    <xf numFmtId="0" fontId="1" fillId="0" borderId="9" xfId="1" applyBorder="1" applyAlignment="1">
      <alignment horizontal="justify" vertical="top" wrapText="1"/>
    </xf>
    <xf numFmtId="0" fontId="1" fillId="0" borderId="9" xfId="1" applyBorder="1" applyAlignment="1">
      <alignment horizontal="left"/>
    </xf>
    <xf numFmtId="0" fontId="1" fillId="0" borderId="22" xfId="1" applyBorder="1" applyAlignment="1">
      <alignment horizontal="center" vertical="center"/>
    </xf>
    <xf numFmtId="0" fontId="11" fillId="0" borderId="23" xfId="1" applyFont="1" applyBorder="1" applyAlignment="1">
      <alignment vertical="center"/>
    </xf>
    <xf numFmtId="0" fontId="1" fillId="0" borderId="0" xfId="1" applyAlignment="1">
      <alignment horizontal="center"/>
    </xf>
    <xf numFmtId="0" fontId="12" fillId="7" borderId="6" xfId="1" applyFont="1" applyFill="1" applyBorder="1" applyAlignment="1">
      <alignment horizontal="center"/>
    </xf>
    <xf numFmtId="0" fontId="12" fillId="7" borderId="0" xfId="1" applyFont="1" applyFill="1" applyAlignment="1">
      <alignment horizontal="center"/>
    </xf>
    <xf numFmtId="0" fontId="15" fillId="8" borderId="0" xfId="4" applyFont="1" applyFill="1" applyAlignment="1">
      <alignment horizontal="center" vertical="top"/>
    </xf>
    <xf numFmtId="0" fontId="16" fillId="8" borderId="0" xfId="4" applyFont="1" applyFill="1" applyAlignment="1">
      <alignment horizontal="center" vertical="top"/>
    </xf>
    <xf numFmtId="170" fontId="17" fillId="8" borderId="0" xfId="4" applyNumberFormat="1" applyFont="1" applyFill="1" applyAlignment="1">
      <alignment horizontal="center" vertical="center"/>
    </xf>
    <xf numFmtId="0" fontId="17" fillId="8" borderId="0" xfId="4" applyFont="1" applyFill="1" applyAlignment="1">
      <alignment horizontal="center" vertical="center"/>
    </xf>
    <xf numFmtId="169" fontId="17" fillId="8" borderId="0" xfId="4" applyNumberFormat="1" applyFont="1" applyFill="1" applyAlignment="1">
      <alignment horizontal="center" vertical="center"/>
    </xf>
    <xf numFmtId="0" fontId="0" fillId="0" borderId="0" xfId="0" applyAlignment="1">
      <alignment horizontal="justify" vertical="top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8" fillId="0" borderId="0" xfId="0" applyFont="1" applyAlignment="1">
      <alignment horizontal="justify" vertical="top" wrapText="1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</cellXfs>
  <cellStyles count="5">
    <cellStyle name="Обычный" xfId="0" builtinId="0"/>
    <cellStyle name="Обычный 2" xfId="1" xr:uid="{00000000-0005-0000-0000-000001000000}"/>
    <cellStyle name="Обычный 3" xfId="4" xr:uid="{98A24D36-1498-46D2-A6B0-8B244CB7DBC0}"/>
    <cellStyle name="Процентный" xfId="3" builtinId="5"/>
    <cellStyle name="Финансовый" xfId="2" builtinId="3"/>
  </cellStyles>
  <dxfs count="133">
    <dxf>
      <numFmt numFmtId="13" formatCode="0%"/>
    </dxf>
    <dxf>
      <numFmt numFmtId="168" formatCode="#,##0.0\ _₽"/>
    </dxf>
    <dxf>
      <numFmt numFmtId="166" formatCode="#,##0\ _₽"/>
    </dxf>
    <dxf>
      <numFmt numFmtId="166" formatCode="#,##0\ _₽"/>
    </dxf>
    <dxf>
      <numFmt numFmtId="13" formatCode="0%"/>
    </dxf>
    <dxf>
      <numFmt numFmtId="14" formatCode="0.00%"/>
    </dxf>
    <dxf>
      <numFmt numFmtId="166" formatCode="#,##0\ _₽"/>
    </dxf>
    <dxf>
      <numFmt numFmtId="166" formatCode="#,##0\ _₽"/>
    </dxf>
    <dxf>
      <numFmt numFmtId="171" formatCode="#,##0.00\ _₽"/>
    </dxf>
    <dxf>
      <numFmt numFmtId="171" formatCode="#,##0.00\ _₽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#,##0\ _₽"/>
    </dxf>
    <dxf>
      <alignment horizontal="center"/>
    </dxf>
    <dxf>
      <alignment horizontal="center"/>
    </dxf>
    <dxf>
      <numFmt numFmtId="166" formatCode="#,##0\ _₽"/>
    </dxf>
    <dxf>
      <numFmt numFmtId="167" formatCode="0.0"/>
    </dxf>
    <dxf>
      <numFmt numFmtId="172" formatCode="0.000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\ _₽"/>
    </dxf>
    <dxf>
      <numFmt numFmtId="166" formatCode="#,##0\ _₽"/>
    </dxf>
    <dxf>
      <numFmt numFmtId="169" formatCode="#,##0\ &quot;₽&quot;"/>
    </dxf>
    <dxf>
      <numFmt numFmtId="173" formatCode="#,##0.00\ &quot;₽&quot;"/>
    </dxf>
    <dxf>
      <numFmt numFmtId="166" formatCode="#,##0\ _₽"/>
    </dxf>
    <dxf>
      <numFmt numFmtId="166" formatCode="#,##0\ _₽"/>
    </dxf>
    <dxf>
      <numFmt numFmtId="169" formatCode="#,##0\ &quot;₽&quot;"/>
    </dxf>
    <dxf>
      <numFmt numFmtId="173" formatCode="#,##0.00\ &quot;₽&quot;"/>
    </dxf>
    <dxf>
      <numFmt numFmtId="13" formatCode="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4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microsoft.com/office/2007/relationships/slicerCache" Target="slicerCaches/slicerCache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microsoft.com/office/2007/relationships/slicerCache" Target="slicerCaches/slicerCache5.xml"/><Relationship Id="rId30" Type="http://schemas.microsoft.com/office/2007/relationships/slicerCache" Target="slicerCaches/slicerCache8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Analytics.xlsx]выгода клиентам!выгода_клиентам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/>
              <a:t>Средний</a:t>
            </a:r>
            <a:r>
              <a:rPr lang="ru-RU" sz="1800" b="1" baseline="0"/>
              <a:t> дисконт по магазинам (с учетом наценок)</a:t>
            </a:r>
            <a:endParaRPr lang="ru-RU" sz="1800" b="1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21880521190664E-2"/>
          <c:y val="7.2514319497320151E-2"/>
          <c:w val="0.96101005069823198"/>
          <c:h val="0.782050070504546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sz="14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B-4E13-8288-B6CDA67A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973632"/>
        <c:axId val="48208640"/>
      </c:barChart>
      <c:catAx>
        <c:axId val="5799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08640"/>
        <c:crosses val="autoZero"/>
        <c:auto val="1"/>
        <c:lblAlgn val="ctr"/>
        <c:lblOffset val="100"/>
        <c:noMultiLvlLbl val="0"/>
      </c:catAx>
      <c:valAx>
        <c:axId val="48208640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crossAx val="579973632"/>
        <c:crosses val="autoZero"/>
        <c:crossBetween val="between"/>
      </c:val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1200"/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wordArtVert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Analytics.xlsx]цены внутри категории!цены_по_поставщ_внутри_кат</c:name>
    <c:fmtId val="3"/>
  </c:pivotSource>
  <c:chart>
    <c:title>
      <c:tx>
        <c:rich>
          <a:bodyPr/>
          <a:lstStyle/>
          <a:p>
            <a:pPr>
              <a:defRPr sz="1800" b="1"/>
            </a:pPr>
            <a:r>
              <a:rPr lang="ru-RU" sz="1800" b="1"/>
              <a:t>Средние</a:t>
            </a:r>
            <a:r>
              <a:rPr lang="ru-RU" sz="1800" b="1" baseline="0"/>
              <a:t> цены по поставщикам внутри категорий, у.е.     </a:t>
            </a:r>
            <a:endParaRPr lang="ru-RU" sz="1800" b="1"/>
          </a:p>
        </c:rich>
      </c:tx>
      <c:layout>
        <c:manualLayout>
          <c:xMode val="edge"/>
          <c:yMode val="edge"/>
          <c:x val="0.35253149908842535"/>
          <c:y val="2.3924977299529412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'цены внутри категории'!$B$3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multiLvlStrRef>
              <c:f>'цены внутри категории'!$A$4:$A$104</c:f>
              <c:multiLvlStrCache>
                <c:ptCount val="80"/>
                <c:lvl>
                  <c:pt idx="0">
                    <c:v>Каравай</c:v>
                  </c:pt>
                  <c:pt idx="1">
                    <c:v>Русский Хлеб</c:v>
                  </c:pt>
                  <c:pt idx="2">
                    <c:v>Хлебный Дом</c:v>
                  </c:pt>
                  <c:pt idx="3">
                    <c:v>Дарница</c:v>
                  </c:pt>
                  <c:pt idx="4">
                    <c:v>Беллакт</c:v>
                  </c:pt>
                  <c:pt idx="5">
                    <c:v>Простоквашино</c:v>
                  </c:pt>
                  <c:pt idx="6">
                    <c:v>Домик в деревне</c:v>
                  </c:pt>
                  <c:pt idx="7">
                    <c:v>Вимм-Билль-Данн</c:v>
                  </c:pt>
                  <c:pt idx="8">
                    <c:v>Черкизово</c:v>
                  </c:pt>
                  <c:pt idx="9">
                    <c:v>Дымов</c:v>
                  </c:pt>
                  <c:pt idx="10">
                    <c:v>Окраина</c:v>
                  </c:pt>
                  <c:pt idx="11">
                    <c:v>Микоян</c:v>
                  </c:pt>
                  <c:pt idx="12">
                    <c:v>КДВ</c:v>
                  </c:pt>
                  <c:pt idx="13">
                    <c:v>Посиделкино</c:v>
                  </c:pt>
                  <c:pt idx="14">
                    <c:v>Белогорье</c:v>
                  </c:pt>
                  <c:pt idx="15">
                    <c:v>Юбилейное</c:v>
                  </c:pt>
                  <c:pt idx="16">
                    <c:v>Green Garden</c:v>
                  </c:pt>
                  <c:pt idx="17">
                    <c:v>Фрукты-Ягоды</c:v>
                  </c:pt>
                  <c:pt idx="18">
                    <c:v>Фруктовый Рай</c:v>
                  </c:pt>
                  <c:pt idx="19">
                    <c:v>Экзотик</c:v>
                  </c:pt>
                  <c:pt idx="20">
                    <c:v>Lay's</c:v>
                  </c:pt>
                  <c:pt idx="21">
                    <c:v>Pringles</c:v>
                  </c:pt>
                  <c:pt idx="22">
                    <c:v>Estrella</c:v>
                  </c:pt>
                  <c:pt idx="23">
                    <c:v>Русская картошка</c:v>
                  </c:pt>
                  <c:pt idx="24">
                    <c:v>Мираторг</c:v>
                  </c:pt>
                  <c:pt idx="25">
                    <c:v>Агрокомплекс</c:v>
                  </c:pt>
                  <c:pt idx="26">
                    <c:v>Снежана</c:v>
                  </c:pt>
                  <c:pt idx="27">
                    <c:v>Сава</c:v>
                  </c:pt>
                  <c:pt idx="28">
                    <c:v>Greenfield</c:v>
                  </c:pt>
                  <c:pt idx="29">
                    <c:v>Тесс</c:v>
                  </c:pt>
                  <c:pt idx="30">
                    <c:v>Lipton</c:v>
                  </c:pt>
                  <c:pt idx="31">
                    <c:v>Ахмад</c:v>
                  </c:pt>
                  <c:pt idx="32">
                    <c:v>Фруктовый сад</c:v>
                  </c:pt>
                  <c:pt idx="33">
                    <c:v>Rich</c:v>
                  </c:pt>
                  <c:pt idx="34">
                    <c:v>Сады Придонья</c:v>
                  </c:pt>
                  <c:pt idx="35">
                    <c:v>Добрый</c:v>
                  </c:pt>
                  <c:pt idx="36">
                    <c:v>Рот Фронт</c:v>
                  </c:pt>
                  <c:pt idx="37">
                    <c:v>Красный Октябрь</c:v>
                  </c:pt>
                  <c:pt idx="38">
                    <c:v>Славянка</c:v>
                  </c:pt>
                  <c:pt idx="39">
                    <c:v>Бабаевский</c:v>
                  </c:pt>
                  <c:pt idx="40">
                    <c:v>Макфа</c:v>
                  </c:pt>
                  <c:pt idx="41">
                    <c:v>Паста Зара</c:v>
                  </c:pt>
                  <c:pt idx="42">
                    <c:v>Борилла</c:v>
                  </c:pt>
                  <c:pt idx="43">
                    <c:v>Роллтон</c:v>
                  </c:pt>
                  <c:pt idx="44">
                    <c:v>Экстра</c:v>
                  </c:pt>
                  <c:pt idx="45">
                    <c:v>Салта</c:v>
                  </c:pt>
                  <c:pt idx="46">
                    <c:v>Илецкая</c:v>
                  </c:pt>
                  <c:pt idx="47">
                    <c:v>Славянская</c:v>
                  </c:pt>
                  <c:pt idx="48">
                    <c:v>Активиа</c:v>
                  </c:pt>
                  <c:pt idx="49">
                    <c:v>Чудо</c:v>
                  </c:pt>
                  <c:pt idx="50">
                    <c:v>Ростагроэкспорт</c:v>
                  </c:pt>
                  <c:pt idx="51">
                    <c:v>Эрманн</c:v>
                  </c:pt>
                  <c:pt idx="52">
                    <c:v>Карат</c:v>
                  </c:pt>
                  <c:pt idx="53">
                    <c:v>Сырная долина</c:v>
                  </c:pt>
                  <c:pt idx="54">
                    <c:v>President</c:v>
                  </c:pt>
                  <c:pt idx="55">
                    <c:v>Hochland</c:v>
                  </c:pt>
                  <c:pt idx="56">
                    <c:v>Русское море</c:v>
                  </c:pt>
                  <c:pt idx="57">
                    <c:v>Балтийский берег</c:v>
                  </c:pt>
                  <c:pt idx="58">
                    <c:v>Меридиан</c:v>
                  </c:pt>
                  <c:pt idx="59">
                    <c:v>Санта Бремор</c:v>
                  </c:pt>
                  <c:pt idx="60">
                    <c:v>Агро-Альянс</c:v>
                  </c:pt>
                  <c:pt idx="61">
                    <c:v>Белый Злат</c:v>
                  </c:pt>
                  <c:pt idx="62">
                    <c:v>Националь</c:v>
                  </c:pt>
                  <c:pt idx="63">
                    <c:v>Мистраль</c:v>
                  </c:pt>
                  <c:pt idx="64">
                    <c:v>Националь</c:v>
                  </c:pt>
                  <c:pt idx="65">
                    <c:v>Ярмарка</c:v>
                  </c:pt>
                  <c:pt idx="66">
                    <c:v>Увелка</c:v>
                  </c:pt>
                  <c:pt idx="67">
                    <c:v>Мистраль</c:v>
                  </c:pt>
                  <c:pt idx="68">
                    <c:v>Русский сахар</c:v>
                  </c:pt>
                  <c:pt idx="69">
                    <c:v>Продимекс</c:v>
                  </c:pt>
                  <c:pt idx="70">
                    <c:v>Сладов</c:v>
                  </c:pt>
                  <c:pt idx="71">
                    <c:v>Агросахар</c:v>
                  </c:pt>
                  <c:pt idx="72">
                    <c:v>Овощной ряд</c:v>
                  </c:pt>
                  <c:pt idx="73">
                    <c:v>Гавриш</c:v>
                  </c:pt>
                  <c:pt idx="74">
                    <c:v>Семко</c:v>
                  </c:pt>
                  <c:pt idx="75">
                    <c:v>Зеленая грядка</c:v>
                  </c:pt>
                  <c:pt idx="76">
                    <c:v>Jacobs</c:v>
                  </c:pt>
                  <c:pt idx="77">
                    <c:v>Nescafe</c:v>
                  </c:pt>
                  <c:pt idx="78">
                    <c:v>Черная Карта</c:v>
                  </c:pt>
                  <c:pt idx="79">
                    <c:v>Tchibo</c:v>
                  </c:pt>
                </c:lvl>
                <c:lvl>
                  <c:pt idx="0">
                    <c:v>Хлеб</c:v>
                  </c:pt>
                  <c:pt idx="4">
                    <c:v>Молоко</c:v>
                  </c:pt>
                  <c:pt idx="8">
                    <c:v>Колбаса</c:v>
                  </c:pt>
                  <c:pt idx="12">
                    <c:v>Печенье</c:v>
                  </c:pt>
                  <c:pt idx="16">
                    <c:v>Фрукты</c:v>
                  </c:pt>
                  <c:pt idx="20">
                    <c:v>Чипсы</c:v>
                  </c:pt>
                  <c:pt idx="24">
                    <c:v>Мясо</c:v>
                  </c:pt>
                  <c:pt idx="28">
                    <c:v>Чай</c:v>
                  </c:pt>
                  <c:pt idx="32">
                    <c:v>Сок</c:v>
                  </c:pt>
                  <c:pt idx="36">
                    <c:v>Конфеты</c:v>
                  </c:pt>
                  <c:pt idx="40">
                    <c:v>Макароны</c:v>
                  </c:pt>
                  <c:pt idx="44">
                    <c:v>Соль</c:v>
                  </c:pt>
                  <c:pt idx="48">
                    <c:v>Йогурт</c:v>
                  </c:pt>
                  <c:pt idx="52">
                    <c:v>Сыр</c:v>
                  </c:pt>
                  <c:pt idx="56">
                    <c:v>Рыба</c:v>
                  </c:pt>
                  <c:pt idx="60">
                    <c:v>Рис</c:v>
                  </c:pt>
                  <c:pt idx="64">
                    <c:v>Крупа</c:v>
                  </c:pt>
                  <c:pt idx="68">
                    <c:v>Сахар</c:v>
                  </c:pt>
                  <c:pt idx="72">
                    <c:v>Овощи</c:v>
                  </c:pt>
                  <c:pt idx="76">
                    <c:v>Кофе</c:v>
                  </c:pt>
                </c:lvl>
              </c:multiLvlStrCache>
            </c:multiLvlStrRef>
          </c:cat>
          <c:val>
            <c:numRef>
              <c:f>'цены внутри категории'!$B$4:$B$104</c:f>
              <c:numCache>
                <c:formatCode>0.0</c:formatCode>
                <c:ptCount val="80"/>
                <c:pt idx="0">
                  <c:v>331.16666666666663</c:v>
                </c:pt>
                <c:pt idx="1">
                  <c:v>316.59999999999997</c:v>
                </c:pt>
                <c:pt idx="2">
                  <c:v>281.73333333333346</c:v>
                </c:pt>
                <c:pt idx="3">
                  <c:v>264</c:v>
                </c:pt>
                <c:pt idx="4">
                  <c:v>322.54545454545456</c:v>
                </c:pt>
                <c:pt idx="5">
                  <c:v>318.81818181818187</c:v>
                </c:pt>
                <c:pt idx="6">
                  <c:v>274.77777777777771</c:v>
                </c:pt>
                <c:pt idx="7">
                  <c:v>193.5</c:v>
                </c:pt>
                <c:pt idx="8">
                  <c:v>320.25</c:v>
                </c:pt>
                <c:pt idx="9">
                  <c:v>312.66666666666669</c:v>
                </c:pt>
                <c:pt idx="10">
                  <c:v>273.58333333333337</c:v>
                </c:pt>
                <c:pt idx="11">
                  <c:v>82</c:v>
                </c:pt>
                <c:pt idx="12">
                  <c:v>323.07692307692298</c:v>
                </c:pt>
                <c:pt idx="13">
                  <c:v>321.63636363636357</c:v>
                </c:pt>
                <c:pt idx="14">
                  <c:v>249.5</c:v>
                </c:pt>
                <c:pt idx="15">
                  <c:v>232.4444444444444</c:v>
                </c:pt>
                <c:pt idx="16">
                  <c:v>369.2</c:v>
                </c:pt>
                <c:pt idx="17">
                  <c:v>280.66666666666669</c:v>
                </c:pt>
                <c:pt idx="18">
                  <c:v>258.30769230769232</c:v>
                </c:pt>
                <c:pt idx="19">
                  <c:v>253.6875</c:v>
                </c:pt>
                <c:pt idx="20">
                  <c:v>320.5714285714285</c:v>
                </c:pt>
                <c:pt idx="21">
                  <c:v>280.2380952380953</c:v>
                </c:pt>
                <c:pt idx="22">
                  <c:v>266.2727272727272</c:v>
                </c:pt>
                <c:pt idx="23">
                  <c:v>241.83333333333337</c:v>
                </c:pt>
                <c:pt idx="24">
                  <c:v>316.58333333333337</c:v>
                </c:pt>
                <c:pt idx="25">
                  <c:v>311.19999999999993</c:v>
                </c:pt>
                <c:pt idx="26">
                  <c:v>272.35294117647067</c:v>
                </c:pt>
                <c:pt idx="27">
                  <c:v>212.8125</c:v>
                </c:pt>
                <c:pt idx="28">
                  <c:v>291.45454545454533</c:v>
                </c:pt>
                <c:pt idx="29">
                  <c:v>281.75</c:v>
                </c:pt>
                <c:pt idx="30">
                  <c:v>260.15789473684202</c:v>
                </c:pt>
                <c:pt idx="31">
                  <c:v>243.3</c:v>
                </c:pt>
                <c:pt idx="32">
                  <c:v>281.96875</c:v>
                </c:pt>
                <c:pt idx="33">
                  <c:v>272.25</c:v>
                </c:pt>
                <c:pt idx="34">
                  <c:v>254.18181818181819</c:v>
                </c:pt>
                <c:pt idx="35">
                  <c:v>242.81818181818181</c:v>
                </c:pt>
                <c:pt idx="36">
                  <c:v>288.2380952380953</c:v>
                </c:pt>
                <c:pt idx="37">
                  <c:v>273.625</c:v>
                </c:pt>
                <c:pt idx="38">
                  <c:v>268</c:v>
                </c:pt>
                <c:pt idx="39">
                  <c:v>250.25925925925918</c:v>
                </c:pt>
                <c:pt idx="40">
                  <c:v>329.2727272727272</c:v>
                </c:pt>
                <c:pt idx="41">
                  <c:v>276.67567567567562</c:v>
                </c:pt>
                <c:pt idx="42">
                  <c:v>236.27586206896555</c:v>
                </c:pt>
                <c:pt idx="43">
                  <c:v>235.5555555555556</c:v>
                </c:pt>
                <c:pt idx="44">
                  <c:v>320.84615384615387</c:v>
                </c:pt>
                <c:pt idx="45">
                  <c:v>273.69999999999993</c:v>
                </c:pt>
                <c:pt idx="46">
                  <c:v>238.16666666666663</c:v>
                </c:pt>
                <c:pt idx="47">
                  <c:v>236.91666666666663</c:v>
                </c:pt>
                <c:pt idx="48">
                  <c:v>293.66666666666669</c:v>
                </c:pt>
                <c:pt idx="49">
                  <c:v>287.09999999999997</c:v>
                </c:pt>
                <c:pt idx="50">
                  <c:v>257.78260869565207</c:v>
                </c:pt>
                <c:pt idx="51">
                  <c:v>248.5</c:v>
                </c:pt>
                <c:pt idx="52">
                  <c:v>311.33333333333331</c:v>
                </c:pt>
                <c:pt idx="53">
                  <c:v>271</c:v>
                </c:pt>
                <c:pt idx="54">
                  <c:v>238.72222222222223</c:v>
                </c:pt>
                <c:pt idx="55">
                  <c:v>168</c:v>
                </c:pt>
                <c:pt idx="56">
                  <c:v>292.66666666666669</c:v>
                </c:pt>
                <c:pt idx="57">
                  <c:v>289.88888888888891</c:v>
                </c:pt>
                <c:pt idx="58">
                  <c:v>260.64705882352933</c:v>
                </c:pt>
                <c:pt idx="59">
                  <c:v>216.40000000000003</c:v>
                </c:pt>
                <c:pt idx="60">
                  <c:v>317.85714285714283</c:v>
                </c:pt>
                <c:pt idx="61">
                  <c:v>269.7058823529411</c:v>
                </c:pt>
                <c:pt idx="62">
                  <c:v>187</c:v>
                </c:pt>
                <c:pt idx="63">
                  <c:v>181.57142857142861</c:v>
                </c:pt>
                <c:pt idx="64">
                  <c:v>274.28571428571428</c:v>
                </c:pt>
                <c:pt idx="65">
                  <c:v>252.09090909090904</c:v>
                </c:pt>
                <c:pt idx="66">
                  <c:v>251.91666666666663</c:v>
                </c:pt>
                <c:pt idx="67">
                  <c:v>250.30769230769235</c:v>
                </c:pt>
                <c:pt idx="68">
                  <c:v>293.41176470588232</c:v>
                </c:pt>
                <c:pt idx="69">
                  <c:v>240.5</c:v>
                </c:pt>
                <c:pt idx="70">
                  <c:v>240.26666666666677</c:v>
                </c:pt>
                <c:pt idx="71">
                  <c:v>215.85714285714286</c:v>
                </c:pt>
                <c:pt idx="72">
                  <c:v>303.82352941176475</c:v>
                </c:pt>
                <c:pt idx="73">
                  <c:v>247.66666666666666</c:v>
                </c:pt>
                <c:pt idx="74">
                  <c:v>208</c:v>
                </c:pt>
                <c:pt idx="75">
                  <c:v>159.19999999999999</c:v>
                </c:pt>
                <c:pt idx="76">
                  <c:v>276.21052631578948</c:v>
                </c:pt>
                <c:pt idx="77">
                  <c:v>256.90000000000003</c:v>
                </c:pt>
                <c:pt idx="78">
                  <c:v>222.2</c:v>
                </c:pt>
                <c:pt idx="79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7-4581-A2E9-26FFEE12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61792"/>
        <c:axId val="545595392"/>
      </c:barChart>
      <c:catAx>
        <c:axId val="64161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45595392"/>
        <c:crosses val="autoZero"/>
        <c:auto val="1"/>
        <c:lblAlgn val="ctr"/>
        <c:lblOffset val="100"/>
        <c:noMultiLvlLbl val="0"/>
      </c:catAx>
      <c:valAx>
        <c:axId val="545595392"/>
        <c:scaling>
          <c:orientation val="minMax"/>
          <c:max val="40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out"/>
        <c:minorTickMark val="none"/>
        <c:tickLblPos val="nextTo"/>
        <c:crossAx val="64161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Analytics.xlsx]продажи магазинов!продажи_магазинов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 i="0"/>
              <a:t>Динамика</a:t>
            </a:r>
            <a:r>
              <a:rPr lang="ru-RU" sz="1600" b="1" i="0" baseline="0"/>
              <a:t> продаж по магазинам, у.е.</a:t>
            </a:r>
            <a:endParaRPr lang="ru-RU" sz="1600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'продажи магазинов'!$A$4:$A$23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магазинов'!$B$4:$B$23</c:f>
              <c:numCache>
                <c:formatCode>#\ ##0\ _₽</c:formatCode>
                <c:ptCount val="17"/>
                <c:pt idx="0">
                  <c:v>240500</c:v>
                </c:pt>
                <c:pt idx="1">
                  <c:v>210180</c:v>
                </c:pt>
                <c:pt idx="2">
                  <c:v>251740</c:v>
                </c:pt>
                <c:pt idx="3">
                  <c:v>279760</c:v>
                </c:pt>
                <c:pt idx="4">
                  <c:v>210500</c:v>
                </c:pt>
                <c:pt idx="5">
                  <c:v>264125</c:v>
                </c:pt>
                <c:pt idx="6">
                  <c:v>245855</c:v>
                </c:pt>
                <c:pt idx="7">
                  <c:v>294065</c:v>
                </c:pt>
                <c:pt idx="8">
                  <c:v>259360</c:v>
                </c:pt>
                <c:pt idx="9">
                  <c:v>185800</c:v>
                </c:pt>
                <c:pt idx="10">
                  <c:v>215925</c:v>
                </c:pt>
                <c:pt idx="11">
                  <c:v>251085</c:v>
                </c:pt>
                <c:pt idx="12">
                  <c:v>239340</c:v>
                </c:pt>
                <c:pt idx="13">
                  <c:v>197745</c:v>
                </c:pt>
                <c:pt idx="14">
                  <c:v>299875</c:v>
                </c:pt>
                <c:pt idx="15">
                  <c:v>238095</c:v>
                </c:pt>
                <c:pt idx="16">
                  <c:v>118215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7-4588-BE70-D6203776F7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3405696"/>
        <c:axId val="48204032"/>
      </c:lineChart>
      <c:catAx>
        <c:axId val="33340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04032"/>
        <c:crosses val="autoZero"/>
        <c:auto val="1"/>
        <c:lblAlgn val="ctr"/>
        <c:lblOffset val="100"/>
        <c:noMultiLvlLbl val="0"/>
      </c:catAx>
      <c:valAx>
        <c:axId val="48204032"/>
        <c:scaling>
          <c:orientation val="minMax"/>
        </c:scaling>
        <c:delete val="0"/>
        <c:axPos val="l"/>
        <c:numFmt formatCode="#\ ##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340569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магазинам!gmv_магазины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GMV</a:t>
            </a:r>
            <a:r>
              <a:rPr lang="en-US" sz="1600" b="1" baseline="0"/>
              <a:t> </a:t>
            </a:r>
            <a:r>
              <a:rPr lang="ru-RU" sz="1600" b="1" baseline="0"/>
              <a:t>по продуктовым сетям, у.е.</a:t>
            </a:r>
            <a:endParaRPr lang="ru-RU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6856935162064764E-2"/>
          <c:y val="1.9868797293691544E-2"/>
          <c:w val="0.97447055177233211"/>
          <c:h val="0.79307313918107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'GMV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'GMV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'GMV по магазинам'!$B$4:$B$24</c:f>
              <c:numCache>
                <c:formatCode>#\ ##0\ _₽</c:formatCode>
                <c:ptCount val="20"/>
                <c:pt idx="0">
                  <c:v>264220</c:v>
                </c:pt>
                <c:pt idx="1">
                  <c:v>258945</c:v>
                </c:pt>
                <c:pt idx="2">
                  <c:v>247900</c:v>
                </c:pt>
                <c:pt idx="3">
                  <c:v>243730</c:v>
                </c:pt>
                <c:pt idx="4">
                  <c:v>235140</c:v>
                </c:pt>
                <c:pt idx="5">
                  <c:v>215490</c:v>
                </c:pt>
                <c:pt idx="6">
                  <c:v>214185</c:v>
                </c:pt>
                <c:pt idx="7">
                  <c:v>205530</c:v>
                </c:pt>
                <c:pt idx="8">
                  <c:v>205050</c:v>
                </c:pt>
                <c:pt idx="9">
                  <c:v>200145</c:v>
                </c:pt>
                <c:pt idx="10">
                  <c:v>195840</c:v>
                </c:pt>
                <c:pt idx="11">
                  <c:v>191560</c:v>
                </c:pt>
                <c:pt idx="12">
                  <c:v>188180</c:v>
                </c:pt>
                <c:pt idx="13">
                  <c:v>182240</c:v>
                </c:pt>
                <c:pt idx="14">
                  <c:v>182180</c:v>
                </c:pt>
                <c:pt idx="15">
                  <c:v>175060</c:v>
                </c:pt>
                <c:pt idx="16">
                  <c:v>162315</c:v>
                </c:pt>
                <c:pt idx="17">
                  <c:v>159770</c:v>
                </c:pt>
                <c:pt idx="18">
                  <c:v>138310</c:v>
                </c:pt>
                <c:pt idx="19">
                  <c:v>136375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0-43B2-BB2B-3E99C1D55B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422464"/>
        <c:axId val="94945856"/>
      </c:barChart>
      <c:catAx>
        <c:axId val="9542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945856"/>
        <c:crosses val="autoZero"/>
        <c:auto val="1"/>
        <c:lblAlgn val="ctr"/>
        <c:lblOffset val="100"/>
        <c:noMultiLvlLbl val="0"/>
      </c:catAx>
      <c:valAx>
        <c:axId val="94945856"/>
        <c:scaling>
          <c:orientation val="minMax"/>
        </c:scaling>
        <c:delete val="1"/>
        <c:axPos val="l"/>
        <c:numFmt formatCode="#\ ##0\ _₽" sourceLinked="1"/>
        <c:majorTickMark val="out"/>
        <c:minorTickMark val="none"/>
        <c:tickLblPos val="nextTo"/>
        <c:crossAx val="9542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поставщикам!gmv_поставщики</c:name>
    <c:fmtId val="3"/>
  </c:pivotSource>
  <c:chart>
    <c:title>
      <c:tx>
        <c:rich>
          <a:bodyPr/>
          <a:lstStyle/>
          <a:p>
            <a:pPr>
              <a:defRPr b="1"/>
            </a:pPr>
            <a:r>
              <a:rPr lang="en-US" b="1" baseline="0"/>
              <a:t>GMV</a:t>
            </a:r>
            <a:r>
              <a:rPr lang="ru-RU" b="1" baseline="0"/>
              <a:t> по поставщикам, у.е.</a:t>
            </a:r>
            <a:endParaRPr lang="ru-RU" b="1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 по поставщикам'!$B$3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'GMV по поставщикам'!$A$4:$A$82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'GMV по поставщикам'!$B$4:$B$82</c:f>
              <c:numCache>
                <c:formatCode>#\ ##0\ _₽</c:formatCode>
                <c:ptCount val="78"/>
                <c:pt idx="0">
                  <c:v>147150</c:v>
                </c:pt>
                <c:pt idx="1">
                  <c:v>124360</c:v>
                </c:pt>
                <c:pt idx="2">
                  <c:v>121000</c:v>
                </c:pt>
                <c:pt idx="3">
                  <c:v>105955</c:v>
                </c:pt>
                <c:pt idx="4">
                  <c:v>102310</c:v>
                </c:pt>
                <c:pt idx="5">
                  <c:v>101725</c:v>
                </c:pt>
                <c:pt idx="6">
                  <c:v>93695</c:v>
                </c:pt>
                <c:pt idx="7">
                  <c:v>91840</c:v>
                </c:pt>
                <c:pt idx="8">
                  <c:v>87355</c:v>
                </c:pt>
                <c:pt idx="9">
                  <c:v>84370</c:v>
                </c:pt>
                <c:pt idx="10">
                  <c:v>78755</c:v>
                </c:pt>
                <c:pt idx="11">
                  <c:v>77905</c:v>
                </c:pt>
                <c:pt idx="12">
                  <c:v>77535</c:v>
                </c:pt>
                <c:pt idx="13">
                  <c:v>72285</c:v>
                </c:pt>
                <c:pt idx="14">
                  <c:v>70770</c:v>
                </c:pt>
                <c:pt idx="15">
                  <c:v>69935</c:v>
                </c:pt>
                <c:pt idx="16">
                  <c:v>68860</c:v>
                </c:pt>
                <c:pt idx="17">
                  <c:v>65530</c:v>
                </c:pt>
                <c:pt idx="18">
                  <c:v>65280</c:v>
                </c:pt>
                <c:pt idx="19">
                  <c:v>64495</c:v>
                </c:pt>
                <c:pt idx="20">
                  <c:v>64255</c:v>
                </c:pt>
                <c:pt idx="21">
                  <c:v>64065</c:v>
                </c:pt>
                <c:pt idx="22">
                  <c:v>63560</c:v>
                </c:pt>
                <c:pt idx="23">
                  <c:v>62370</c:v>
                </c:pt>
                <c:pt idx="24">
                  <c:v>61035</c:v>
                </c:pt>
                <c:pt idx="25">
                  <c:v>60390</c:v>
                </c:pt>
                <c:pt idx="26">
                  <c:v>59685</c:v>
                </c:pt>
                <c:pt idx="27">
                  <c:v>58150</c:v>
                </c:pt>
                <c:pt idx="28">
                  <c:v>55500</c:v>
                </c:pt>
                <c:pt idx="29">
                  <c:v>54065</c:v>
                </c:pt>
                <c:pt idx="30">
                  <c:v>53570</c:v>
                </c:pt>
                <c:pt idx="31">
                  <c:v>53100</c:v>
                </c:pt>
                <c:pt idx="32">
                  <c:v>52255</c:v>
                </c:pt>
                <c:pt idx="33">
                  <c:v>51115</c:v>
                </c:pt>
                <c:pt idx="34">
                  <c:v>50840</c:v>
                </c:pt>
                <c:pt idx="35">
                  <c:v>49500</c:v>
                </c:pt>
                <c:pt idx="36">
                  <c:v>48495</c:v>
                </c:pt>
                <c:pt idx="37">
                  <c:v>46470</c:v>
                </c:pt>
                <c:pt idx="38">
                  <c:v>46430</c:v>
                </c:pt>
                <c:pt idx="39">
                  <c:v>45615</c:v>
                </c:pt>
                <c:pt idx="40">
                  <c:v>44770</c:v>
                </c:pt>
                <c:pt idx="41">
                  <c:v>44525</c:v>
                </c:pt>
                <c:pt idx="42">
                  <c:v>44305</c:v>
                </c:pt>
                <c:pt idx="43">
                  <c:v>44205</c:v>
                </c:pt>
                <c:pt idx="44">
                  <c:v>43245</c:v>
                </c:pt>
                <c:pt idx="45">
                  <c:v>42840</c:v>
                </c:pt>
                <c:pt idx="46">
                  <c:v>42715</c:v>
                </c:pt>
                <c:pt idx="47">
                  <c:v>42510</c:v>
                </c:pt>
                <c:pt idx="48">
                  <c:v>41185</c:v>
                </c:pt>
                <c:pt idx="49">
                  <c:v>41150</c:v>
                </c:pt>
                <c:pt idx="50">
                  <c:v>40235</c:v>
                </c:pt>
                <c:pt idx="51">
                  <c:v>39820</c:v>
                </c:pt>
                <c:pt idx="52">
                  <c:v>37100</c:v>
                </c:pt>
                <c:pt idx="53">
                  <c:v>36195</c:v>
                </c:pt>
                <c:pt idx="54">
                  <c:v>36120</c:v>
                </c:pt>
                <c:pt idx="55">
                  <c:v>33905</c:v>
                </c:pt>
                <c:pt idx="56">
                  <c:v>31835</c:v>
                </c:pt>
                <c:pt idx="57">
                  <c:v>31820</c:v>
                </c:pt>
                <c:pt idx="58">
                  <c:v>31645</c:v>
                </c:pt>
                <c:pt idx="59">
                  <c:v>30930</c:v>
                </c:pt>
                <c:pt idx="60">
                  <c:v>30810</c:v>
                </c:pt>
                <c:pt idx="61">
                  <c:v>30665</c:v>
                </c:pt>
                <c:pt idx="62">
                  <c:v>29575</c:v>
                </c:pt>
                <c:pt idx="63">
                  <c:v>29515</c:v>
                </c:pt>
                <c:pt idx="64">
                  <c:v>29480</c:v>
                </c:pt>
                <c:pt idx="65">
                  <c:v>29390</c:v>
                </c:pt>
                <c:pt idx="66">
                  <c:v>26495</c:v>
                </c:pt>
                <c:pt idx="67">
                  <c:v>25495</c:v>
                </c:pt>
                <c:pt idx="68">
                  <c:v>24065</c:v>
                </c:pt>
                <c:pt idx="69">
                  <c:v>19460</c:v>
                </c:pt>
                <c:pt idx="70">
                  <c:v>18125</c:v>
                </c:pt>
                <c:pt idx="71">
                  <c:v>15520</c:v>
                </c:pt>
                <c:pt idx="72">
                  <c:v>13740</c:v>
                </c:pt>
                <c:pt idx="73">
                  <c:v>7730</c:v>
                </c:pt>
                <c:pt idx="74">
                  <c:v>7645</c:v>
                </c:pt>
                <c:pt idx="75">
                  <c:v>6005</c:v>
                </c:pt>
                <c:pt idx="76">
                  <c:v>5410</c:v>
                </c:pt>
                <c:pt idx="77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7-490B-822A-EE6E2893E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69920"/>
        <c:axId val="545601728"/>
      </c:barChart>
      <c:catAx>
        <c:axId val="65169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ru-RU"/>
          </a:p>
        </c:txPr>
        <c:crossAx val="545601728"/>
        <c:crosses val="autoZero"/>
        <c:auto val="1"/>
        <c:lblAlgn val="ctr"/>
        <c:lblOffset val="100"/>
        <c:noMultiLvlLbl val="0"/>
      </c:catAx>
      <c:valAx>
        <c:axId val="545601728"/>
        <c:scaling>
          <c:orientation val="minMax"/>
        </c:scaling>
        <c:delete val="0"/>
        <c:axPos val="l"/>
        <c:majorGridlines/>
        <c:numFmt formatCode="#\ ##0\ _₽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ru-RU"/>
          </a:p>
        </c:txPr>
        <c:crossAx val="65169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категориям!gmv_категории</c:name>
    <c:fmtId val="2"/>
  </c:pivotSource>
  <c:chart>
    <c:title>
      <c:tx>
        <c:rich>
          <a:bodyPr/>
          <a:lstStyle/>
          <a:p>
            <a:pPr>
              <a:defRPr b="1"/>
            </a:pPr>
            <a:r>
              <a:rPr lang="en-US" b="1"/>
              <a:t>GMV</a:t>
            </a:r>
            <a:r>
              <a:rPr lang="en-US" b="1" baseline="0"/>
              <a:t> </a:t>
            </a:r>
            <a:r>
              <a:rPr lang="ru-RU" b="1" baseline="0"/>
              <a:t>по категориям, у.е.</a:t>
            </a:r>
            <a:endParaRPr lang="ru-RU" b="1"/>
          </a:p>
        </c:rich>
      </c:tx>
      <c:layout>
        <c:manualLayout>
          <c:xMode val="edge"/>
          <c:yMode val="edge"/>
          <c:x val="0.43129195848614549"/>
          <c:y val="5.0921059727395912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numFmt formatCode="#,##0" sourceLinked="0"/>
          <c:spPr/>
          <c:txPr>
            <a:bodyPr/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849714503672811E-2"/>
          <c:y val="0.10022496904510952"/>
          <c:w val="0.96215028549632742"/>
          <c:h val="0.83998328868849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'GMV по категориям'!$B$3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numFmt formatCode="#,##0" sourceLinked="0"/>
            <c:spPr/>
            <c:txPr>
              <a:bodyPr/>
              <a:lstStyle/>
              <a:p>
                <a:pPr>
                  <a:defRPr sz="12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'GMV по категориям'!$A$4:$A$24</c:f>
              <c:strCache>
                <c:ptCount val="20"/>
                <c:pt idx="0">
                  <c:v>Макароны</c:v>
                </c:pt>
                <c:pt idx="1">
                  <c:v>Конфеты</c:v>
                </c:pt>
                <c:pt idx="2">
                  <c:v>Мясо</c:v>
                </c:pt>
                <c:pt idx="3">
                  <c:v>Сок</c:v>
                </c:pt>
                <c:pt idx="4">
                  <c:v>Чипсы</c:v>
                </c:pt>
                <c:pt idx="5">
                  <c:v>Соль</c:v>
                </c:pt>
                <c:pt idx="6">
                  <c:v>Сыр</c:v>
                </c:pt>
                <c:pt idx="7">
                  <c:v>Сахар</c:v>
                </c:pt>
                <c:pt idx="8">
                  <c:v>Чай</c:v>
                </c:pt>
                <c:pt idx="9">
                  <c:v>Хлеб</c:v>
                </c:pt>
                <c:pt idx="10">
                  <c:v>Молоко</c:v>
                </c:pt>
                <c:pt idx="11">
                  <c:v>Йогурт</c:v>
                </c:pt>
                <c:pt idx="12">
                  <c:v>Печенье</c:v>
                </c:pt>
                <c:pt idx="13">
                  <c:v>Фрукты</c:v>
                </c:pt>
                <c:pt idx="14">
                  <c:v>Рыба</c:v>
                </c:pt>
                <c:pt idx="15">
                  <c:v>Овощи</c:v>
                </c:pt>
                <c:pt idx="16">
                  <c:v>Кофе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'GMV по категориям'!$B$4:$B$24</c:f>
              <c:numCache>
                <c:formatCode>#\ ##0\ _₽</c:formatCode>
                <c:ptCount val="20"/>
                <c:pt idx="0">
                  <c:v>334725</c:v>
                </c:pt>
                <c:pt idx="1">
                  <c:v>243985</c:v>
                </c:pt>
                <c:pt idx="2">
                  <c:v>236115</c:v>
                </c:pt>
                <c:pt idx="3">
                  <c:v>229310</c:v>
                </c:pt>
                <c:pt idx="4">
                  <c:v>222695</c:v>
                </c:pt>
                <c:pt idx="5">
                  <c:v>222340</c:v>
                </c:pt>
                <c:pt idx="6">
                  <c:v>221325</c:v>
                </c:pt>
                <c:pt idx="7">
                  <c:v>220755</c:v>
                </c:pt>
                <c:pt idx="8">
                  <c:v>218130</c:v>
                </c:pt>
                <c:pt idx="9">
                  <c:v>211760</c:v>
                </c:pt>
                <c:pt idx="10">
                  <c:v>210825</c:v>
                </c:pt>
                <c:pt idx="11">
                  <c:v>208725</c:v>
                </c:pt>
                <c:pt idx="12">
                  <c:v>198160</c:v>
                </c:pt>
                <c:pt idx="13">
                  <c:v>169010</c:v>
                </c:pt>
                <c:pt idx="14">
                  <c:v>162150</c:v>
                </c:pt>
                <c:pt idx="15">
                  <c:v>155735</c:v>
                </c:pt>
                <c:pt idx="16">
                  <c:v>152715</c:v>
                </c:pt>
                <c:pt idx="17">
                  <c:v>140265</c:v>
                </c:pt>
                <c:pt idx="18">
                  <c:v>136875</c:v>
                </c:pt>
                <c:pt idx="19">
                  <c:v>106565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C-48AD-91EE-3AA830373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435008"/>
        <c:axId val="545601152"/>
      </c:barChart>
      <c:catAx>
        <c:axId val="539435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ru-RU"/>
          </a:p>
        </c:txPr>
        <c:crossAx val="545601152"/>
        <c:crosses val="autoZero"/>
        <c:auto val="1"/>
        <c:lblAlgn val="ctr"/>
        <c:lblOffset val="100"/>
        <c:noMultiLvlLbl val="0"/>
      </c:catAx>
      <c:valAx>
        <c:axId val="545601152"/>
        <c:scaling>
          <c:orientation val="minMax"/>
        </c:scaling>
        <c:delete val="0"/>
        <c:axPos val="l"/>
        <c:numFmt formatCode="#\ ##0\ _₽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ru-RU"/>
          </a:p>
        </c:txPr>
        <c:crossAx val="539435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Analytics.xlsx]ср. кол-во по категориям!кол-во_товара_в_чеке</c:name>
    <c:fmtId val="4"/>
  </c:pivotSource>
  <c:chart>
    <c:title>
      <c:tx>
        <c:rich>
          <a:bodyPr/>
          <a:lstStyle/>
          <a:p>
            <a:pPr>
              <a:defRPr b="1"/>
            </a:pPr>
            <a:r>
              <a:rPr lang="ru-RU" b="1"/>
              <a:t>Среднее количество товара за</a:t>
            </a:r>
            <a:r>
              <a:rPr lang="ru-RU" b="1" baseline="0"/>
              <a:t> одну покупку</a:t>
            </a:r>
            <a:endParaRPr lang="ru-RU" b="1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369148889259555E-2"/>
          <c:y val="0.10490480534824941"/>
          <c:w val="0.96378382212815061"/>
          <c:h val="0.832485632444031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'ср. кол-во по категориям'!$B$3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sz="12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'ср. кол-во по категориям'!$A$4:$A$24</c:f>
              <c:strCache>
                <c:ptCount val="20"/>
                <c:pt idx="0">
                  <c:v>Молоко</c:v>
                </c:pt>
                <c:pt idx="1">
                  <c:v>Рис</c:v>
                </c:pt>
                <c:pt idx="2">
                  <c:v>Овощи</c:v>
                </c:pt>
                <c:pt idx="3">
                  <c:v>Сахар</c:v>
                </c:pt>
                <c:pt idx="4">
                  <c:v>Рыба</c:v>
                </c:pt>
                <c:pt idx="5">
                  <c:v>Мясо</c:v>
                </c:pt>
                <c:pt idx="6">
                  <c:v>Хлеб</c:v>
                </c:pt>
                <c:pt idx="7">
                  <c:v>Соль</c:v>
                </c:pt>
                <c:pt idx="8">
                  <c:v>Печенье</c:v>
                </c:pt>
                <c:pt idx="9">
                  <c:v>Чипсы</c:v>
                </c:pt>
                <c:pt idx="10">
                  <c:v>Кофе</c:v>
                </c:pt>
                <c:pt idx="11">
                  <c:v>Конфеты</c:v>
                </c:pt>
                <c:pt idx="12">
                  <c:v>Сок</c:v>
                </c:pt>
                <c:pt idx="13">
                  <c:v>Фрукты</c:v>
                </c:pt>
                <c:pt idx="14">
                  <c:v>Макароны</c:v>
                </c:pt>
                <c:pt idx="15">
                  <c:v>Чай</c:v>
                </c:pt>
                <c:pt idx="16">
                  <c:v>Колбаса</c:v>
                </c:pt>
                <c:pt idx="17">
                  <c:v>Йогурт</c:v>
                </c:pt>
                <c:pt idx="18">
                  <c:v>Крупа</c:v>
                </c:pt>
                <c:pt idx="19">
                  <c:v>Сыр</c:v>
                </c:pt>
              </c:strCache>
            </c:strRef>
          </c:cat>
          <c:val>
            <c:numRef>
              <c:f>'ср. кол-во по категориям'!$B$4:$B$24</c:f>
              <c:numCache>
                <c:formatCode>#\ ##0.0\ _₽</c:formatCode>
                <c:ptCount val="20"/>
                <c:pt idx="0">
                  <c:v>3.2380952380952381</c:v>
                </c:pt>
                <c:pt idx="1">
                  <c:v>3.1875</c:v>
                </c:pt>
                <c:pt idx="2">
                  <c:v>3.1463414634146343</c:v>
                </c:pt>
                <c:pt idx="3">
                  <c:v>3.1355932203389831</c:v>
                </c:pt>
                <c:pt idx="4">
                  <c:v>3.1282051282051282</c:v>
                </c:pt>
                <c:pt idx="5">
                  <c:v>3.1272727272727274</c:v>
                </c:pt>
                <c:pt idx="6">
                  <c:v>3.0909090909090908</c:v>
                </c:pt>
                <c:pt idx="7">
                  <c:v>3.0754716981132075</c:v>
                </c:pt>
                <c:pt idx="8">
                  <c:v>3.0638297872340425</c:v>
                </c:pt>
                <c:pt idx="9">
                  <c:v>3.0588235294117645</c:v>
                </c:pt>
                <c:pt idx="10">
                  <c:v>3.0476190476190474</c:v>
                </c:pt>
                <c:pt idx="11">
                  <c:v>2.9838709677419355</c:v>
                </c:pt>
                <c:pt idx="12">
                  <c:v>2.9827586206896552</c:v>
                </c:pt>
                <c:pt idx="13">
                  <c:v>2.9534883720930232</c:v>
                </c:pt>
                <c:pt idx="14">
                  <c:v>2.941860465116279</c:v>
                </c:pt>
                <c:pt idx="15">
                  <c:v>2.9272727272727272</c:v>
                </c:pt>
                <c:pt idx="16">
                  <c:v>2.8846153846153846</c:v>
                </c:pt>
                <c:pt idx="17">
                  <c:v>2.7627118644067798</c:v>
                </c:pt>
                <c:pt idx="18">
                  <c:v>2.7209302325581395</c:v>
                </c:pt>
                <c:pt idx="19">
                  <c:v>2.5873015873015874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8-4720-917E-95F1D5539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135168"/>
        <c:axId val="587622080"/>
      </c:barChart>
      <c:catAx>
        <c:axId val="608135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ru-RU"/>
          </a:p>
        </c:txPr>
        <c:crossAx val="587622080"/>
        <c:crosses val="autoZero"/>
        <c:auto val="1"/>
        <c:lblAlgn val="ctr"/>
        <c:lblOffset val="100"/>
        <c:noMultiLvlLbl val="0"/>
      </c:catAx>
      <c:valAx>
        <c:axId val="587622080"/>
        <c:scaling>
          <c:orientation val="minMax"/>
        </c:scaling>
        <c:delete val="1"/>
        <c:axPos val="l"/>
        <c:numFmt formatCode="#\ ##0.0\ _₽" sourceLinked="1"/>
        <c:majorTickMark val="out"/>
        <c:minorTickMark val="none"/>
        <c:tickLblPos val="nextTo"/>
        <c:crossAx val="608135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Analytics.xlsx]кол-во дней с регистрации!дней_с_регистрации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Дней с</a:t>
            </a:r>
            <a:r>
              <a:rPr lang="ru-RU" b="1" baseline="0"/>
              <a:t> момента регистрации клиента до покупки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'кол-во дней с регистрации'!$B$3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'кол-во дней с регистрации'!$A$4:$A$12</c:f>
              <c:strCache>
                <c:ptCount val="9"/>
                <c:pt idx="0">
                  <c:v>8-107</c:v>
                </c:pt>
                <c:pt idx="1">
                  <c:v>108-207</c:v>
                </c:pt>
                <c:pt idx="2">
                  <c:v>208-307</c:v>
                </c:pt>
                <c:pt idx="3">
                  <c:v>308-407</c:v>
                </c:pt>
                <c:pt idx="4">
                  <c:v>408-507</c:v>
                </c:pt>
                <c:pt idx="5">
                  <c:v>508-607</c:v>
                </c:pt>
                <c:pt idx="6">
                  <c:v>608-707</c:v>
                </c:pt>
                <c:pt idx="7">
                  <c:v>708-807</c:v>
                </c:pt>
                <c:pt idx="8">
                  <c:v>808-907</c:v>
                </c:pt>
              </c:strCache>
            </c:strRef>
          </c:cat>
          <c:val>
            <c:numRef>
              <c:f>'кол-во дней с регистрации'!$B$4:$B$12</c:f>
              <c:numCache>
                <c:formatCode>General</c:formatCode>
                <c:ptCount val="9"/>
                <c:pt idx="0">
                  <c:v>31</c:v>
                </c:pt>
                <c:pt idx="1">
                  <c:v>74</c:v>
                </c:pt>
                <c:pt idx="2">
                  <c:v>149</c:v>
                </c:pt>
                <c:pt idx="3">
                  <c:v>174</c:v>
                </c:pt>
                <c:pt idx="4">
                  <c:v>202</c:v>
                </c:pt>
                <c:pt idx="5">
                  <c:v>181</c:v>
                </c:pt>
                <c:pt idx="6">
                  <c:v>119</c:v>
                </c:pt>
                <c:pt idx="7">
                  <c:v>60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7-42B9-A8A5-F96B8783F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1880270160"/>
        <c:axId val="1880259120"/>
      </c:barChart>
      <c:catAx>
        <c:axId val="18802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259120"/>
        <c:crosses val="autoZero"/>
        <c:auto val="1"/>
        <c:lblAlgn val="ctr"/>
        <c:lblOffset val="100"/>
        <c:noMultiLvlLbl val="0"/>
      </c:catAx>
      <c:valAx>
        <c:axId val="18802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2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странам!gmv_страны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GMV</a:t>
            </a:r>
            <a:r>
              <a:rPr lang="en-US" b="1" baseline="0"/>
              <a:t> </a:t>
            </a:r>
            <a:r>
              <a:rPr lang="ru-RU" b="1" baseline="0"/>
              <a:t>по странам, у.е.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'GMV по странам'!$A$4:$A$9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'GMV по странам'!$B$4:$B$9</c:f>
              <c:numCache>
                <c:formatCode>#\ ##0\ _₽</c:formatCode>
                <c:ptCount val="5"/>
                <c:pt idx="0">
                  <c:v>1256650</c:v>
                </c:pt>
                <c:pt idx="1">
                  <c:v>816470</c:v>
                </c:pt>
                <c:pt idx="2">
                  <c:v>737715</c:v>
                </c:pt>
                <c:pt idx="3">
                  <c:v>697365</c:v>
                </c:pt>
                <c:pt idx="4">
                  <c:v>493965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3-4B04-8A2A-1F20C97A9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3147039"/>
        <c:axId val="183147999"/>
      </c:barChart>
      <c:catAx>
        <c:axId val="1831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147999"/>
        <c:crosses val="autoZero"/>
        <c:auto val="1"/>
        <c:lblAlgn val="ctr"/>
        <c:lblOffset val="100"/>
        <c:noMultiLvlLbl val="0"/>
      </c:catAx>
      <c:valAx>
        <c:axId val="183147999"/>
        <c:scaling>
          <c:orientation val="minMax"/>
        </c:scaling>
        <c:delete val="1"/>
        <c:axPos val="l"/>
        <c:numFmt formatCode="#\ ##0\ _₽" sourceLinked="1"/>
        <c:majorTickMark val="none"/>
        <c:minorTickMark val="none"/>
        <c:tickLblPos val="nextTo"/>
        <c:crossAx val="18314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Analytics.xlsx]частотность имен!частотность_имен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Наиболее</a:t>
            </a:r>
            <a:r>
              <a:rPr lang="ru-RU" b="1" baseline="0"/>
              <a:t> распротраненные имена клиентов (человек)</a:t>
            </a:r>
            <a:endParaRPr lang="ru-RU" b="1"/>
          </a:p>
        </c:rich>
      </c:tx>
      <c:layout>
        <c:manualLayout>
          <c:xMode val="edge"/>
          <c:yMode val="edge"/>
          <c:x val="0.34689556030543806"/>
          <c:y val="2.0957821154119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'частотность имен'!$B$3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'частотность имен'!$A$4:$A$25</c:f>
              <c:strCache>
                <c:ptCount val="22"/>
                <c:pt idx="0">
                  <c:v>Василиса</c:v>
                </c:pt>
                <c:pt idx="1">
                  <c:v>Феврония</c:v>
                </c:pt>
                <c:pt idx="2">
                  <c:v>Алевтина</c:v>
                </c:pt>
                <c:pt idx="3">
                  <c:v>Эмилия</c:v>
                </c:pt>
                <c:pt idx="4">
                  <c:v>Марфа</c:v>
                </c:pt>
                <c:pt idx="5">
                  <c:v>Любовь</c:v>
                </c:pt>
                <c:pt idx="6">
                  <c:v>Вера</c:v>
                </c:pt>
                <c:pt idx="7">
                  <c:v>Жанна</c:v>
                </c:pt>
                <c:pt idx="8">
                  <c:v>Юлия</c:v>
                </c:pt>
                <c:pt idx="9">
                  <c:v>Вероника</c:v>
                </c:pt>
                <c:pt idx="10">
                  <c:v>Анжела</c:v>
                </c:pt>
                <c:pt idx="11">
                  <c:v>Алла</c:v>
                </c:pt>
                <c:pt idx="12">
                  <c:v>Элеонора</c:v>
                </c:pt>
                <c:pt idx="13">
                  <c:v>Любомир</c:v>
                </c:pt>
                <c:pt idx="14">
                  <c:v>Александра</c:v>
                </c:pt>
                <c:pt idx="15">
                  <c:v>Татьяна</c:v>
                </c:pt>
                <c:pt idx="16">
                  <c:v>Ия</c:v>
                </c:pt>
                <c:pt idx="17">
                  <c:v>Валентина</c:v>
                </c:pt>
                <c:pt idx="18">
                  <c:v>Лора</c:v>
                </c:pt>
                <c:pt idx="19">
                  <c:v>Анастасия</c:v>
                </c:pt>
                <c:pt idx="20">
                  <c:v>Ираида</c:v>
                </c:pt>
                <c:pt idx="21">
                  <c:v>Зоя</c:v>
                </c:pt>
              </c:strCache>
            </c:strRef>
          </c:cat>
          <c:val>
            <c:numRef>
              <c:f>'частотность имен'!$B$4:$B$25</c:f>
              <c:numCache>
                <c:formatCode>General</c:formatCode>
                <c:ptCount val="2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3-436B-A70B-CA3DD0071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68383"/>
        <c:axId val="189067423"/>
      </c:barChart>
      <c:catAx>
        <c:axId val="1890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067423"/>
        <c:crosses val="autoZero"/>
        <c:auto val="1"/>
        <c:lblAlgn val="ctr"/>
        <c:lblOffset val="100"/>
        <c:noMultiLvlLbl val="0"/>
      </c:catAx>
      <c:valAx>
        <c:axId val="1890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06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Analytics.xlsx]лайфтайм клиента!лайфтайм_клиента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Лайфтайм клиента (человек)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164150169860959E-2"/>
          <c:y val="9.9749589973434305E-2"/>
          <c:w val="0.94767169966027809"/>
          <c:h val="0.7395140669023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'лайфтайм клиента'!$B$3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'лайфтайм клиента'!$A$4:$A$17</c:f>
              <c:strCache>
                <c:ptCount val="14"/>
                <c:pt idx="0">
                  <c:v>1-3</c:v>
                </c:pt>
                <c:pt idx="1">
                  <c:v>3-5</c:v>
                </c:pt>
                <c:pt idx="2">
                  <c:v>5-7</c:v>
                </c:pt>
                <c:pt idx="3">
                  <c:v>7-9</c:v>
                </c:pt>
                <c:pt idx="4">
                  <c:v>9-11</c:v>
                </c:pt>
                <c:pt idx="5">
                  <c:v>11-13</c:v>
                </c:pt>
                <c:pt idx="6">
                  <c:v>13-15</c:v>
                </c:pt>
                <c:pt idx="7">
                  <c:v>15-17</c:v>
                </c:pt>
                <c:pt idx="8">
                  <c:v>17-19</c:v>
                </c:pt>
                <c:pt idx="9">
                  <c:v>19-21</c:v>
                </c:pt>
                <c:pt idx="10">
                  <c:v>21-23</c:v>
                </c:pt>
                <c:pt idx="11">
                  <c:v>23-25</c:v>
                </c:pt>
                <c:pt idx="12">
                  <c:v>25-27</c:v>
                </c:pt>
                <c:pt idx="13">
                  <c:v>27-29</c:v>
                </c:pt>
              </c:strCache>
            </c:strRef>
          </c:cat>
          <c:val>
            <c:numRef>
              <c:f>'лайфтайм клиента'!$B$4:$B$17</c:f>
              <c:numCache>
                <c:formatCode>General</c:formatCode>
                <c:ptCount val="1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13</c:v>
                </c:pt>
                <c:pt idx="4">
                  <c:v>24</c:v>
                </c:pt>
                <c:pt idx="5">
                  <c:v>44</c:v>
                </c:pt>
                <c:pt idx="6">
                  <c:v>45</c:v>
                </c:pt>
                <c:pt idx="7">
                  <c:v>62</c:v>
                </c:pt>
                <c:pt idx="8">
                  <c:v>60</c:v>
                </c:pt>
                <c:pt idx="9">
                  <c:v>58</c:v>
                </c:pt>
                <c:pt idx="10">
                  <c:v>49</c:v>
                </c:pt>
                <c:pt idx="11">
                  <c:v>35</c:v>
                </c:pt>
                <c:pt idx="12">
                  <c:v>17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1-4D5A-AA6E-BF392EE2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79190464"/>
        <c:axId val="1379160704"/>
      </c:barChart>
      <c:catAx>
        <c:axId val="13791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160704"/>
        <c:crosses val="autoZero"/>
        <c:auto val="1"/>
        <c:lblAlgn val="ctr"/>
        <c:lblOffset val="100"/>
        <c:noMultiLvlLbl val="0"/>
      </c:catAx>
      <c:valAx>
        <c:axId val="1379160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919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Analytics.xlsx]география клиентов!география_клиентов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spc="0" baseline="0">
                <a:solidFill>
                  <a:sysClr val="windowText" lastClr="000000"/>
                </a:solidFill>
              </a:rPr>
              <a:t>Распределение клиентов по странам (человек)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3445717916910735"/>
              <c:y val="0.104948939633280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023728579128152"/>
              <c:y val="-0.13665298045298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6498325736945124"/>
          <c:y val="0.10936839619203426"/>
          <c:w val="0.64361827133100902"/>
          <c:h val="0.79350189057632214"/>
        </c:manualLayout>
      </c:layout>
      <c:pieChart>
        <c:varyColors val="1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BD-49C4-A775-9E916446B8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D-49C4-A775-9E916446B8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BD-49C4-A775-9E916446B8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BD-49C4-A775-9E916446B8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BD-49C4-A775-9E916446B881}"/>
              </c:ext>
            </c:extLst>
          </c:dPt>
          <c:dLbls>
            <c:dLbl>
              <c:idx val="0"/>
              <c:layout>
                <c:manualLayout>
                  <c:x val="-0.23445717916910735"/>
                  <c:y val="0.1049489396332802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D-49C4-A775-9E916446B881}"/>
                </c:ext>
              </c:extLst>
            </c:dLbl>
            <c:dLbl>
              <c:idx val="1"/>
              <c:layout>
                <c:manualLayout>
                  <c:x val="-0.13023728579128152"/>
                  <c:y val="-0.136652980452982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BD-49C4-A775-9E916446B8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'география клиентов'!$A$4:$A$8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клиентов'!$B$4:$B$8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8BD-49C4-A775-9E916446B881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Analytics.xlsx]лайфтайм клиента!лайфтайм_клиента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Лайфтайм клиента в месяцах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317435082140965E-2"/>
          <c:y val="0.15146500882822123"/>
          <c:w val="0.95336512983571808"/>
          <c:h val="0.635372114911253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'лайфтайм клиента'!$B$3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'лайфтайм клиента'!$A$4:$A$17</c:f>
              <c:strCache>
                <c:ptCount val="14"/>
                <c:pt idx="0">
                  <c:v>1-3</c:v>
                </c:pt>
                <c:pt idx="1">
                  <c:v>3-5</c:v>
                </c:pt>
                <c:pt idx="2">
                  <c:v>5-7</c:v>
                </c:pt>
                <c:pt idx="3">
                  <c:v>7-9</c:v>
                </c:pt>
                <c:pt idx="4">
                  <c:v>9-11</c:v>
                </c:pt>
                <c:pt idx="5">
                  <c:v>11-13</c:v>
                </c:pt>
                <c:pt idx="6">
                  <c:v>13-15</c:v>
                </c:pt>
                <c:pt idx="7">
                  <c:v>15-17</c:v>
                </c:pt>
                <c:pt idx="8">
                  <c:v>17-19</c:v>
                </c:pt>
                <c:pt idx="9">
                  <c:v>19-21</c:v>
                </c:pt>
                <c:pt idx="10">
                  <c:v>21-23</c:v>
                </c:pt>
                <c:pt idx="11">
                  <c:v>23-25</c:v>
                </c:pt>
                <c:pt idx="12">
                  <c:v>25-27</c:v>
                </c:pt>
                <c:pt idx="13">
                  <c:v>27-29</c:v>
                </c:pt>
              </c:strCache>
            </c:strRef>
          </c:cat>
          <c:val>
            <c:numRef>
              <c:f>'лайфтайм клиента'!$B$4:$B$17</c:f>
              <c:numCache>
                <c:formatCode>General</c:formatCode>
                <c:ptCount val="14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13</c:v>
                </c:pt>
                <c:pt idx="4">
                  <c:v>24</c:v>
                </c:pt>
                <c:pt idx="5">
                  <c:v>44</c:v>
                </c:pt>
                <c:pt idx="6">
                  <c:v>45</c:v>
                </c:pt>
                <c:pt idx="7">
                  <c:v>62</c:v>
                </c:pt>
                <c:pt idx="8">
                  <c:v>60</c:v>
                </c:pt>
                <c:pt idx="9">
                  <c:v>58</c:v>
                </c:pt>
                <c:pt idx="10">
                  <c:v>49</c:v>
                </c:pt>
                <c:pt idx="11">
                  <c:v>35</c:v>
                </c:pt>
                <c:pt idx="12">
                  <c:v>17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D-4390-8317-583EEE85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9190464"/>
        <c:axId val="1379160704"/>
      </c:barChart>
      <c:catAx>
        <c:axId val="13791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9160704"/>
        <c:crosses val="autoZero"/>
        <c:auto val="1"/>
        <c:lblAlgn val="ctr"/>
        <c:lblOffset val="100"/>
        <c:noMultiLvlLbl val="0"/>
      </c:catAx>
      <c:valAx>
        <c:axId val="1379160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7919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Analytics.xlsx]география клиентов!география_клиентов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baseline="0">
                <a:solidFill>
                  <a:sysClr val="windowText" lastClr="000000"/>
                </a:solidFill>
              </a:rPr>
              <a:t>Распределение клиентов по странам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'география клиентов'!$A$4:$A$8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клиентов'!$B$4:$B$8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7-4224-8D5A-9BEFBAC46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547632"/>
        <c:axId val="2006556272"/>
      </c:barChart>
      <c:catAx>
        <c:axId val="20065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06556272"/>
        <c:crosses val="autoZero"/>
        <c:auto val="1"/>
        <c:lblAlgn val="ctr"/>
        <c:lblOffset val="100"/>
        <c:noMultiLvlLbl val="0"/>
      </c:catAx>
      <c:valAx>
        <c:axId val="2006556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654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Analytics.xlsx]география клиентов!география_клиентов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/>
                </a:solidFill>
              </a:rPr>
              <a:t>Распределение клиентов по странам (человек)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795977702069107"/>
          <c:y val="0.14725842732562938"/>
          <c:w val="0.59365536220001225"/>
          <c:h val="0.82563294233481865"/>
        </c:manualLayout>
      </c:layout>
      <c:pieChart>
        <c:varyColors val="1"/>
        <c:ser>
          <c:idx val="0"/>
          <c:order val="0"/>
          <c:tx>
            <c:strRef>
              <c:f>'география клиентов'!$B$3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32-4459-9089-F52467EA59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32-4459-9089-F52467EA59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32-4459-9089-F52467EA59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32-4459-9089-F52467EA59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32-4459-9089-F52467EA5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'география клиентов'!$A$4:$A$8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'география клиентов'!$B$4:$B$8</c:f>
              <c:numCache>
                <c:formatCode>General</c:formatCode>
                <c:ptCount val="5"/>
                <c:pt idx="0">
                  <c:v>146</c:v>
                </c:pt>
                <c:pt idx="1">
                  <c:v>85</c:v>
                </c:pt>
                <c:pt idx="2">
                  <c:v>78</c:v>
                </c:pt>
                <c:pt idx="3">
                  <c:v>74</c:v>
                </c:pt>
                <c:pt idx="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0-4480-BF54-E9948CF712E8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Analytics.xlsx]продажи магазинов!продажи_магазинов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0"/>
              <a:t>Динамика</a:t>
            </a:r>
            <a:r>
              <a:rPr lang="ru-RU" b="1" i="0" baseline="0"/>
              <a:t> продаж по магазинам</a:t>
            </a:r>
            <a:endParaRPr lang="ru-RU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'продажи магазинов'!$B$3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'продажи магазинов'!$A$4:$A$23</c:f>
              <c:multiLvlStrCache>
                <c:ptCount val="17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окт</c:v>
                  </c:pt>
                  <c:pt idx="10">
                    <c:v>ноя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</c:v>
                  </c:pt>
                  <c:pt idx="14">
                    <c:v>мар</c:v>
                  </c:pt>
                  <c:pt idx="15">
                    <c:v>апр</c:v>
                  </c:pt>
                  <c:pt idx="16">
                    <c:v>май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'продажи магазинов'!$B$4:$B$23</c:f>
              <c:numCache>
                <c:formatCode>#\ ##0\ _₽</c:formatCode>
                <c:ptCount val="17"/>
                <c:pt idx="0">
                  <c:v>240500</c:v>
                </c:pt>
                <c:pt idx="1">
                  <c:v>210180</c:v>
                </c:pt>
                <c:pt idx="2">
                  <c:v>251740</c:v>
                </c:pt>
                <c:pt idx="3">
                  <c:v>279760</c:v>
                </c:pt>
                <c:pt idx="4">
                  <c:v>210500</c:v>
                </c:pt>
                <c:pt idx="5">
                  <c:v>264125</c:v>
                </c:pt>
                <c:pt idx="6">
                  <c:v>245855</c:v>
                </c:pt>
                <c:pt idx="7">
                  <c:v>294065</c:v>
                </c:pt>
                <c:pt idx="8">
                  <c:v>259360</c:v>
                </c:pt>
                <c:pt idx="9">
                  <c:v>185800</c:v>
                </c:pt>
                <c:pt idx="10">
                  <c:v>215925</c:v>
                </c:pt>
                <c:pt idx="11">
                  <c:v>251085</c:v>
                </c:pt>
                <c:pt idx="12">
                  <c:v>239340</c:v>
                </c:pt>
                <c:pt idx="13">
                  <c:v>197745</c:v>
                </c:pt>
                <c:pt idx="14">
                  <c:v>299875</c:v>
                </c:pt>
                <c:pt idx="15">
                  <c:v>238095</c:v>
                </c:pt>
                <c:pt idx="16">
                  <c:v>118215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1A-4831-9611-BEF0E3BCAB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33405696"/>
        <c:axId val="48204032"/>
      </c:lineChart>
      <c:catAx>
        <c:axId val="33340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04032"/>
        <c:crosses val="autoZero"/>
        <c:auto val="1"/>
        <c:lblAlgn val="ctr"/>
        <c:lblOffset val="100"/>
        <c:noMultiLvlLbl val="0"/>
      </c:catAx>
      <c:valAx>
        <c:axId val="48204032"/>
        <c:scaling>
          <c:orientation val="minMax"/>
        </c:scaling>
        <c:delete val="0"/>
        <c:axPos val="l"/>
        <c:numFmt formatCode="#\ ##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3405696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Analytics.xlsx]Магнит!Сводная таблица1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 i="0"/>
              <a:t>Динамика</a:t>
            </a:r>
            <a:r>
              <a:rPr lang="ru-RU" b="1" i="0" baseline="0"/>
              <a:t> продаж по месяцам</a:t>
            </a:r>
            <a:endParaRPr lang="ru-RU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solidFill>
                <a:schemeClr val="accent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Магнит!$B$3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Магнит!$A$4:$A$21</c:f>
              <c:multiLvlStrCache>
                <c:ptCount val="15"/>
                <c:lvl>
                  <c:pt idx="0">
                    <c:v>янв</c:v>
                  </c:pt>
                  <c:pt idx="1">
                    <c:v>фев</c:v>
                  </c:pt>
                  <c:pt idx="2">
                    <c:v>мар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</c:v>
                  </c:pt>
                  <c:pt idx="6">
                    <c:v>июл</c:v>
                  </c:pt>
                  <c:pt idx="7">
                    <c:v>авг</c:v>
                  </c:pt>
                  <c:pt idx="8">
                    <c:v>сен</c:v>
                  </c:pt>
                  <c:pt idx="9">
                    <c:v>ноя</c:v>
                  </c:pt>
                  <c:pt idx="10">
                    <c:v>дек</c:v>
                  </c:pt>
                  <c:pt idx="11">
                    <c:v>янв</c:v>
                  </c:pt>
                  <c:pt idx="12">
                    <c:v>фев</c:v>
                  </c:pt>
                  <c:pt idx="13">
                    <c:v>мар</c:v>
                  </c:pt>
                  <c:pt idx="14">
                    <c:v>апр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</c:lvl>
              </c:multiLvlStrCache>
            </c:multiLvlStrRef>
          </c:cat>
          <c:val>
            <c:numRef>
              <c:f>Магнит!$B$4:$B$21</c:f>
              <c:numCache>
                <c:formatCode>#\ ##0\ _₽</c:formatCode>
                <c:ptCount val="15"/>
                <c:pt idx="0">
                  <c:v>14415</c:v>
                </c:pt>
                <c:pt idx="1">
                  <c:v>10055</c:v>
                </c:pt>
                <c:pt idx="2">
                  <c:v>12625</c:v>
                </c:pt>
                <c:pt idx="3">
                  <c:v>17375</c:v>
                </c:pt>
                <c:pt idx="4">
                  <c:v>1780</c:v>
                </c:pt>
                <c:pt idx="5">
                  <c:v>10065</c:v>
                </c:pt>
                <c:pt idx="6">
                  <c:v>17185</c:v>
                </c:pt>
                <c:pt idx="7">
                  <c:v>13510</c:v>
                </c:pt>
                <c:pt idx="8">
                  <c:v>13585</c:v>
                </c:pt>
                <c:pt idx="9">
                  <c:v>2690</c:v>
                </c:pt>
                <c:pt idx="10">
                  <c:v>6580</c:v>
                </c:pt>
                <c:pt idx="11">
                  <c:v>7765</c:v>
                </c:pt>
                <c:pt idx="12">
                  <c:v>14290</c:v>
                </c:pt>
                <c:pt idx="13">
                  <c:v>21510</c:v>
                </c:pt>
                <c:pt idx="14">
                  <c:v>24750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9-4A95-8F73-B9A5632E9A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42769664"/>
        <c:axId val="48205760"/>
      </c:lineChart>
      <c:catAx>
        <c:axId val="54276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05760"/>
        <c:crosses val="autoZero"/>
        <c:auto val="1"/>
        <c:lblAlgn val="ctr"/>
        <c:lblOffset val="100"/>
        <c:noMultiLvlLbl val="0"/>
      </c:catAx>
      <c:valAx>
        <c:axId val="48205760"/>
        <c:scaling>
          <c:orientation val="minMax"/>
        </c:scaling>
        <c:delete val="0"/>
        <c:axPos val="l"/>
        <c:numFmt formatCode="#\ ##0\ _₽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2769664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Analytics.xlsx]выгода клиентам!выгода_клиентам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Средний</a:t>
            </a:r>
            <a:r>
              <a:rPr lang="ru-RU" sz="1800" baseline="0"/>
              <a:t> дисконт по магазинам (с учетом наценок)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4-4BDE-8D4A-B4BBE528C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973632"/>
        <c:axId val="48208640"/>
      </c:barChart>
      <c:catAx>
        <c:axId val="5799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08640"/>
        <c:crosses val="autoZero"/>
        <c:auto val="1"/>
        <c:lblAlgn val="ctr"/>
        <c:lblOffset val="100"/>
        <c:noMultiLvlLbl val="0"/>
      </c:catAx>
      <c:valAx>
        <c:axId val="48208640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crossAx val="57997363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wordArtVert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Analytics.xlsx]выгода клиентам!выгода_клиентам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/>
              <a:t>Средний</a:t>
            </a:r>
            <a:r>
              <a:rPr lang="ru-RU" sz="1800" baseline="0"/>
              <a:t> дисконт по магазинам (с учетом наценок)</a:t>
            </a:r>
            <a:endParaRPr lang="ru-RU" sz="180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4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'выгода клиентам'!$B$3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sz="14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'выгода клиентам'!$A$4:$A$23</c:f>
              <c:strCache>
                <c:ptCount val="20"/>
                <c:pt idx="0">
                  <c:v>Лента</c:v>
                </c:pt>
                <c:pt idx="1">
                  <c:v>Седьмой Континент</c:v>
                </c:pt>
                <c:pt idx="2">
                  <c:v>Городской Супермаркет</c:v>
                </c:pt>
                <c:pt idx="3">
                  <c:v>Билла</c:v>
                </c:pt>
                <c:pt idx="4">
                  <c:v>Метро</c:v>
                </c:pt>
                <c:pt idx="5">
                  <c:v>Азбука Вкуса</c:v>
                </c:pt>
                <c:pt idx="6">
                  <c:v>Мосмарт</c:v>
                </c:pt>
                <c:pt idx="7">
                  <c:v>Мираторг</c:v>
                </c:pt>
                <c:pt idx="8">
                  <c:v>Карусель</c:v>
                </c:pt>
                <c:pt idx="9">
                  <c:v>Ароматный Мир</c:v>
                </c:pt>
                <c:pt idx="10">
                  <c:v>Бристоль</c:v>
                </c:pt>
                <c:pt idx="11">
                  <c:v>Дикси</c:v>
                </c:pt>
                <c:pt idx="12">
                  <c:v>Ашан</c:v>
                </c:pt>
                <c:pt idx="13">
                  <c:v>Гиперглобус</c:v>
                </c:pt>
                <c:pt idx="14">
                  <c:v>Магнит</c:v>
                </c:pt>
                <c:pt idx="15">
                  <c:v>О'кей</c:v>
                </c:pt>
                <c:pt idx="16">
                  <c:v>Перекресток</c:v>
                </c:pt>
                <c:pt idx="17">
                  <c:v>Верный</c:v>
                </c:pt>
                <c:pt idx="18">
                  <c:v>Спар</c:v>
                </c:pt>
                <c:pt idx="19">
                  <c:v>Пятерочка</c:v>
                </c:pt>
              </c:strCache>
            </c:strRef>
          </c:cat>
          <c:val>
            <c:numRef>
              <c:f>'выгода клиентам'!$B$4:$B$23</c:f>
              <c:numCache>
                <c:formatCode>0%</c:formatCode>
                <c:ptCount val="20"/>
                <c:pt idx="0">
                  <c:v>0.10062698971238108</c:v>
                </c:pt>
                <c:pt idx="1">
                  <c:v>8.1840255375316515E-2</c:v>
                </c:pt>
                <c:pt idx="2">
                  <c:v>5.8968409942088303E-2</c:v>
                </c:pt>
                <c:pt idx="3">
                  <c:v>5.6287665956558271E-2</c:v>
                </c:pt>
                <c:pt idx="4">
                  <c:v>4.7135772995875888E-2</c:v>
                </c:pt>
                <c:pt idx="5">
                  <c:v>3.613108366981542E-2</c:v>
                </c:pt>
                <c:pt idx="6">
                  <c:v>2.3330793858908173E-2</c:v>
                </c:pt>
                <c:pt idx="7">
                  <c:v>1.0296276612656797E-2</c:v>
                </c:pt>
                <c:pt idx="8">
                  <c:v>7.0069984701864327E-3</c:v>
                </c:pt>
                <c:pt idx="9">
                  <c:v>5.2821684960563031E-3</c:v>
                </c:pt>
                <c:pt idx="10">
                  <c:v>-8.094054282908528E-3</c:v>
                </c:pt>
                <c:pt idx="11">
                  <c:v>-9.4885770216267366E-3</c:v>
                </c:pt>
                <c:pt idx="12">
                  <c:v>-1.1341839275218986E-2</c:v>
                </c:pt>
                <c:pt idx="13">
                  <c:v>-2.959425010257517E-2</c:v>
                </c:pt>
                <c:pt idx="14">
                  <c:v>-3.2883513853600721E-2</c:v>
                </c:pt>
                <c:pt idx="15">
                  <c:v>-3.9462244779638118E-2</c:v>
                </c:pt>
                <c:pt idx="16">
                  <c:v>-4.2441773613568989E-2</c:v>
                </c:pt>
                <c:pt idx="17">
                  <c:v>-5.0380082409471671E-2</c:v>
                </c:pt>
                <c:pt idx="18">
                  <c:v>-6.3289069364215592E-2</c:v>
                </c:pt>
                <c:pt idx="19">
                  <c:v>-0.10170732495505042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4-4BDE-8D4A-B4BBE528C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973632"/>
        <c:axId val="48208640"/>
      </c:barChart>
      <c:catAx>
        <c:axId val="57997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208640"/>
        <c:crosses val="autoZero"/>
        <c:auto val="1"/>
        <c:lblAlgn val="ctr"/>
        <c:lblOffset val="100"/>
        <c:noMultiLvlLbl val="0"/>
      </c:catAx>
      <c:valAx>
        <c:axId val="48208640"/>
        <c:scaling>
          <c:orientation val="minMax"/>
        </c:scaling>
        <c:delete val="1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crossAx val="579973632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wordArtVert"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Analytics.xlsx]цены внутри категории!цены_по_поставщ_внутри_кат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Средние</a:t>
            </a:r>
            <a:r>
              <a:rPr lang="ru-RU" baseline="0"/>
              <a:t> цены по поставщикам внутри категорий     </a:t>
            </a:r>
            <a:endParaRPr lang="ru-RU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167205957600321E-2"/>
          <c:y val="0.10968407881876127"/>
          <c:w val="0.96074256496339083"/>
          <c:h val="0.604885470926129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'цены внутри категории'!$B$3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multiLvlStrRef>
              <c:f>'цены внутри категории'!$A$4:$A$104</c:f>
              <c:multiLvlStrCache>
                <c:ptCount val="80"/>
                <c:lvl>
                  <c:pt idx="0">
                    <c:v>Каравай</c:v>
                  </c:pt>
                  <c:pt idx="1">
                    <c:v>Русский Хлеб</c:v>
                  </c:pt>
                  <c:pt idx="2">
                    <c:v>Хлебный Дом</c:v>
                  </c:pt>
                  <c:pt idx="3">
                    <c:v>Дарница</c:v>
                  </c:pt>
                  <c:pt idx="4">
                    <c:v>Беллакт</c:v>
                  </c:pt>
                  <c:pt idx="5">
                    <c:v>Простоквашино</c:v>
                  </c:pt>
                  <c:pt idx="6">
                    <c:v>Домик в деревне</c:v>
                  </c:pt>
                  <c:pt idx="7">
                    <c:v>Вимм-Билль-Данн</c:v>
                  </c:pt>
                  <c:pt idx="8">
                    <c:v>Черкизово</c:v>
                  </c:pt>
                  <c:pt idx="9">
                    <c:v>Дымов</c:v>
                  </c:pt>
                  <c:pt idx="10">
                    <c:v>Окраина</c:v>
                  </c:pt>
                  <c:pt idx="11">
                    <c:v>Микоян</c:v>
                  </c:pt>
                  <c:pt idx="12">
                    <c:v>КДВ</c:v>
                  </c:pt>
                  <c:pt idx="13">
                    <c:v>Посиделкино</c:v>
                  </c:pt>
                  <c:pt idx="14">
                    <c:v>Белогорье</c:v>
                  </c:pt>
                  <c:pt idx="15">
                    <c:v>Юбилейное</c:v>
                  </c:pt>
                  <c:pt idx="16">
                    <c:v>Green Garden</c:v>
                  </c:pt>
                  <c:pt idx="17">
                    <c:v>Фрукты-Ягоды</c:v>
                  </c:pt>
                  <c:pt idx="18">
                    <c:v>Фруктовый Рай</c:v>
                  </c:pt>
                  <c:pt idx="19">
                    <c:v>Экзотик</c:v>
                  </c:pt>
                  <c:pt idx="20">
                    <c:v>Lay's</c:v>
                  </c:pt>
                  <c:pt idx="21">
                    <c:v>Pringles</c:v>
                  </c:pt>
                  <c:pt idx="22">
                    <c:v>Estrella</c:v>
                  </c:pt>
                  <c:pt idx="23">
                    <c:v>Русская картошка</c:v>
                  </c:pt>
                  <c:pt idx="24">
                    <c:v>Мираторг</c:v>
                  </c:pt>
                  <c:pt idx="25">
                    <c:v>Агрокомплекс</c:v>
                  </c:pt>
                  <c:pt idx="26">
                    <c:v>Снежана</c:v>
                  </c:pt>
                  <c:pt idx="27">
                    <c:v>Сава</c:v>
                  </c:pt>
                  <c:pt idx="28">
                    <c:v>Greenfield</c:v>
                  </c:pt>
                  <c:pt idx="29">
                    <c:v>Тесс</c:v>
                  </c:pt>
                  <c:pt idx="30">
                    <c:v>Lipton</c:v>
                  </c:pt>
                  <c:pt idx="31">
                    <c:v>Ахмад</c:v>
                  </c:pt>
                  <c:pt idx="32">
                    <c:v>Фруктовый сад</c:v>
                  </c:pt>
                  <c:pt idx="33">
                    <c:v>Rich</c:v>
                  </c:pt>
                  <c:pt idx="34">
                    <c:v>Сады Придонья</c:v>
                  </c:pt>
                  <c:pt idx="35">
                    <c:v>Добрый</c:v>
                  </c:pt>
                  <c:pt idx="36">
                    <c:v>Рот Фронт</c:v>
                  </c:pt>
                  <c:pt idx="37">
                    <c:v>Красный Октябрь</c:v>
                  </c:pt>
                  <c:pt idx="38">
                    <c:v>Славянка</c:v>
                  </c:pt>
                  <c:pt idx="39">
                    <c:v>Бабаевский</c:v>
                  </c:pt>
                  <c:pt idx="40">
                    <c:v>Макфа</c:v>
                  </c:pt>
                  <c:pt idx="41">
                    <c:v>Паста Зара</c:v>
                  </c:pt>
                  <c:pt idx="42">
                    <c:v>Борилла</c:v>
                  </c:pt>
                  <c:pt idx="43">
                    <c:v>Роллтон</c:v>
                  </c:pt>
                  <c:pt idx="44">
                    <c:v>Экстра</c:v>
                  </c:pt>
                  <c:pt idx="45">
                    <c:v>Салта</c:v>
                  </c:pt>
                  <c:pt idx="46">
                    <c:v>Илецкая</c:v>
                  </c:pt>
                  <c:pt idx="47">
                    <c:v>Славянская</c:v>
                  </c:pt>
                  <c:pt idx="48">
                    <c:v>Активиа</c:v>
                  </c:pt>
                  <c:pt idx="49">
                    <c:v>Чудо</c:v>
                  </c:pt>
                  <c:pt idx="50">
                    <c:v>Ростагроэкспорт</c:v>
                  </c:pt>
                  <c:pt idx="51">
                    <c:v>Эрманн</c:v>
                  </c:pt>
                  <c:pt idx="52">
                    <c:v>Карат</c:v>
                  </c:pt>
                  <c:pt idx="53">
                    <c:v>Сырная долина</c:v>
                  </c:pt>
                  <c:pt idx="54">
                    <c:v>President</c:v>
                  </c:pt>
                  <c:pt idx="55">
                    <c:v>Hochland</c:v>
                  </c:pt>
                  <c:pt idx="56">
                    <c:v>Русское море</c:v>
                  </c:pt>
                  <c:pt idx="57">
                    <c:v>Балтийский берег</c:v>
                  </c:pt>
                  <c:pt idx="58">
                    <c:v>Меридиан</c:v>
                  </c:pt>
                  <c:pt idx="59">
                    <c:v>Санта Бремор</c:v>
                  </c:pt>
                  <c:pt idx="60">
                    <c:v>Агро-Альянс</c:v>
                  </c:pt>
                  <c:pt idx="61">
                    <c:v>Белый Злат</c:v>
                  </c:pt>
                  <c:pt idx="62">
                    <c:v>Националь</c:v>
                  </c:pt>
                  <c:pt idx="63">
                    <c:v>Мистраль</c:v>
                  </c:pt>
                  <c:pt idx="64">
                    <c:v>Националь</c:v>
                  </c:pt>
                  <c:pt idx="65">
                    <c:v>Ярмарка</c:v>
                  </c:pt>
                  <c:pt idx="66">
                    <c:v>Увелка</c:v>
                  </c:pt>
                  <c:pt idx="67">
                    <c:v>Мистраль</c:v>
                  </c:pt>
                  <c:pt idx="68">
                    <c:v>Русский сахар</c:v>
                  </c:pt>
                  <c:pt idx="69">
                    <c:v>Продимекс</c:v>
                  </c:pt>
                  <c:pt idx="70">
                    <c:v>Сладов</c:v>
                  </c:pt>
                  <c:pt idx="71">
                    <c:v>Агросахар</c:v>
                  </c:pt>
                  <c:pt idx="72">
                    <c:v>Овощной ряд</c:v>
                  </c:pt>
                  <c:pt idx="73">
                    <c:v>Гавриш</c:v>
                  </c:pt>
                  <c:pt idx="74">
                    <c:v>Семко</c:v>
                  </c:pt>
                  <c:pt idx="75">
                    <c:v>Зеленая грядка</c:v>
                  </c:pt>
                  <c:pt idx="76">
                    <c:v>Jacobs</c:v>
                  </c:pt>
                  <c:pt idx="77">
                    <c:v>Nescafe</c:v>
                  </c:pt>
                  <c:pt idx="78">
                    <c:v>Черная Карта</c:v>
                  </c:pt>
                  <c:pt idx="79">
                    <c:v>Tchibo</c:v>
                  </c:pt>
                </c:lvl>
                <c:lvl>
                  <c:pt idx="0">
                    <c:v>Хлеб</c:v>
                  </c:pt>
                  <c:pt idx="4">
                    <c:v>Молоко</c:v>
                  </c:pt>
                  <c:pt idx="8">
                    <c:v>Колбаса</c:v>
                  </c:pt>
                  <c:pt idx="12">
                    <c:v>Печенье</c:v>
                  </c:pt>
                  <c:pt idx="16">
                    <c:v>Фрукты</c:v>
                  </c:pt>
                  <c:pt idx="20">
                    <c:v>Чипсы</c:v>
                  </c:pt>
                  <c:pt idx="24">
                    <c:v>Мясо</c:v>
                  </c:pt>
                  <c:pt idx="28">
                    <c:v>Чай</c:v>
                  </c:pt>
                  <c:pt idx="32">
                    <c:v>Сок</c:v>
                  </c:pt>
                  <c:pt idx="36">
                    <c:v>Конфеты</c:v>
                  </c:pt>
                  <c:pt idx="40">
                    <c:v>Макароны</c:v>
                  </c:pt>
                  <c:pt idx="44">
                    <c:v>Соль</c:v>
                  </c:pt>
                  <c:pt idx="48">
                    <c:v>Йогурт</c:v>
                  </c:pt>
                  <c:pt idx="52">
                    <c:v>Сыр</c:v>
                  </c:pt>
                  <c:pt idx="56">
                    <c:v>Рыба</c:v>
                  </c:pt>
                  <c:pt idx="60">
                    <c:v>Рис</c:v>
                  </c:pt>
                  <c:pt idx="64">
                    <c:v>Крупа</c:v>
                  </c:pt>
                  <c:pt idx="68">
                    <c:v>Сахар</c:v>
                  </c:pt>
                  <c:pt idx="72">
                    <c:v>Овощи</c:v>
                  </c:pt>
                  <c:pt idx="76">
                    <c:v>Кофе</c:v>
                  </c:pt>
                </c:lvl>
              </c:multiLvlStrCache>
            </c:multiLvlStrRef>
          </c:cat>
          <c:val>
            <c:numRef>
              <c:f>'цены внутри категории'!$B$4:$B$104</c:f>
              <c:numCache>
                <c:formatCode>0.0</c:formatCode>
                <c:ptCount val="80"/>
                <c:pt idx="0">
                  <c:v>331.16666666666663</c:v>
                </c:pt>
                <c:pt idx="1">
                  <c:v>316.59999999999997</c:v>
                </c:pt>
                <c:pt idx="2">
                  <c:v>281.73333333333346</c:v>
                </c:pt>
                <c:pt idx="3">
                  <c:v>264</c:v>
                </c:pt>
                <c:pt idx="4">
                  <c:v>322.54545454545456</c:v>
                </c:pt>
                <c:pt idx="5">
                  <c:v>318.81818181818187</c:v>
                </c:pt>
                <c:pt idx="6">
                  <c:v>274.77777777777771</c:v>
                </c:pt>
                <c:pt idx="7">
                  <c:v>193.5</c:v>
                </c:pt>
                <c:pt idx="8">
                  <c:v>320.25</c:v>
                </c:pt>
                <c:pt idx="9">
                  <c:v>312.66666666666669</c:v>
                </c:pt>
                <c:pt idx="10">
                  <c:v>273.58333333333337</c:v>
                </c:pt>
                <c:pt idx="11">
                  <c:v>82</c:v>
                </c:pt>
                <c:pt idx="12">
                  <c:v>323.07692307692298</c:v>
                </c:pt>
                <c:pt idx="13">
                  <c:v>321.63636363636357</c:v>
                </c:pt>
                <c:pt idx="14">
                  <c:v>249.5</c:v>
                </c:pt>
                <c:pt idx="15">
                  <c:v>232.4444444444444</c:v>
                </c:pt>
                <c:pt idx="16">
                  <c:v>369.2</c:v>
                </c:pt>
                <c:pt idx="17">
                  <c:v>280.66666666666669</c:v>
                </c:pt>
                <c:pt idx="18">
                  <c:v>258.30769230769232</c:v>
                </c:pt>
                <c:pt idx="19">
                  <c:v>253.6875</c:v>
                </c:pt>
                <c:pt idx="20">
                  <c:v>320.5714285714285</c:v>
                </c:pt>
                <c:pt idx="21">
                  <c:v>280.2380952380953</c:v>
                </c:pt>
                <c:pt idx="22">
                  <c:v>266.2727272727272</c:v>
                </c:pt>
                <c:pt idx="23">
                  <c:v>241.83333333333337</c:v>
                </c:pt>
                <c:pt idx="24">
                  <c:v>316.58333333333337</c:v>
                </c:pt>
                <c:pt idx="25">
                  <c:v>311.19999999999993</c:v>
                </c:pt>
                <c:pt idx="26">
                  <c:v>272.35294117647067</c:v>
                </c:pt>
                <c:pt idx="27">
                  <c:v>212.8125</c:v>
                </c:pt>
                <c:pt idx="28">
                  <c:v>291.45454545454533</c:v>
                </c:pt>
                <c:pt idx="29">
                  <c:v>281.75</c:v>
                </c:pt>
                <c:pt idx="30">
                  <c:v>260.15789473684202</c:v>
                </c:pt>
                <c:pt idx="31">
                  <c:v>243.3</c:v>
                </c:pt>
                <c:pt idx="32">
                  <c:v>281.96875</c:v>
                </c:pt>
                <c:pt idx="33">
                  <c:v>272.25</c:v>
                </c:pt>
                <c:pt idx="34">
                  <c:v>254.18181818181819</c:v>
                </c:pt>
                <c:pt idx="35">
                  <c:v>242.81818181818181</c:v>
                </c:pt>
                <c:pt idx="36">
                  <c:v>288.2380952380953</c:v>
                </c:pt>
                <c:pt idx="37">
                  <c:v>273.625</c:v>
                </c:pt>
                <c:pt idx="38">
                  <c:v>268</c:v>
                </c:pt>
                <c:pt idx="39">
                  <c:v>250.25925925925918</c:v>
                </c:pt>
                <c:pt idx="40">
                  <c:v>329.2727272727272</c:v>
                </c:pt>
                <c:pt idx="41">
                  <c:v>276.67567567567562</c:v>
                </c:pt>
                <c:pt idx="42">
                  <c:v>236.27586206896555</c:v>
                </c:pt>
                <c:pt idx="43">
                  <c:v>235.5555555555556</c:v>
                </c:pt>
                <c:pt idx="44">
                  <c:v>320.84615384615387</c:v>
                </c:pt>
                <c:pt idx="45">
                  <c:v>273.69999999999993</c:v>
                </c:pt>
                <c:pt idx="46">
                  <c:v>238.16666666666663</c:v>
                </c:pt>
                <c:pt idx="47">
                  <c:v>236.91666666666663</c:v>
                </c:pt>
                <c:pt idx="48">
                  <c:v>293.66666666666669</c:v>
                </c:pt>
                <c:pt idx="49">
                  <c:v>287.09999999999997</c:v>
                </c:pt>
                <c:pt idx="50">
                  <c:v>257.78260869565207</c:v>
                </c:pt>
                <c:pt idx="51">
                  <c:v>248.5</c:v>
                </c:pt>
                <c:pt idx="52">
                  <c:v>311.33333333333331</c:v>
                </c:pt>
                <c:pt idx="53">
                  <c:v>271</c:v>
                </c:pt>
                <c:pt idx="54">
                  <c:v>238.72222222222223</c:v>
                </c:pt>
                <c:pt idx="55">
                  <c:v>168</c:v>
                </c:pt>
                <c:pt idx="56">
                  <c:v>292.66666666666669</c:v>
                </c:pt>
                <c:pt idx="57">
                  <c:v>289.88888888888891</c:v>
                </c:pt>
                <c:pt idx="58">
                  <c:v>260.64705882352933</c:v>
                </c:pt>
                <c:pt idx="59">
                  <c:v>216.40000000000003</c:v>
                </c:pt>
                <c:pt idx="60">
                  <c:v>317.85714285714283</c:v>
                </c:pt>
                <c:pt idx="61">
                  <c:v>269.7058823529411</c:v>
                </c:pt>
                <c:pt idx="62">
                  <c:v>187</c:v>
                </c:pt>
                <c:pt idx="63">
                  <c:v>181.57142857142861</c:v>
                </c:pt>
                <c:pt idx="64">
                  <c:v>274.28571428571428</c:v>
                </c:pt>
                <c:pt idx="65">
                  <c:v>252.09090909090904</c:v>
                </c:pt>
                <c:pt idx="66">
                  <c:v>251.91666666666663</c:v>
                </c:pt>
                <c:pt idx="67">
                  <c:v>250.30769230769235</c:v>
                </c:pt>
                <c:pt idx="68">
                  <c:v>293.41176470588232</c:v>
                </c:pt>
                <c:pt idx="69">
                  <c:v>240.5</c:v>
                </c:pt>
                <c:pt idx="70">
                  <c:v>240.26666666666677</c:v>
                </c:pt>
                <c:pt idx="71">
                  <c:v>215.85714285714286</c:v>
                </c:pt>
                <c:pt idx="72">
                  <c:v>303.82352941176475</c:v>
                </c:pt>
                <c:pt idx="73">
                  <c:v>247.66666666666666</c:v>
                </c:pt>
                <c:pt idx="74">
                  <c:v>208</c:v>
                </c:pt>
                <c:pt idx="75">
                  <c:v>159.19999999999999</c:v>
                </c:pt>
                <c:pt idx="76">
                  <c:v>276.21052631578948</c:v>
                </c:pt>
                <c:pt idx="77">
                  <c:v>256.90000000000003</c:v>
                </c:pt>
                <c:pt idx="78">
                  <c:v>222.2</c:v>
                </c:pt>
                <c:pt idx="79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2-4972-86FC-56E0DA4BD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161792"/>
        <c:axId val="545595392"/>
      </c:barChart>
      <c:catAx>
        <c:axId val="64161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headEnd type="none" w="med" len="med"/>
            <a:tailEnd type="triangle" w="med" len="med"/>
          </a:ln>
        </c:spPr>
        <c:crossAx val="545595392"/>
        <c:crosses val="autoZero"/>
        <c:auto val="1"/>
        <c:lblAlgn val="ctr"/>
        <c:lblOffset val="100"/>
        <c:noMultiLvlLbl val="0"/>
      </c:catAx>
      <c:valAx>
        <c:axId val="545595392"/>
        <c:scaling>
          <c:orientation val="minMax"/>
          <c:max val="400"/>
        </c:scaling>
        <c:delete val="0"/>
        <c:axPos val="l"/>
        <c:majorGridlines>
          <c:spPr>
            <a:ln>
              <a:noFill/>
            </a:ln>
          </c:spPr>
        </c:majorGridlines>
        <c:numFmt formatCode="0" sourceLinked="0"/>
        <c:majorTickMark val="out"/>
        <c:minorTickMark val="none"/>
        <c:tickLblPos val="nextTo"/>
        <c:crossAx val="641617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категориям!gmv_категории</c:name>
    <c:fmtId val="0"/>
  </c:pivotSource>
  <c:chart>
    <c:title>
      <c:tx>
        <c:rich>
          <a:bodyPr/>
          <a:lstStyle/>
          <a:p>
            <a:pPr>
              <a:defRPr b="0"/>
            </a:pPr>
            <a:r>
              <a:rPr lang="en-US" b="0"/>
              <a:t>GMV</a:t>
            </a:r>
            <a:r>
              <a:rPr lang="en-US" b="0" baseline="0"/>
              <a:t> </a:t>
            </a:r>
            <a:r>
              <a:rPr lang="ru-RU" b="0" baseline="0"/>
              <a:t>по категориям</a:t>
            </a:r>
            <a:endParaRPr lang="ru-RU" b="0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1847065158858373E-2"/>
          <c:y val="1.2433711666510546E-2"/>
          <c:w val="0.97630586968228328"/>
          <c:h val="0.924956726125770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'GMV по категориям'!$B$3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'GMV по категориям'!$A$4:$A$24</c:f>
              <c:strCache>
                <c:ptCount val="20"/>
                <c:pt idx="0">
                  <c:v>Макароны</c:v>
                </c:pt>
                <c:pt idx="1">
                  <c:v>Конфеты</c:v>
                </c:pt>
                <c:pt idx="2">
                  <c:v>Мясо</c:v>
                </c:pt>
                <c:pt idx="3">
                  <c:v>Сок</c:v>
                </c:pt>
                <c:pt idx="4">
                  <c:v>Чипсы</c:v>
                </c:pt>
                <c:pt idx="5">
                  <c:v>Соль</c:v>
                </c:pt>
                <c:pt idx="6">
                  <c:v>Сыр</c:v>
                </c:pt>
                <c:pt idx="7">
                  <c:v>Сахар</c:v>
                </c:pt>
                <c:pt idx="8">
                  <c:v>Чай</c:v>
                </c:pt>
                <c:pt idx="9">
                  <c:v>Хлеб</c:v>
                </c:pt>
                <c:pt idx="10">
                  <c:v>Молоко</c:v>
                </c:pt>
                <c:pt idx="11">
                  <c:v>Йогурт</c:v>
                </c:pt>
                <c:pt idx="12">
                  <c:v>Печенье</c:v>
                </c:pt>
                <c:pt idx="13">
                  <c:v>Фрукты</c:v>
                </c:pt>
                <c:pt idx="14">
                  <c:v>Рыба</c:v>
                </c:pt>
                <c:pt idx="15">
                  <c:v>Овощи</c:v>
                </c:pt>
                <c:pt idx="16">
                  <c:v>Кофе</c:v>
                </c:pt>
                <c:pt idx="17">
                  <c:v>Крупа</c:v>
                </c:pt>
                <c:pt idx="18">
                  <c:v>Рис</c:v>
                </c:pt>
                <c:pt idx="19">
                  <c:v>Колбаса</c:v>
                </c:pt>
              </c:strCache>
            </c:strRef>
          </c:cat>
          <c:val>
            <c:numRef>
              <c:f>'GMV по категориям'!$B$4:$B$24</c:f>
              <c:numCache>
                <c:formatCode>#\ ##0\ _₽</c:formatCode>
                <c:ptCount val="20"/>
                <c:pt idx="0">
                  <c:v>334725</c:v>
                </c:pt>
                <c:pt idx="1">
                  <c:v>243985</c:v>
                </c:pt>
                <c:pt idx="2">
                  <c:v>236115</c:v>
                </c:pt>
                <c:pt idx="3">
                  <c:v>229310</c:v>
                </c:pt>
                <c:pt idx="4">
                  <c:v>222695</c:v>
                </c:pt>
                <c:pt idx="5">
                  <c:v>222340</c:v>
                </c:pt>
                <c:pt idx="6">
                  <c:v>221325</c:v>
                </c:pt>
                <c:pt idx="7">
                  <c:v>220755</c:v>
                </c:pt>
                <c:pt idx="8">
                  <c:v>218130</c:v>
                </c:pt>
                <c:pt idx="9">
                  <c:v>211760</c:v>
                </c:pt>
                <c:pt idx="10">
                  <c:v>210825</c:v>
                </c:pt>
                <c:pt idx="11">
                  <c:v>208725</c:v>
                </c:pt>
                <c:pt idx="12">
                  <c:v>198160</c:v>
                </c:pt>
                <c:pt idx="13">
                  <c:v>169010</c:v>
                </c:pt>
                <c:pt idx="14">
                  <c:v>162150</c:v>
                </c:pt>
                <c:pt idx="15">
                  <c:v>155735</c:v>
                </c:pt>
                <c:pt idx="16">
                  <c:v>152715</c:v>
                </c:pt>
                <c:pt idx="17">
                  <c:v>140265</c:v>
                </c:pt>
                <c:pt idx="18">
                  <c:v>136875</c:v>
                </c:pt>
                <c:pt idx="19">
                  <c:v>106565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3-4DFD-A123-9335C313B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435008"/>
        <c:axId val="545601152"/>
      </c:barChart>
      <c:catAx>
        <c:axId val="539435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45601152"/>
        <c:crosses val="autoZero"/>
        <c:auto val="1"/>
        <c:lblAlgn val="ctr"/>
        <c:lblOffset val="100"/>
        <c:noMultiLvlLbl val="0"/>
      </c:catAx>
      <c:valAx>
        <c:axId val="545601152"/>
        <c:scaling>
          <c:orientation val="minMax"/>
        </c:scaling>
        <c:delete val="1"/>
        <c:axPos val="l"/>
        <c:numFmt formatCode="#\ ##0\ _₽" sourceLinked="1"/>
        <c:majorTickMark val="out"/>
        <c:minorTickMark val="none"/>
        <c:tickLblPos val="nextTo"/>
        <c:crossAx val="5394350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магазинам!gmv_магазины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en-US" baseline="0"/>
              <a:t> </a:t>
            </a:r>
            <a:r>
              <a:rPr lang="ru-RU" baseline="0"/>
              <a:t>по продуктовым сетям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2764724113833927E-2"/>
          <c:y val="1.986884903939606E-2"/>
          <c:w val="0.97447055177233211"/>
          <c:h val="0.79307313918107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'GMV по магазинам'!$B$3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'GMV по магазинам'!$A$4:$A$24</c:f>
              <c:strCache>
                <c:ptCount val="20"/>
                <c:pt idx="0">
                  <c:v>О'кей</c:v>
                </c:pt>
                <c:pt idx="1">
                  <c:v>Гиперглобус</c:v>
                </c:pt>
                <c:pt idx="2">
                  <c:v>Мосмарт</c:v>
                </c:pt>
                <c:pt idx="3">
                  <c:v>Спар</c:v>
                </c:pt>
                <c:pt idx="4">
                  <c:v>Верный</c:v>
                </c:pt>
                <c:pt idx="5">
                  <c:v>Городской Супермаркет</c:v>
                </c:pt>
                <c:pt idx="6">
                  <c:v>Ароматный Мир</c:v>
                </c:pt>
                <c:pt idx="7">
                  <c:v>Седьмой Континент</c:v>
                </c:pt>
                <c:pt idx="8">
                  <c:v>Бристоль</c:v>
                </c:pt>
                <c:pt idx="9">
                  <c:v>Мираторг</c:v>
                </c:pt>
                <c:pt idx="10">
                  <c:v>Метро</c:v>
                </c:pt>
                <c:pt idx="11">
                  <c:v>Лента</c:v>
                </c:pt>
                <c:pt idx="12">
                  <c:v>Магнит</c:v>
                </c:pt>
                <c:pt idx="13">
                  <c:v>Азбука Вкуса</c:v>
                </c:pt>
                <c:pt idx="14">
                  <c:v>Перекресток</c:v>
                </c:pt>
                <c:pt idx="15">
                  <c:v>Карусель</c:v>
                </c:pt>
                <c:pt idx="16">
                  <c:v>Дикси</c:v>
                </c:pt>
                <c:pt idx="17">
                  <c:v>Ашан</c:v>
                </c:pt>
                <c:pt idx="18">
                  <c:v>Пятерочка</c:v>
                </c:pt>
                <c:pt idx="19">
                  <c:v>Билла</c:v>
                </c:pt>
              </c:strCache>
            </c:strRef>
          </c:cat>
          <c:val>
            <c:numRef>
              <c:f>'GMV по магазинам'!$B$4:$B$24</c:f>
              <c:numCache>
                <c:formatCode>#\ ##0\ _₽</c:formatCode>
                <c:ptCount val="20"/>
                <c:pt idx="0">
                  <c:v>264220</c:v>
                </c:pt>
                <c:pt idx="1">
                  <c:v>258945</c:v>
                </c:pt>
                <c:pt idx="2">
                  <c:v>247900</c:v>
                </c:pt>
                <c:pt idx="3">
                  <c:v>243730</c:v>
                </c:pt>
                <c:pt idx="4">
                  <c:v>235140</c:v>
                </c:pt>
                <c:pt idx="5">
                  <c:v>215490</c:v>
                </c:pt>
                <c:pt idx="6">
                  <c:v>214185</c:v>
                </c:pt>
                <c:pt idx="7">
                  <c:v>205530</c:v>
                </c:pt>
                <c:pt idx="8">
                  <c:v>205050</c:v>
                </c:pt>
                <c:pt idx="9">
                  <c:v>200145</c:v>
                </c:pt>
                <c:pt idx="10">
                  <c:v>195840</c:v>
                </c:pt>
                <c:pt idx="11">
                  <c:v>191560</c:v>
                </c:pt>
                <c:pt idx="12">
                  <c:v>188180</c:v>
                </c:pt>
                <c:pt idx="13">
                  <c:v>182240</c:v>
                </c:pt>
                <c:pt idx="14">
                  <c:v>182180</c:v>
                </c:pt>
                <c:pt idx="15">
                  <c:v>175060</c:v>
                </c:pt>
                <c:pt idx="16">
                  <c:v>162315</c:v>
                </c:pt>
                <c:pt idx="17">
                  <c:v>159770</c:v>
                </c:pt>
                <c:pt idx="18">
                  <c:v>138310</c:v>
                </c:pt>
                <c:pt idx="19">
                  <c:v>136375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D-4948-BB23-396072794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22464"/>
        <c:axId val="94945856"/>
      </c:barChart>
      <c:catAx>
        <c:axId val="9542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945856"/>
        <c:crosses val="autoZero"/>
        <c:auto val="1"/>
        <c:lblAlgn val="ctr"/>
        <c:lblOffset val="100"/>
        <c:noMultiLvlLbl val="0"/>
      </c:catAx>
      <c:valAx>
        <c:axId val="94945856"/>
        <c:scaling>
          <c:orientation val="minMax"/>
        </c:scaling>
        <c:delete val="1"/>
        <c:axPos val="l"/>
        <c:numFmt formatCode="#\ ##0\ _₽" sourceLinked="1"/>
        <c:majorTickMark val="out"/>
        <c:minorTickMark val="none"/>
        <c:tickLblPos val="nextTo"/>
        <c:crossAx val="9542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поставщикам!gmv_поставщики</c:name>
    <c:fmtId val="0"/>
  </c:pivotSource>
  <c:chart>
    <c:title>
      <c:tx>
        <c:rich>
          <a:bodyPr/>
          <a:lstStyle/>
          <a:p>
            <a:pPr>
              <a:defRPr b="0"/>
            </a:pPr>
            <a:r>
              <a:rPr lang="en-US" b="0" baseline="0"/>
              <a:t>GMV</a:t>
            </a:r>
            <a:r>
              <a:rPr lang="ru-RU" b="0" baseline="0"/>
              <a:t> по поставщикам</a:t>
            </a:r>
            <a:endParaRPr lang="ru-RU" b="0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 по поставщикам'!$B$3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'GMV по поставщикам'!$A$4:$A$82</c:f>
              <c:strCache>
                <c:ptCount val="78"/>
                <c:pt idx="0">
                  <c:v>Паста Зара</c:v>
                </c:pt>
                <c:pt idx="1">
                  <c:v>Фруктовый сад</c:v>
                </c:pt>
                <c:pt idx="2">
                  <c:v>Сырная долина</c:v>
                </c:pt>
                <c:pt idx="3">
                  <c:v>Greenfield</c:v>
                </c:pt>
                <c:pt idx="4">
                  <c:v>Бабаевский</c:v>
                </c:pt>
                <c:pt idx="5">
                  <c:v>Борилла</c:v>
                </c:pt>
                <c:pt idx="6">
                  <c:v>Домик в деревне</c:v>
                </c:pt>
                <c:pt idx="7">
                  <c:v>Pringles</c:v>
                </c:pt>
                <c:pt idx="8">
                  <c:v>Белый Злат</c:v>
                </c:pt>
                <c:pt idx="9">
                  <c:v>Рот Фронт</c:v>
                </c:pt>
                <c:pt idx="10">
                  <c:v>Jacobs</c:v>
                </c:pt>
                <c:pt idx="11">
                  <c:v>Овощной ряд</c:v>
                </c:pt>
                <c:pt idx="12">
                  <c:v>Меридиан</c:v>
                </c:pt>
                <c:pt idx="13">
                  <c:v>Снежана</c:v>
                </c:pt>
                <c:pt idx="14">
                  <c:v>Продимекс</c:v>
                </c:pt>
                <c:pt idx="15">
                  <c:v>Ростагроэкспорт</c:v>
                </c:pt>
                <c:pt idx="16">
                  <c:v>Lipton</c:v>
                </c:pt>
                <c:pt idx="17">
                  <c:v>Русский сахар</c:v>
                </c:pt>
                <c:pt idx="18">
                  <c:v>Хлебный Дом</c:v>
                </c:pt>
                <c:pt idx="19">
                  <c:v>Мираторг</c:v>
                </c:pt>
                <c:pt idx="20">
                  <c:v>Эрманн</c:v>
                </c:pt>
                <c:pt idx="21">
                  <c:v>Илецкая</c:v>
                </c:pt>
                <c:pt idx="22">
                  <c:v>Русский Хлеб</c:v>
                </c:pt>
                <c:pt idx="23">
                  <c:v>Белогорье</c:v>
                </c:pt>
                <c:pt idx="24">
                  <c:v>President</c:v>
                </c:pt>
                <c:pt idx="25">
                  <c:v>Сладов</c:v>
                </c:pt>
                <c:pt idx="26">
                  <c:v>Экстра</c:v>
                </c:pt>
                <c:pt idx="27">
                  <c:v>Беллакт</c:v>
                </c:pt>
                <c:pt idx="28">
                  <c:v>Экзотик</c:v>
                </c:pt>
                <c:pt idx="29">
                  <c:v>Салта</c:v>
                </c:pt>
                <c:pt idx="30">
                  <c:v>Простоквашино</c:v>
                </c:pt>
                <c:pt idx="31">
                  <c:v>Фруктовый Рай</c:v>
                </c:pt>
                <c:pt idx="32">
                  <c:v>Каравай</c:v>
                </c:pt>
                <c:pt idx="33">
                  <c:v>Мистраль</c:v>
                </c:pt>
                <c:pt idx="34">
                  <c:v>Сава</c:v>
                </c:pt>
                <c:pt idx="35">
                  <c:v>Посиделкино</c:v>
                </c:pt>
                <c:pt idx="36">
                  <c:v>Агрокомплекс</c:v>
                </c:pt>
                <c:pt idx="37">
                  <c:v>КДВ</c:v>
                </c:pt>
                <c:pt idx="38">
                  <c:v>Окраина</c:v>
                </c:pt>
                <c:pt idx="39">
                  <c:v>Макфа</c:v>
                </c:pt>
                <c:pt idx="40">
                  <c:v>Estrella</c:v>
                </c:pt>
                <c:pt idx="41">
                  <c:v>Славянская</c:v>
                </c:pt>
                <c:pt idx="42">
                  <c:v>Добрый</c:v>
                </c:pt>
                <c:pt idx="43">
                  <c:v>Дымов</c:v>
                </c:pt>
                <c:pt idx="44">
                  <c:v>Русская картошка</c:v>
                </c:pt>
                <c:pt idx="45">
                  <c:v>Lay's</c:v>
                </c:pt>
                <c:pt idx="46">
                  <c:v>Чудо</c:v>
                </c:pt>
                <c:pt idx="47">
                  <c:v>Увелка</c:v>
                </c:pt>
                <c:pt idx="48">
                  <c:v>Сады Придонья</c:v>
                </c:pt>
                <c:pt idx="49">
                  <c:v>Ярмарка</c:v>
                </c:pt>
                <c:pt idx="50">
                  <c:v>Роллтон</c:v>
                </c:pt>
                <c:pt idx="51">
                  <c:v>Юбилейное</c:v>
                </c:pt>
                <c:pt idx="52">
                  <c:v>Балтийский берег</c:v>
                </c:pt>
                <c:pt idx="53">
                  <c:v>Гавриш</c:v>
                </c:pt>
                <c:pt idx="54">
                  <c:v>Черная Карта</c:v>
                </c:pt>
                <c:pt idx="55">
                  <c:v>Семко</c:v>
                </c:pt>
                <c:pt idx="56">
                  <c:v>Nescafe</c:v>
                </c:pt>
                <c:pt idx="57">
                  <c:v>Активиа</c:v>
                </c:pt>
                <c:pt idx="58">
                  <c:v>Карат</c:v>
                </c:pt>
                <c:pt idx="59">
                  <c:v>Green Garden</c:v>
                </c:pt>
                <c:pt idx="60">
                  <c:v>Красный Октябрь</c:v>
                </c:pt>
                <c:pt idx="61">
                  <c:v>Дарница</c:v>
                </c:pt>
                <c:pt idx="62">
                  <c:v>Ахмад</c:v>
                </c:pt>
                <c:pt idx="63">
                  <c:v>Агро-Альянс</c:v>
                </c:pt>
                <c:pt idx="64">
                  <c:v>Фрукты-Ягоды</c:v>
                </c:pt>
                <c:pt idx="65">
                  <c:v>Санта Бремор</c:v>
                </c:pt>
                <c:pt idx="66">
                  <c:v>Славянка</c:v>
                </c:pt>
                <c:pt idx="67">
                  <c:v>Националь</c:v>
                </c:pt>
                <c:pt idx="68">
                  <c:v>Агросахар</c:v>
                </c:pt>
                <c:pt idx="69">
                  <c:v>Rich</c:v>
                </c:pt>
                <c:pt idx="70">
                  <c:v>Русское море</c:v>
                </c:pt>
                <c:pt idx="71">
                  <c:v>Черкизово</c:v>
                </c:pt>
                <c:pt idx="72">
                  <c:v>Тесс</c:v>
                </c:pt>
                <c:pt idx="73">
                  <c:v>Зеленая грядка</c:v>
                </c:pt>
                <c:pt idx="74">
                  <c:v>Hochland</c:v>
                </c:pt>
                <c:pt idx="75">
                  <c:v>Tchibo</c:v>
                </c:pt>
                <c:pt idx="76">
                  <c:v>Вимм-Билль-Данн</c:v>
                </c:pt>
                <c:pt idx="77">
                  <c:v>Микоян</c:v>
                </c:pt>
              </c:strCache>
            </c:strRef>
          </c:cat>
          <c:val>
            <c:numRef>
              <c:f>'GMV по поставщикам'!$B$4:$B$82</c:f>
              <c:numCache>
                <c:formatCode>#\ ##0\ _₽</c:formatCode>
                <c:ptCount val="78"/>
                <c:pt idx="0">
                  <c:v>147150</c:v>
                </c:pt>
                <c:pt idx="1">
                  <c:v>124360</c:v>
                </c:pt>
                <c:pt idx="2">
                  <c:v>121000</c:v>
                </c:pt>
                <c:pt idx="3">
                  <c:v>105955</c:v>
                </c:pt>
                <c:pt idx="4">
                  <c:v>102310</c:v>
                </c:pt>
                <c:pt idx="5">
                  <c:v>101725</c:v>
                </c:pt>
                <c:pt idx="6">
                  <c:v>93695</c:v>
                </c:pt>
                <c:pt idx="7">
                  <c:v>91840</c:v>
                </c:pt>
                <c:pt idx="8">
                  <c:v>87355</c:v>
                </c:pt>
                <c:pt idx="9">
                  <c:v>84370</c:v>
                </c:pt>
                <c:pt idx="10">
                  <c:v>78755</c:v>
                </c:pt>
                <c:pt idx="11">
                  <c:v>77905</c:v>
                </c:pt>
                <c:pt idx="12">
                  <c:v>77535</c:v>
                </c:pt>
                <c:pt idx="13">
                  <c:v>72285</c:v>
                </c:pt>
                <c:pt idx="14">
                  <c:v>70770</c:v>
                </c:pt>
                <c:pt idx="15">
                  <c:v>69935</c:v>
                </c:pt>
                <c:pt idx="16">
                  <c:v>68860</c:v>
                </c:pt>
                <c:pt idx="17">
                  <c:v>65530</c:v>
                </c:pt>
                <c:pt idx="18">
                  <c:v>65280</c:v>
                </c:pt>
                <c:pt idx="19">
                  <c:v>64495</c:v>
                </c:pt>
                <c:pt idx="20">
                  <c:v>64255</c:v>
                </c:pt>
                <c:pt idx="21">
                  <c:v>64065</c:v>
                </c:pt>
                <c:pt idx="22">
                  <c:v>63560</c:v>
                </c:pt>
                <c:pt idx="23">
                  <c:v>62370</c:v>
                </c:pt>
                <c:pt idx="24">
                  <c:v>61035</c:v>
                </c:pt>
                <c:pt idx="25">
                  <c:v>60390</c:v>
                </c:pt>
                <c:pt idx="26">
                  <c:v>59685</c:v>
                </c:pt>
                <c:pt idx="27">
                  <c:v>58150</c:v>
                </c:pt>
                <c:pt idx="28">
                  <c:v>55500</c:v>
                </c:pt>
                <c:pt idx="29">
                  <c:v>54065</c:v>
                </c:pt>
                <c:pt idx="30">
                  <c:v>53570</c:v>
                </c:pt>
                <c:pt idx="31">
                  <c:v>53100</c:v>
                </c:pt>
                <c:pt idx="32">
                  <c:v>52255</c:v>
                </c:pt>
                <c:pt idx="33">
                  <c:v>51115</c:v>
                </c:pt>
                <c:pt idx="34">
                  <c:v>50840</c:v>
                </c:pt>
                <c:pt idx="35">
                  <c:v>49500</c:v>
                </c:pt>
                <c:pt idx="36">
                  <c:v>48495</c:v>
                </c:pt>
                <c:pt idx="37">
                  <c:v>46470</c:v>
                </c:pt>
                <c:pt idx="38">
                  <c:v>46430</c:v>
                </c:pt>
                <c:pt idx="39">
                  <c:v>45615</c:v>
                </c:pt>
                <c:pt idx="40">
                  <c:v>44770</c:v>
                </c:pt>
                <c:pt idx="41">
                  <c:v>44525</c:v>
                </c:pt>
                <c:pt idx="42">
                  <c:v>44305</c:v>
                </c:pt>
                <c:pt idx="43">
                  <c:v>44205</c:v>
                </c:pt>
                <c:pt idx="44">
                  <c:v>43245</c:v>
                </c:pt>
                <c:pt idx="45">
                  <c:v>42840</c:v>
                </c:pt>
                <c:pt idx="46">
                  <c:v>42715</c:v>
                </c:pt>
                <c:pt idx="47">
                  <c:v>42510</c:v>
                </c:pt>
                <c:pt idx="48">
                  <c:v>41185</c:v>
                </c:pt>
                <c:pt idx="49">
                  <c:v>41150</c:v>
                </c:pt>
                <c:pt idx="50">
                  <c:v>40235</c:v>
                </c:pt>
                <c:pt idx="51">
                  <c:v>39820</c:v>
                </c:pt>
                <c:pt idx="52">
                  <c:v>37100</c:v>
                </c:pt>
                <c:pt idx="53">
                  <c:v>36195</c:v>
                </c:pt>
                <c:pt idx="54">
                  <c:v>36120</c:v>
                </c:pt>
                <c:pt idx="55">
                  <c:v>33905</c:v>
                </c:pt>
                <c:pt idx="56">
                  <c:v>31835</c:v>
                </c:pt>
                <c:pt idx="57">
                  <c:v>31820</c:v>
                </c:pt>
                <c:pt idx="58">
                  <c:v>31645</c:v>
                </c:pt>
                <c:pt idx="59">
                  <c:v>30930</c:v>
                </c:pt>
                <c:pt idx="60">
                  <c:v>30810</c:v>
                </c:pt>
                <c:pt idx="61">
                  <c:v>30665</c:v>
                </c:pt>
                <c:pt idx="62">
                  <c:v>29575</c:v>
                </c:pt>
                <c:pt idx="63">
                  <c:v>29515</c:v>
                </c:pt>
                <c:pt idx="64">
                  <c:v>29480</c:v>
                </c:pt>
                <c:pt idx="65">
                  <c:v>29390</c:v>
                </c:pt>
                <c:pt idx="66">
                  <c:v>26495</c:v>
                </c:pt>
                <c:pt idx="67">
                  <c:v>25495</c:v>
                </c:pt>
                <c:pt idx="68">
                  <c:v>24065</c:v>
                </c:pt>
                <c:pt idx="69">
                  <c:v>19460</c:v>
                </c:pt>
                <c:pt idx="70">
                  <c:v>18125</c:v>
                </c:pt>
                <c:pt idx="71">
                  <c:v>15520</c:v>
                </c:pt>
                <c:pt idx="72">
                  <c:v>13740</c:v>
                </c:pt>
                <c:pt idx="73">
                  <c:v>7730</c:v>
                </c:pt>
                <c:pt idx="74">
                  <c:v>7645</c:v>
                </c:pt>
                <c:pt idx="75">
                  <c:v>6005</c:v>
                </c:pt>
                <c:pt idx="76">
                  <c:v>5410</c:v>
                </c:pt>
                <c:pt idx="77">
                  <c:v>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3-48B2-A318-13B16A6BF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69920"/>
        <c:axId val="545601728"/>
      </c:barChart>
      <c:catAx>
        <c:axId val="65169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45601728"/>
        <c:crosses val="autoZero"/>
        <c:auto val="1"/>
        <c:lblAlgn val="ctr"/>
        <c:lblOffset val="100"/>
        <c:noMultiLvlLbl val="0"/>
      </c:catAx>
      <c:valAx>
        <c:axId val="545601728"/>
        <c:scaling>
          <c:orientation val="minMax"/>
        </c:scaling>
        <c:delete val="0"/>
        <c:axPos val="l"/>
        <c:majorGridlines/>
        <c:numFmt formatCode="#\ ##0\ _₽" sourceLinked="1"/>
        <c:majorTickMark val="out"/>
        <c:minorTickMark val="none"/>
        <c:tickLblPos val="nextTo"/>
        <c:crossAx val="651699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Analytics.xlsx]GMV по странам!gmv_страны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en-US" baseline="0"/>
              <a:t> </a:t>
            </a:r>
            <a:r>
              <a:rPr lang="ru-RU" baseline="0"/>
              <a:t>по странам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'GMV по странам'!$B$3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'GMV по странам'!$A$4:$A$9</c:f>
              <c:strCache>
                <c:ptCount val="5"/>
                <c:pt idx="0">
                  <c:v>Россия</c:v>
                </c:pt>
                <c:pt idx="1">
                  <c:v>Узбекистан</c:v>
                </c:pt>
                <c:pt idx="2">
                  <c:v>Украина</c:v>
                </c:pt>
                <c:pt idx="3">
                  <c:v>Таджикистан</c:v>
                </c:pt>
                <c:pt idx="4">
                  <c:v>Беларусь</c:v>
                </c:pt>
              </c:strCache>
            </c:strRef>
          </c:cat>
          <c:val>
            <c:numRef>
              <c:f>'GMV по странам'!$B$4:$B$9</c:f>
              <c:numCache>
                <c:formatCode>#\ ##0\ _₽</c:formatCode>
                <c:ptCount val="5"/>
                <c:pt idx="0">
                  <c:v>1256650</c:v>
                </c:pt>
                <c:pt idx="1">
                  <c:v>816470</c:v>
                </c:pt>
                <c:pt idx="2">
                  <c:v>737715</c:v>
                </c:pt>
                <c:pt idx="3">
                  <c:v>697365</c:v>
                </c:pt>
                <c:pt idx="4">
                  <c:v>493965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8-4D95-8E30-959FED72B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47039"/>
        <c:axId val="183147999"/>
      </c:barChart>
      <c:catAx>
        <c:axId val="1831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147999"/>
        <c:crosses val="autoZero"/>
        <c:auto val="1"/>
        <c:lblAlgn val="ctr"/>
        <c:lblOffset val="100"/>
        <c:noMultiLvlLbl val="0"/>
      </c:catAx>
      <c:valAx>
        <c:axId val="183147999"/>
        <c:scaling>
          <c:orientation val="minMax"/>
        </c:scaling>
        <c:delete val="1"/>
        <c:axPos val="l"/>
        <c:numFmt formatCode="#\ ##0\ _₽" sourceLinked="1"/>
        <c:majorTickMark val="none"/>
        <c:minorTickMark val="none"/>
        <c:tickLblPos val="nextTo"/>
        <c:crossAx val="18314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Analytics.xlsx]ср. кол-во по категориям!кол-во_товара_в_чеке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Среднее количество товара за</a:t>
            </a:r>
            <a:r>
              <a:rPr lang="ru-RU" baseline="0"/>
              <a:t> одну покупку</a:t>
            </a:r>
            <a:endParaRPr lang="ru-RU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369148889259555E-2"/>
          <c:y val="0.10490480534824941"/>
          <c:w val="0.96378382212815061"/>
          <c:h val="0.832485632444031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'ср. кол-во по категориям'!$B$3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sz="12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'ср. кол-во по категориям'!$A$4:$A$24</c:f>
              <c:strCache>
                <c:ptCount val="20"/>
                <c:pt idx="0">
                  <c:v>Молоко</c:v>
                </c:pt>
                <c:pt idx="1">
                  <c:v>Рис</c:v>
                </c:pt>
                <c:pt idx="2">
                  <c:v>Овощи</c:v>
                </c:pt>
                <c:pt idx="3">
                  <c:v>Сахар</c:v>
                </c:pt>
                <c:pt idx="4">
                  <c:v>Рыба</c:v>
                </c:pt>
                <c:pt idx="5">
                  <c:v>Мясо</c:v>
                </c:pt>
                <c:pt idx="6">
                  <c:v>Хлеб</c:v>
                </c:pt>
                <c:pt idx="7">
                  <c:v>Соль</c:v>
                </c:pt>
                <c:pt idx="8">
                  <c:v>Печенье</c:v>
                </c:pt>
                <c:pt idx="9">
                  <c:v>Чипсы</c:v>
                </c:pt>
                <c:pt idx="10">
                  <c:v>Кофе</c:v>
                </c:pt>
                <c:pt idx="11">
                  <c:v>Конфеты</c:v>
                </c:pt>
                <c:pt idx="12">
                  <c:v>Сок</c:v>
                </c:pt>
                <c:pt idx="13">
                  <c:v>Фрукты</c:v>
                </c:pt>
                <c:pt idx="14">
                  <c:v>Макароны</c:v>
                </c:pt>
                <c:pt idx="15">
                  <c:v>Чай</c:v>
                </c:pt>
                <c:pt idx="16">
                  <c:v>Колбаса</c:v>
                </c:pt>
                <c:pt idx="17">
                  <c:v>Йогурт</c:v>
                </c:pt>
                <c:pt idx="18">
                  <c:v>Крупа</c:v>
                </c:pt>
                <c:pt idx="19">
                  <c:v>Сыр</c:v>
                </c:pt>
              </c:strCache>
            </c:strRef>
          </c:cat>
          <c:val>
            <c:numRef>
              <c:f>'ср. кол-во по категориям'!$B$4:$B$24</c:f>
              <c:numCache>
                <c:formatCode>#\ ##0.0\ _₽</c:formatCode>
                <c:ptCount val="20"/>
                <c:pt idx="0">
                  <c:v>3.2380952380952381</c:v>
                </c:pt>
                <c:pt idx="1">
                  <c:v>3.1875</c:v>
                </c:pt>
                <c:pt idx="2">
                  <c:v>3.1463414634146343</c:v>
                </c:pt>
                <c:pt idx="3">
                  <c:v>3.1355932203389831</c:v>
                </c:pt>
                <c:pt idx="4">
                  <c:v>3.1282051282051282</c:v>
                </c:pt>
                <c:pt idx="5">
                  <c:v>3.1272727272727274</c:v>
                </c:pt>
                <c:pt idx="6">
                  <c:v>3.0909090909090908</c:v>
                </c:pt>
                <c:pt idx="7">
                  <c:v>3.0754716981132075</c:v>
                </c:pt>
                <c:pt idx="8">
                  <c:v>3.0638297872340425</c:v>
                </c:pt>
                <c:pt idx="9">
                  <c:v>3.0588235294117645</c:v>
                </c:pt>
                <c:pt idx="10">
                  <c:v>3.0476190476190474</c:v>
                </c:pt>
                <c:pt idx="11">
                  <c:v>2.9838709677419355</c:v>
                </c:pt>
                <c:pt idx="12">
                  <c:v>2.9827586206896552</c:v>
                </c:pt>
                <c:pt idx="13">
                  <c:v>2.9534883720930232</c:v>
                </c:pt>
                <c:pt idx="14">
                  <c:v>2.941860465116279</c:v>
                </c:pt>
                <c:pt idx="15">
                  <c:v>2.9272727272727272</c:v>
                </c:pt>
                <c:pt idx="16">
                  <c:v>2.8846153846153846</c:v>
                </c:pt>
                <c:pt idx="17">
                  <c:v>2.7627118644067798</c:v>
                </c:pt>
                <c:pt idx="18">
                  <c:v>2.7209302325581395</c:v>
                </c:pt>
                <c:pt idx="19">
                  <c:v>2.5873015873015874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2-4CF8-85CF-6E8A473B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135168"/>
        <c:axId val="587622080"/>
      </c:barChart>
      <c:catAx>
        <c:axId val="608135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87622080"/>
        <c:crosses val="autoZero"/>
        <c:auto val="1"/>
        <c:lblAlgn val="ctr"/>
        <c:lblOffset val="100"/>
        <c:noMultiLvlLbl val="0"/>
      </c:catAx>
      <c:valAx>
        <c:axId val="587622080"/>
        <c:scaling>
          <c:orientation val="minMax"/>
        </c:scaling>
        <c:delete val="1"/>
        <c:axPos val="l"/>
        <c:numFmt formatCode="#\ ##0.0\ _₽" sourceLinked="1"/>
        <c:majorTickMark val="out"/>
        <c:minorTickMark val="none"/>
        <c:tickLblPos val="nextTo"/>
        <c:crossAx val="608135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Analytics.xlsx]кол-во дней с регистрации!дней_с_регистрации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Дней с</a:t>
            </a:r>
            <a:r>
              <a:rPr lang="ru-RU" baseline="0"/>
              <a:t> момента регистрации до покупки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'кол-во дней с регистрации'!$B$3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'кол-во дней с регистрации'!$A$4:$A$12</c:f>
              <c:strCache>
                <c:ptCount val="9"/>
                <c:pt idx="0">
                  <c:v>8-107</c:v>
                </c:pt>
                <c:pt idx="1">
                  <c:v>108-207</c:v>
                </c:pt>
                <c:pt idx="2">
                  <c:v>208-307</c:v>
                </c:pt>
                <c:pt idx="3">
                  <c:v>308-407</c:v>
                </c:pt>
                <c:pt idx="4">
                  <c:v>408-507</c:v>
                </c:pt>
                <c:pt idx="5">
                  <c:v>508-607</c:v>
                </c:pt>
                <c:pt idx="6">
                  <c:v>608-707</c:v>
                </c:pt>
                <c:pt idx="7">
                  <c:v>708-807</c:v>
                </c:pt>
                <c:pt idx="8">
                  <c:v>808-907</c:v>
                </c:pt>
              </c:strCache>
            </c:strRef>
          </c:cat>
          <c:val>
            <c:numRef>
              <c:f>'кол-во дней с регистрации'!$B$4:$B$12</c:f>
              <c:numCache>
                <c:formatCode>General</c:formatCode>
                <c:ptCount val="9"/>
                <c:pt idx="0">
                  <c:v>31</c:v>
                </c:pt>
                <c:pt idx="1">
                  <c:v>74</c:v>
                </c:pt>
                <c:pt idx="2">
                  <c:v>149</c:v>
                </c:pt>
                <c:pt idx="3">
                  <c:v>174</c:v>
                </c:pt>
                <c:pt idx="4">
                  <c:v>202</c:v>
                </c:pt>
                <c:pt idx="5">
                  <c:v>181</c:v>
                </c:pt>
                <c:pt idx="6">
                  <c:v>119</c:v>
                </c:pt>
                <c:pt idx="7">
                  <c:v>60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D-4244-ADB9-35D50FB48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1880270160"/>
        <c:axId val="1880259120"/>
      </c:barChart>
      <c:catAx>
        <c:axId val="18802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259120"/>
        <c:crosses val="autoZero"/>
        <c:auto val="1"/>
        <c:lblAlgn val="ctr"/>
        <c:lblOffset val="100"/>
        <c:noMultiLvlLbl val="0"/>
      </c:catAx>
      <c:valAx>
        <c:axId val="18802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2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Analytics.xlsx]клиенты по программе лоял-ти!СводнаяТаблица6</c:name>
    <c:fmtId val="2"/>
  </c:pivotSource>
  <c:chart>
    <c:title>
      <c:tx>
        <c:rich>
          <a:bodyPr/>
          <a:lstStyle/>
          <a:p>
            <a:pPr>
              <a:defRPr sz="1600" b="0"/>
            </a:pPr>
            <a:r>
              <a:rPr lang="ru-RU" sz="1600" b="0"/>
              <a:t>Участие</a:t>
            </a:r>
            <a:r>
              <a:rPr lang="ru-RU" sz="1600" b="0" baseline="0"/>
              <a:t> в программе лояльности</a:t>
            </a:r>
            <a:endParaRPr lang="ru-RU" sz="1600" b="0"/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sz="1200"/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293963254593179E-2"/>
          <c:y val="0.18091462525517643"/>
          <c:w val="0.76670734908136484"/>
          <c:h val="0.68921660834062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'клиенты по программе лоял-ти'!$B$3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 sz="12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'клиенты по программе лоял-ти'!$A$4:$A$6</c:f>
              <c:strCache>
                <c:ptCount val="2"/>
                <c:pt idx="0">
                  <c:v>да</c:v>
                </c:pt>
                <c:pt idx="1">
                  <c:v>нет</c:v>
                </c:pt>
              </c:strCache>
            </c:strRef>
          </c:cat>
          <c:val>
            <c:numRef>
              <c:f>'клиенты по программе лоял-ти'!$B$4:$B$6</c:f>
              <c:numCache>
                <c:formatCode>#,##0</c:formatCode>
                <c:ptCount val="2"/>
                <c:pt idx="0">
                  <c:v>215</c:v>
                </c:pt>
                <c:pt idx="1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4-4DB3-B727-6886CC57D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8457472"/>
        <c:axId val="607521024"/>
      </c:barChart>
      <c:catAx>
        <c:axId val="548457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7521024"/>
        <c:crosses val="autoZero"/>
        <c:auto val="1"/>
        <c:lblAlgn val="ctr"/>
        <c:lblOffset val="100"/>
        <c:noMultiLvlLbl val="0"/>
      </c:catAx>
      <c:valAx>
        <c:axId val="607521024"/>
        <c:scaling>
          <c:orientation val="minMax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548457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Analytics.xlsx]частотность имен!частотность_имен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Наиболее</a:t>
            </a:r>
            <a:r>
              <a:rPr lang="ru-RU" baseline="0"/>
              <a:t> распротраненные имена клиентов</a:t>
            </a:r>
            <a:endParaRPr lang="ru-RU"/>
          </a:p>
        </c:rich>
      </c:tx>
      <c:layout>
        <c:manualLayout>
          <c:xMode val="edge"/>
          <c:yMode val="edge"/>
          <c:x val="0.29423800063807143"/>
          <c:y val="2.63018425302047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'частотность имен'!$B$3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'частотность имен'!$A$4:$A$25</c:f>
              <c:strCache>
                <c:ptCount val="22"/>
                <c:pt idx="0">
                  <c:v>Василиса</c:v>
                </c:pt>
                <c:pt idx="1">
                  <c:v>Феврония</c:v>
                </c:pt>
                <c:pt idx="2">
                  <c:v>Алевтина</c:v>
                </c:pt>
                <c:pt idx="3">
                  <c:v>Эмилия</c:v>
                </c:pt>
                <c:pt idx="4">
                  <c:v>Марфа</c:v>
                </c:pt>
                <c:pt idx="5">
                  <c:v>Любовь</c:v>
                </c:pt>
                <c:pt idx="6">
                  <c:v>Вера</c:v>
                </c:pt>
                <c:pt idx="7">
                  <c:v>Жанна</c:v>
                </c:pt>
                <c:pt idx="8">
                  <c:v>Юлия</c:v>
                </c:pt>
                <c:pt idx="9">
                  <c:v>Вероника</c:v>
                </c:pt>
                <c:pt idx="10">
                  <c:v>Анжела</c:v>
                </c:pt>
                <c:pt idx="11">
                  <c:v>Алла</c:v>
                </c:pt>
                <c:pt idx="12">
                  <c:v>Элеонора</c:v>
                </c:pt>
                <c:pt idx="13">
                  <c:v>Любомир</c:v>
                </c:pt>
                <c:pt idx="14">
                  <c:v>Александра</c:v>
                </c:pt>
                <c:pt idx="15">
                  <c:v>Татьяна</c:v>
                </c:pt>
                <c:pt idx="16">
                  <c:v>Ия</c:v>
                </c:pt>
                <c:pt idx="17">
                  <c:v>Валентина</c:v>
                </c:pt>
                <c:pt idx="18">
                  <c:v>Лора</c:v>
                </c:pt>
                <c:pt idx="19">
                  <c:v>Анастасия</c:v>
                </c:pt>
                <c:pt idx="20">
                  <c:v>Ираида</c:v>
                </c:pt>
                <c:pt idx="21">
                  <c:v>Зоя</c:v>
                </c:pt>
              </c:strCache>
            </c:strRef>
          </c:cat>
          <c:val>
            <c:numRef>
              <c:f>'частотность имен'!$B$4:$B$25</c:f>
              <c:numCache>
                <c:formatCode>General</c:formatCode>
                <c:ptCount val="2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4-4A2E-8EF3-2A5FE435C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68383"/>
        <c:axId val="189067423"/>
      </c:barChart>
      <c:catAx>
        <c:axId val="1890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067423"/>
        <c:crosses val="autoZero"/>
        <c:auto val="1"/>
        <c:lblAlgn val="ctr"/>
        <c:lblOffset val="100"/>
        <c:noMultiLvlLbl val="0"/>
      </c:catAx>
      <c:valAx>
        <c:axId val="18906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06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Лайфтайм клиента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Лайфтайм клиента</a:t>
          </a:r>
        </a:p>
      </cx:txPr>
    </cx:title>
    <cx:plotArea>
      <cx:plotAreaRegion>
        <cx:series layoutId="clusteredColumn" uniqueId="{242F9F1F-B97F-44C1-81F2-3ADCEA60DBF4}" formatIdx="0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ru-RU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/>
                </a:endParaRPr>
              </a:p>
            </cx:txPr>
          </cx:dataLabels>
          <cx:dataId val="0"/>
          <cx:layoutPr>
            <cx:binning intervalClosed="r"/>
          </cx:layoutPr>
        </cx:series>
      </cx:plotAreaRegion>
      <cx:axis id="0">
        <cx:catScaling/>
        <cx:tickLabels/>
      </cx:axis>
      <cx:axis id="1" hidden="1">
        <cx:valScaling max="90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38</xdr:row>
      <xdr:rowOff>0</xdr:rowOff>
    </xdr:from>
    <xdr:to>
      <xdr:col>31</xdr:col>
      <xdr:colOff>0</xdr:colOff>
      <xdr:row>68</xdr:row>
      <xdr:rowOff>26830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A5BDB94-B7D3-4775-91E0-05F10CE47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70</xdr:row>
      <xdr:rowOff>174400</xdr:rowOff>
    </xdr:from>
    <xdr:to>
      <xdr:col>30</xdr:col>
      <xdr:colOff>576866</xdr:colOff>
      <xdr:row>99</xdr:row>
      <xdr:rowOff>136369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1199D5C-517E-44DD-95C9-ED924575D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</xdr:row>
      <xdr:rowOff>0</xdr:rowOff>
    </xdr:from>
    <xdr:to>
      <xdr:col>14</xdr:col>
      <xdr:colOff>67077</xdr:colOff>
      <xdr:row>36</xdr:row>
      <xdr:rowOff>93908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959D76F-D41D-4B3B-8561-1C15EFF848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174401</xdr:colOff>
      <xdr:row>7</xdr:row>
      <xdr:rowOff>174401</xdr:rowOff>
    </xdr:from>
    <xdr:to>
      <xdr:col>31</xdr:col>
      <xdr:colOff>0</xdr:colOff>
      <xdr:row>36</xdr:row>
      <xdr:rowOff>120739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78B2C48C-6451-4D73-BFFB-4246E0081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603696</xdr:colOff>
      <xdr:row>101</xdr:row>
      <xdr:rowOff>0</xdr:rowOff>
    </xdr:from>
    <xdr:to>
      <xdr:col>30</xdr:col>
      <xdr:colOff>563450</xdr:colOff>
      <xdr:row>132</xdr:row>
      <xdr:rowOff>107324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3C30DAA-672A-4238-9369-947620A95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136</xdr:row>
      <xdr:rowOff>0</xdr:rowOff>
    </xdr:from>
    <xdr:to>
      <xdr:col>31</xdr:col>
      <xdr:colOff>0</xdr:colOff>
      <xdr:row>163</xdr:row>
      <xdr:rowOff>10532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B6C7FEBA-F794-4F64-915C-E5CF7D427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164</xdr:row>
      <xdr:rowOff>0</xdr:rowOff>
    </xdr:from>
    <xdr:to>
      <xdr:col>31</xdr:col>
      <xdr:colOff>53662</xdr:colOff>
      <xdr:row>190</xdr:row>
      <xdr:rowOff>184932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2D47F196-E2A5-4C60-B15A-8B250946B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134155</xdr:colOff>
      <xdr:row>193</xdr:row>
      <xdr:rowOff>174402</xdr:rowOff>
    </xdr:from>
    <xdr:to>
      <xdr:col>21</xdr:col>
      <xdr:colOff>528571</xdr:colOff>
      <xdr:row>214</xdr:row>
      <xdr:rowOff>119198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3A7CCC68-1EE3-4D56-B343-BABFC96CA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67078</xdr:colOff>
      <xdr:row>193</xdr:row>
      <xdr:rowOff>160986</xdr:rowOff>
    </xdr:from>
    <xdr:to>
      <xdr:col>31</xdr:col>
      <xdr:colOff>0</xdr:colOff>
      <xdr:row>214</xdr:row>
      <xdr:rowOff>147571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5231223F-1C06-4CF9-8CA0-77B699F44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590282</xdr:colOff>
      <xdr:row>215</xdr:row>
      <xdr:rowOff>147571</xdr:rowOff>
    </xdr:from>
    <xdr:to>
      <xdr:col>21</xdr:col>
      <xdr:colOff>509788</xdr:colOff>
      <xdr:row>241</xdr:row>
      <xdr:rowOff>17306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D5EFA130-95D0-4931-AB90-0DD3ED628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35</xdr:col>
      <xdr:colOff>12075</xdr:colOff>
      <xdr:row>6</xdr:row>
      <xdr:rowOff>52588</xdr:rowOff>
    </xdr:from>
    <xdr:to>
      <xdr:col>38</xdr:col>
      <xdr:colOff>29783</xdr:colOff>
      <xdr:row>36</xdr:row>
      <xdr:rowOff>80493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магазин покупки">
              <a:extLst>
                <a:ext uri="{FF2B5EF4-FFF2-40B4-BE49-F238E27FC236}">
                  <a16:creationId xmlns:a16="http://schemas.microsoft.com/office/drawing/2014/main" id="{84842C17-0A6E-82C0-D3AE-B274BB861B35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агазин покупк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41476" y="1300229"/>
              <a:ext cx="1828800" cy="5742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59030</xdr:colOff>
      <xdr:row>47</xdr:row>
      <xdr:rowOff>166622</xdr:rowOff>
    </xdr:from>
    <xdr:to>
      <xdr:col>38</xdr:col>
      <xdr:colOff>76738</xdr:colOff>
      <xdr:row>78</xdr:row>
      <xdr:rowOff>13416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Категория">
              <a:extLst>
                <a:ext uri="{FF2B5EF4-FFF2-40B4-BE49-F238E27FC236}">
                  <a16:creationId xmlns:a16="http://schemas.microsoft.com/office/drawing/2014/main" id="{5F1E1D3D-3117-67D3-4940-FA64244DE7E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88431" y="9195249"/>
              <a:ext cx="1828800" cy="57496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38</xdr:col>
      <xdr:colOff>226721</xdr:colOff>
      <xdr:row>6</xdr:row>
      <xdr:rowOff>39170</xdr:rowOff>
    </xdr:from>
    <xdr:to>
      <xdr:col>41</xdr:col>
      <xdr:colOff>244429</xdr:colOff>
      <xdr:row>119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Поставщик">
              <a:extLst>
                <a:ext uri="{FF2B5EF4-FFF2-40B4-BE49-F238E27FC236}">
                  <a16:creationId xmlns:a16="http://schemas.microsoft.com/office/drawing/2014/main" id="{A307243D-C403-902D-E765-72C67FA6A39A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Поставщи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67214" y="1286811"/>
              <a:ext cx="1828800" cy="213451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35</xdr:col>
      <xdr:colOff>45613</xdr:colOff>
      <xdr:row>37</xdr:row>
      <xdr:rowOff>126375</xdr:rowOff>
    </xdr:from>
    <xdr:to>
      <xdr:col>38</xdr:col>
      <xdr:colOff>63321</xdr:colOff>
      <xdr:row>46</xdr:row>
      <xdr:rowOff>147571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Страна">
              <a:extLst>
                <a:ext uri="{FF2B5EF4-FFF2-40B4-BE49-F238E27FC236}">
                  <a16:creationId xmlns:a16="http://schemas.microsoft.com/office/drawing/2014/main" id="{E8C6B0A0-86BF-8CA3-E4E0-EB943D94270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Стран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175014" y="7276833"/>
              <a:ext cx="1828800" cy="17115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334046</xdr:colOff>
      <xdr:row>6</xdr:row>
      <xdr:rowOff>25757</xdr:rowOff>
    </xdr:from>
    <xdr:to>
      <xdr:col>34</xdr:col>
      <xdr:colOff>351755</xdr:colOff>
      <xdr:row>25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Месяцы (дата создания чека)">
              <a:extLst>
                <a:ext uri="{FF2B5EF4-FFF2-40B4-BE49-F238E27FC236}">
                  <a16:creationId xmlns:a16="http://schemas.microsoft.com/office/drawing/2014/main" id="{B46494E9-7608-7FA6-73F3-16F068ED3970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Месяцы (дата создания чек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8659" y="1273398"/>
              <a:ext cx="1828800" cy="36232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354168</xdr:colOff>
      <xdr:row>26</xdr:row>
      <xdr:rowOff>45882</xdr:rowOff>
    </xdr:from>
    <xdr:to>
      <xdr:col>34</xdr:col>
      <xdr:colOff>371877</xdr:colOff>
      <xdr:row>34</xdr:row>
      <xdr:rowOff>40247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Кварталы (дата создания чека)">
              <a:extLst>
                <a:ext uri="{FF2B5EF4-FFF2-40B4-BE49-F238E27FC236}">
                  <a16:creationId xmlns:a16="http://schemas.microsoft.com/office/drawing/2014/main" id="{44078FFE-7D77-4AD9-96F5-C90E734D10A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варталы (дата создания чек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68781" y="5130354"/>
              <a:ext cx="1828800" cy="149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31</xdr:col>
      <xdr:colOff>360876</xdr:colOff>
      <xdr:row>35</xdr:row>
      <xdr:rowOff>106252</xdr:rowOff>
    </xdr:from>
    <xdr:to>
      <xdr:col>34</xdr:col>
      <xdr:colOff>378585</xdr:colOff>
      <xdr:row>40</xdr:row>
      <xdr:rowOff>80494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Годы (дата создания чека)">
              <a:extLst>
                <a:ext uri="{FF2B5EF4-FFF2-40B4-BE49-F238E27FC236}">
                  <a16:creationId xmlns:a16="http://schemas.microsoft.com/office/drawing/2014/main" id="{E0DE19F2-6A27-2DE5-46EB-B02B1AEE8C9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Годы (дата создания чека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75489" y="6881076"/>
              <a:ext cx="1828800" cy="9133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22</xdr:col>
      <xdr:colOff>67076</xdr:colOff>
      <xdr:row>215</xdr:row>
      <xdr:rowOff>147568</xdr:rowOff>
    </xdr:from>
    <xdr:to>
      <xdr:col>30</xdr:col>
      <xdr:colOff>576866</xdr:colOff>
      <xdr:row>240</xdr:row>
      <xdr:rowOff>174401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592C494-4DB2-4FC9-A464-5B22E2DCB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327337</xdr:colOff>
      <xdr:row>41</xdr:row>
      <xdr:rowOff>45881</xdr:rowOff>
    </xdr:from>
    <xdr:to>
      <xdr:col>34</xdr:col>
      <xdr:colOff>389050</xdr:colOff>
      <xdr:row>46</xdr:row>
      <xdr:rowOff>67078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участие в программе лояльности">
              <a:extLst>
                <a:ext uri="{FF2B5EF4-FFF2-40B4-BE49-F238E27FC236}">
                  <a16:creationId xmlns:a16="http://schemas.microsoft.com/office/drawing/2014/main" id="{5C8EEE69-8661-4A6A-4856-DB7A8ADF77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участие в программе лояльности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1950" y="7880529"/>
              <a:ext cx="1872804" cy="9602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193</xdr:row>
      <xdr:rowOff>122903</xdr:rowOff>
    </xdr:from>
    <xdr:to>
      <xdr:col>9</xdr:col>
      <xdr:colOff>76814</xdr:colOff>
      <xdr:row>214</xdr:row>
      <xdr:rowOff>134155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7EC8F103-BB81-4B38-B778-CCD89C2FE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0.00481</cdr:x>
      <cdr:y>0.42268</cdr:y>
    </cdr:from>
    <cdr:to>
      <cdr:x>0.02484</cdr:x>
      <cdr:y>0.54639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744" y="2147888"/>
          <a:ext cx="261108" cy="628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none" rtlCol="0" anchor="ctr"/>
        <a:lstStyle xmlns:a="http://schemas.openxmlformats.org/drawingml/2006/main"/>
        <a:p xmlns:a="http://schemas.openxmlformats.org/drawingml/2006/main">
          <a:r>
            <a:rPr lang="ru-RU" sz="1100"/>
            <a:t>единиц.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0.78894</cdr:x>
      <cdr:y>0.92</cdr:y>
    </cdr:from>
    <cdr:to>
      <cdr:x>0.9602</cdr:x>
      <cdr:y>0.98295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FF276F-D435-9E99-BAB9-A760B36F93B9}"/>
            </a:ext>
          </a:extLst>
        </cdr:cNvPr>
        <cdr:cNvSpPr txBox="1"/>
      </cdr:nvSpPr>
      <cdr:spPr>
        <a:xfrm xmlns:a="http://schemas.openxmlformats.org/drawingml/2006/main">
          <a:off x="4212466" y="4344475"/>
          <a:ext cx="914400" cy="2972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 kern="1200"/>
            <a:t>число месяцев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476249</xdr:colOff>
      <xdr:row>1</xdr:row>
      <xdr:rowOff>180974</xdr:rowOff>
    </xdr:from>
    <xdr:to>
      <xdr:col>26</xdr:col>
      <xdr:colOff>276225</xdr:colOff>
      <xdr:row>21</xdr:row>
      <xdr:rowOff>133349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E1173DA0-ABDA-4ACD-A67C-0D9DD8DD51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35875" y="981074"/>
              <a:ext cx="0" cy="3762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809625</xdr:colOff>
      <xdr:row>9</xdr:row>
      <xdr:rowOff>114300</xdr:rowOff>
    </xdr:from>
    <xdr:to>
      <xdr:col>5</xdr:col>
      <xdr:colOff>152400</xdr:colOff>
      <xdr:row>25</xdr:row>
      <xdr:rowOff>176213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27D05A2-E7D9-402D-B442-25D6124FB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0.79544</cdr:x>
      <cdr:y>0.90441</cdr:y>
    </cdr:from>
    <cdr:to>
      <cdr:x>0.94807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B38EC2-5EA2-A776-218D-649CE1DF99CE}"/>
            </a:ext>
          </a:extLst>
        </cdr:cNvPr>
        <cdr:cNvSpPr txBox="1"/>
      </cdr:nvSpPr>
      <cdr:spPr>
        <a:xfrm xmlns:a="http://schemas.openxmlformats.org/drawingml/2006/main">
          <a:off x="4765675" y="2812625"/>
          <a:ext cx="914400" cy="2972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000" b="0" kern="1200"/>
            <a:t>число месяцев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176212</xdr:rowOff>
    </xdr:from>
    <xdr:to>
      <xdr:col>10</xdr:col>
      <xdr:colOff>304800</xdr:colOff>
      <xdr:row>16</xdr:row>
      <xdr:rowOff>61912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E5A34F7-738A-E9D5-C5C2-E461FF04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276224</xdr:colOff>
      <xdr:row>21</xdr:row>
      <xdr:rowOff>166686</xdr:rowOff>
    </xdr:from>
    <xdr:to>
      <xdr:col>12</xdr:col>
      <xdr:colOff>95249</xdr:colOff>
      <xdr:row>41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96D609B-8DF4-83A6-A86E-E1C294702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0</xdr:rowOff>
    </xdr:from>
    <xdr:to>
      <xdr:col>15</xdr:col>
      <xdr:colOff>581025</xdr:colOff>
      <xdr:row>26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E47B081-197A-AC00-761F-E49515031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1</xdr:row>
      <xdr:rowOff>180975</xdr:rowOff>
    </xdr:from>
    <xdr:to>
      <xdr:col>14</xdr:col>
      <xdr:colOff>266701</xdr:colOff>
      <xdr:row>10</xdr:row>
      <xdr:rowOff>133350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FED7B777-CDDC-AFB5-BF1F-745BF8CB8DE9}"/>
            </a:ext>
          </a:extLst>
        </xdr:cNvPr>
        <xdr:cNvSpPr/>
      </xdr:nvSpPr>
      <xdr:spPr>
        <a:xfrm>
          <a:off x="9953625" y="371475"/>
          <a:ext cx="523876" cy="1666875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581025</xdr:colOff>
      <xdr:row>11</xdr:row>
      <xdr:rowOff>114300</xdr:rowOff>
    </xdr:from>
    <xdr:to>
      <xdr:col>15</xdr:col>
      <xdr:colOff>495301</xdr:colOff>
      <xdr:row>20</xdr:row>
      <xdr:rowOff>66675</xdr:rowOff>
    </xdr:to>
    <xdr:sp macro="" textlink="">
      <xdr:nvSpPr>
        <xdr:cNvPr id="4" name="Прямоугольник 3">
          <a:extLst>
            <a:ext uri="{FF2B5EF4-FFF2-40B4-BE49-F238E27FC236}">
              <a16:creationId xmlns:a16="http://schemas.microsoft.com/office/drawing/2014/main" id="{291F286F-C913-41A5-9AE2-CCCB1A640022}"/>
            </a:ext>
          </a:extLst>
        </xdr:cNvPr>
        <xdr:cNvSpPr/>
      </xdr:nvSpPr>
      <xdr:spPr>
        <a:xfrm>
          <a:off x="10791825" y="2209800"/>
          <a:ext cx="523876" cy="1666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0</xdr:rowOff>
    </xdr:from>
    <xdr:to>
      <xdr:col>15</xdr:col>
      <xdr:colOff>581025</xdr:colOff>
      <xdr:row>26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8203F9-2BE3-4C96-962B-1902E56D9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0.91929</cdr:x>
      <cdr:y>0.06693</cdr:y>
    </cdr:from>
    <cdr:to>
      <cdr:x>0.98588</cdr:x>
      <cdr:y>0.41834</cdr:y>
    </cdr:to>
    <cdr:sp macro="" textlink="">
      <cdr:nvSpPr>
        <cdr:cNvPr id="2" name="Прямоугольник 1">
          <a:extLst xmlns:a="http://schemas.openxmlformats.org/drawingml/2006/main">
            <a:ext uri="{FF2B5EF4-FFF2-40B4-BE49-F238E27FC236}">
              <a16:creationId xmlns:a16="http://schemas.microsoft.com/office/drawing/2014/main" id="{FED7B777-CDDC-AFB5-BF1F-745BF8CB8DE9}"/>
            </a:ext>
          </a:extLst>
        </cdr:cNvPr>
        <cdr:cNvSpPr/>
      </cdr:nvSpPr>
      <cdr:spPr>
        <a:xfrm xmlns:a="http://schemas.openxmlformats.org/drawingml/2006/main">
          <a:off x="7232650" y="317500"/>
          <a:ext cx="523876" cy="16668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92D05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ru-RU" sz="1100"/>
        </a:p>
      </cdr:txBody>
    </cdr:sp>
  </cdr:relSizeAnchor>
  <cdr:relSizeAnchor xmlns:cdr="http://schemas.openxmlformats.org/drawingml/2006/chartDrawing">
    <cdr:from>
      <cdr:x>0.31517</cdr:x>
      <cdr:y>0.52677</cdr:y>
    </cdr:from>
    <cdr:to>
      <cdr:x>0.38176</cdr:x>
      <cdr:y>0.87818</cdr:y>
    </cdr:to>
    <cdr:sp macro="" textlink="">
      <cdr:nvSpPr>
        <cdr:cNvPr id="3" name="Прямоугольник 2">
          <a:extLst xmlns:a="http://schemas.openxmlformats.org/drawingml/2006/main">
            <a:ext uri="{FF2B5EF4-FFF2-40B4-BE49-F238E27FC236}">
              <a16:creationId xmlns:a16="http://schemas.microsoft.com/office/drawing/2014/main" id="{C745AFBA-7812-32C2-05E9-1006B11A6665}"/>
            </a:ext>
          </a:extLst>
        </cdr:cNvPr>
        <cdr:cNvSpPr/>
      </cdr:nvSpPr>
      <cdr:spPr>
        <a:xfrm xmlns:a="http://schemas.openxmlformats.org/drawingml/2006/main">
          <a:off x="2479668" y="2498707"/>
          <a:ext cx="523907" cy="16668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ru-RU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1</xdr:row>
      <xdr:rowOff>161922</xdr:rowOff>
    </xdr:from>
    <xdr:to>
      <xdr:col>26</xdr:col>
      <xdr:colOff>590550</xdr:colOff>
      <xdr:row>42</xdr:row>
      <xdr:rowOff>19050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EE4CB5-3900-B286-35A3-B3CDB4E67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589782</xdr:colOff>
      <xdr:row>2</xdr:row>
      <xdr:rowOff>8647</xdr:rowOff>
    </xdr:from>
    <xdr:to>
      <xdr:col>26</xdr:col>
      <xdr:colOff>557705</xdr:colOff>
      <xdr:row>42</xdr:row>
      <xdr:rowOff>51895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026B804-9B01-856E-F47A-F19FA4391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66675</xdr:rowOff>
    </xdr:from>
    <xdr:to>
      <xdr:col>29</xdr:col>
      <xdr:colOff>285750</xdr:colOff>
      <xdr:row>27</xdr:row>
      <xdr:rowOff>176213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42862</xdr:rowOff>
    </xdr:from>
    <xdr:to>
      <xdr:col>22</xdr:col>
      <xdr:colOff>200025</xdr:colOff>
      <xdr:row>28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66676</xdr:colOff>
      <xdr:row>1</xdr:row>
      <xdr:rowOff>95249</xdr:rowOff>
    </xdr:from>
    <xdr:to>
      <xdr:col>21</xdr:col>
      <xdr:colOff>38100</xdr:colOff>
      <xdr:row>32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0FA2C2A-9D66-D174-9829-43F075279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57149</xdr:colOff>
      <xdr:row>2</xdr:row>
      <xdr:rowOff>38100</xdr:rowOff>
    </xdr:from>
    <xdr:to>
      <xdr:col>25</xdr:col>
      <xdr:colOff>142875</xdr:colOff>
      <xdr:row>29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14287</xdr:rowOff>
    </xdr:from>
    <xdr:to>
      <xdr:col>11</xdr:col>
      <xdr:colOff>323850</xdr:colOff>
      <xdr:row>16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31083D0-E6E2-5997-67AD-44A8AB826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2</xdr:row>
      <xdr:rowOff>42862</xdr:rowOff>
    </xdr:from>
    <xdr:to>
      <xdr:col>24</xdr:col>
      <xdr:colOff>228599</xdr:colOff>
      <xdr:row>28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0.00481</cdr:x>
      <cdr:y>0.42268</cdr:y>
    </cdr:from>
    <cdr:to>
      <cdr:x>0.02484</cdr:x>
      <cdr:y>0.54639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2744" y="2147888"/>
          <a:ext cx="261108" cy="628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none" rtlCol="0" anchor="ctr"/>
        <a:lstStyle xmlns:a="http://schemas.openxmlformats.org/drawingml/2006/main"/>
        <a:p xmlns:a="http://schemas.openxmlformats.org/drawingml/2006/main">
          <a:r>
            <a:rPr lang="ru-RU" sz="1100"/>
            <a:t>единиц.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19048</xdr:colOff>
      <xdr:row>1</xdr:row>
      <xdr:rowOff>147636</xdr:rowOff>
    </xdr:from>
    <xdr:to>
      <xdr:col>16</xdr:col>
      <xdr:colOff>95249</xdr:colOff>
      <xdr:row>23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82535F0-9977-043C-E4D2-5D1E64B25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100011</xdr:rowOff>
    </xdr:from>
    <xdr:to>
      <xdr:col>13</xdr:col>
      <xdr:colOff>0</xdr:colOff>
      <xdr:row>16</xdr:row>
      <xdr:rowOff>28574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0.00417</cdr:x>
      <cdr:y>0.4184</cdr:y>
    </cdr:from>
    <cdr:to>
      <cdr:x>0.10208</cdr:x>
      <cdr:y>0.50868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050" y="1147763"/>
          <a:ext cx="44767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000"/>
            <a:t>чел.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561976</xdr:colOff>
      <xdr:row>2</xdr:row>
      <xdr:rowOff>47626</xdr:rowOff>
    </xdr:from>
    <xdr:to>
      <xdr:col>13</xdr:col>
      <xdr:colOff>171450</xdr:colOff>
      <xdr:row>24</xdr:row>
      <xdr:rowOff>142876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18F64DC-7EA1-F3E9-9068-9F22B8A56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808.746856944446" createdVersion="4" refreshedVersion="8" minRefreshableVersion="3" recordCount="434" xr:uid="{00000000-000A-0000-FFFF-FFFF4C000000}">
  <cacheSource type="worksheet">
    <worksheetSource ref="A1:N435" sheet="клиенты"/>
  </cacheSource>
  <cacheFields count="14">
    <cacheField name="id клиента" numFmtId="0">
      <sharedItems containsSemiMixedTypes="0" containsString="0" containsNumber="1" containsInteger="1" minValue="1" maxValue="499"/>
    </cacheField>
    <cacheField name="номер телефона клиента" numFmtId="0">
      <sharedItems/>
    </cacheField>
    <cacheField name="ФИО" numFmtId="0">
      <sharedItems/>
    </cacheField>
    <cacheField name="Программа лояльности клиента" numFmtId="0">
      <sharedItems count="2">
        <s v="да"/>
        <s v="нет"/>
      </sharedItems>
    </cacheField>
    <cacheField name="Дата регистрации клиента" numFmtId="14">
      <sharedItems containsSemiMixedTypes="0" containsNonDate="0" containsDate="1" containsString="0" minDate="2022-01-01T00:00:00" maxDate="2022-12-30T00:00:00"/>
    </cacheField>
    <cacheField name="Коды телефона" numFmtId="0">
      <sharedItems/>
    </cacheField>
    <cacheField name="Страна клиента" numFmtId="0">
      <sharedItems count="5">
        <s v="Узбекистан"/>
        <s v="Беларусь"/>
        <s v="Россия"/>
        <s v="Украина"/>
        <s v="Таджикистан"/>
      </sharedItems>
    </cacheField>
    <cacheField name="Текущая дата" numFmtId="14">
      <sharedItems containsSemiMixedTypes="0" containsNonDate="0" containsDate="1" containsString="0" minDate="2025-05-31T00:00:00" maxDate="2025-06-01T00:00:00"/>
    </cacheField>
    <cacheField name="Лайфтайм клиента" numFmtId="1">
      <sharedItems containsSemiMixedTypes="0" containsString="0" containsNumber="1" minValue="29.466666666666665" maxValue="41.533333333333331" count="253">
        <n v="35.366666666666667"/>
        <n v="35.266666666666666"/>
        <n v="32.200000000000003"/>
        <n v="38.833333333333336"/>
        <n v="41.033333333333331"/>
        <n v="40.866666666666667"/>
        <n v="35.666666666666664"/>
        <n v="39.633333333333333"/>
        <n v="37.466666666666669"/>
        <n v="36.966666666666669"/>
        <n v="38.466666666666669"/>
        <n v="38.4"/>
        <n v="31.666666666666668"/>
        <n v="33.799999999999997"/>
        <n v="32.93333333333333"/>
        <n v="37.666666666666664"/>
        <n v="40.166666666666664"/>
        <n v="30.5"/>
        <n v="31.366666666666667"/>
        <n v="35.06666666666667"/>
        <n v="37.766666666666666"/>
        <n v="36"/>
        <n v="41.5"/>
        <n v="38.5"/>
        <n v="37.299999999999997"/>
        <n v="34.133333333333333"/>
        <n v="39.966666666666669"/>
        <n v="38.533333333333331"/>
        <n v="40.799999999999997"/>
        <n v="37.166666666666664"/>
        <n v="38.633333333333333"/>
        <n v="31.7"/>
        <n v="34.9"/>
        <n v="33.366666666666667"/>
        <n v="32.5"/>
        <n v="36.700000000000003"/>
        <n v="30.533333333333335"/>
        <n v="34.700000000000003"/>
        <n v="29.466666666666665"/>
        <n v="29.933333333333334"/>
        <n v="30.9"/>
        <n v="40"/>
        <n v="32.700000000000003"/>
        <n v="30.266666666666666"/>
        <n v="34.43333333333333"/>
        <n v="34.733333333333334"/>
        <n v="35.166666666666664"/>
        <n v="39.56666666666667"/>
        <n v="31.766666666666666"/>
        <n v="33.766666666666666"/>
        <n v="37.133333333333333"/>
        <n v="31.933333333333334"/>
        <n v="37.5"/>
        <n v="39.533333333333331"/>
        <n v="32.133333333333333"/>
        <n v="41.333333333333336"/>
        <n v="36.6"/>
        <n v="30.866666666666667"/>
        <n v="39.06666666666667"/>
        <n v="38.233333333333334"/>
        <n v="32.533333333333331"/>
        <n v="34.166666666666664"/>
        <n v="38.766666666666666"/>
        <n v="34.6"/>
        <n v="34.666666666666664"/>
        <n v="35.233333333333334"/>
        <n v="29.633333333333333"/>
        <n v="33.1"/>
        <n v="37.266666666666666"/>
        <n v="31.5"/>
        <n v="39.366666666666667"/>
        <n v="32.233333333333334"/>
        <n v="34.633333333333333"/>
        <n v="40.766666666666666"/>
        <n v="33.733333333333334"/>
        <n v="34.866666666666667"/>
        <n v="30.4"/>
        <n v="36.466666666666669"/>
        <n v="40.1"/>
        <n v="33.466666666666669"/>
        <n v="32.866666666666667"/>
        <n v="41.266666666666666"/>
        <n v="38.966666666666669"/>
        <n v="35.5"/>
        <n v="40.233333333333334"/>
        <n v="32.9"/>
        <n v="40.299999999999997"/>
        <n v="30.233333333333334"/>
        <n v="31.233333333333334"/>
        <n v="36.266666666666666"/>
        <n v="36.5"/>
        <n v="36.56666666666667"/>
        <n v="30.633333333333333"/>
        <n v="39.200000000000003"/>
        <n v="41.166666666666664"/>
        <n v="35.799999999999997"/>
        <n v="29.733333333333334"/>
        <n v="40.9"/>
        <n v="41.06666666666667"/>
        <n v="31.6"/>
        <n v="30.833333333333332"/>
        <n v="31.3"/>
        <n v="38.1"/>
        <n v="38.666666666666664"/>
        <n v="36.366666666666667"/>
        <n v="37.833333333333336"/>
        <n v="31.1"/>
        <n v="31.733333333333334"/>
        <n v="33.533333333333331"/>
        <n v="29.533333333333335"/>
        <n v="37.866666666666667"/>
        <n v="37"/>
        <n v="35.93333333333333"/>
        <n v="35.700000000000003"/>
        <n v="29.7"/>
        <n v="30.6"/>
        <n v="32.56666666666667"/>
        <n v="34.56666666666667"/>
        <n v="36.9"/>
        <n v="36.833333333333336"/>
        <n v="39.733333333333334"/>
        <n v="37.4"/>
        <n v="39.5"/>
        <n v="40.43333333333333"/>
        <n v="33.833333333333336"/>
        <n v="41.43333333333333"/>
        <n v="40.033333333333331"/>
        <n v="33.233333333333334"/>
        <n v="29.8"/>
        <n v="34.033333333333331"/>
        <n v="30.733333333333334"/>
        <n v="37.9"/>
        <n v="40.666666666666664"/>
        <n v="39.1"/>
        <n v="30.1"/>
        <n v="38.56666666666667"/>
        <n v="36.06666666666667"/>
        <n v="39.43333333333333"/>
        <n v="31.066666666666666"/>
        <n v="34.233333333333334"/>
        <n v="36.733333333333334"/>
        <n v="34.833333333333336"/>
        <n v="33.666666666666664"/>
        <n v="40.700000000000003"/>
        <n v="35.466666666666669"/>
        <n v="39.666666666666664"/>
        <n v="40.93333333333333"/>
        <n v="38.43333333333333"/>
        <n v="38.799999999999997"/>
        <n v="41.2"/>
        <n v="41.533333333333331"/>
        <n v="37.43333333333333"/>
        <n v="31.633333333333333"/>
        <n v="36.133333333333333"/>
        <n v="39.6"/>
        <n v="37.200000000000003"/>
        <n v="37.799999999999997"/>
        <n v="34.366666666666667"/>
        <n v="37.233333333333334"/>
        <n v="39.033333333333331"/>
        <n v="36.866666666666667"/>
        <n v="35"/>
        <n v="36.799999999999997"/>
        <n v="38.06666666666667"/>
        <n v="32.733333333333334"/>
        <n v="31.4"/>
        <n v="39.333333333333336"/>
        <n v="32"/>
        <n v="35.200000000000003"/>
        <n v="39.233333333333334"/>
        <n v="34.533333333333331"/>
        <n v="35.866666666666667"/>
        <n v="38.333333333333336"/>
        <n v="34.799999999999997"/>
        <n v="36.766666666666666"/>
        <n v="41.1"/>
        <n v="33.43333333333333"/>
        <n v="32.766666666666666"/>
        <n v="37.966666666666669"/>
        <n v="30.433333333333334"/>
        <n v="38.200000000000003"/>
        <n v="34.299999999999997"/>
        <n v="30.066666666666666"/>
        <n v="32.966666666666669"/>
        <n v="41"/>
        <n v="39.266666666666666"/>
        <n v="31.333333333333332"/>
        <n v="30.2"/>
        <n v="38.033333333333331"/>
        <n v="29.6"/>
        <n v="29.666666666666668"/>
        <n v="29.833333333333332"/>
        <n v="33.9"/>
        <n v="30.3"/>
        <n v="31.533333333333335"/>
        <n v="29.5"/>
        <n v="36.333333333333336"/>
        <n v="36.93333333333333"/>
        <n v="39.866666666666667"/>
        <n v="36.033333333333331"/>
        <n v="31.2"/>
        <n v="36.166666666666664"/>
        <n v="34.200000000000003"/>
        <n v="29.866666666666667"/>
        <n v="35.533333333333331"/>
        <n v="33.633333333333333"/>
        <n v="31.033333333333335"/>
        <n v="40.200000000000003"/>
        <n v="35.9"/>
        <n v="35.833333333333336"/>
        <n v="30.966666666666665"/>
        <n v="40.733333333333334"/>
        <n v="40.5"/>
        <n v="34.06666666666667"/>
        <n v="37.333333333333336"/>
        <n v="32.799999999999997"/>
        <n v="32.033333333333331"/>
        <n v="38"/>
        <n v="41.3"/>
        <n v="37.1"/>
        <n v="36.43333333333333"/>
        <n v="30.333333333333332"/>
        <n v="41.233333333333334"/>
        <n v="32.166666666666664"/>
        <n v="36.233333333333334"/>
        <n v="40.466666666666669"/>
        <n v="34.1"/>
        <n v="37.56666666666667"/>
        <n v="36.4"/>
        <n v="40.56666666666667"/>
        <n v="35.633333333333333"/>
        <n v="40.266666666666666"/>
        <n v="35.4"/>
        <n v="33.166666666666664"/>
        <n v="32.43333333333333"/>
        <n v="31.266666666666666"/>
        <n v="33.56666666666667"/>
        <n v="29.966666666666665"/>
        <n v="35.966666666666669"/>
        <n v="36.666666666666664"/>
        <n v="34.333333333333336"/>
        <n v="30.033333333333335"/>
        <n v="39.700000000000003"/>
        <n v="37.733333333333334"/>
        <n v="35.733333333333334"/>
        <n v="31.133333333333333"/>
        <n v="37.366666666666667"/>
        <n v="37.633333333333333"/>
        <n v="41.466666666666669"/>
        <n v="34.766666666666666"/>
        <n v="35.766666666666666"/>
        <n v="38.299999999999997"/>
        <n v="32.466666666666669"/>
      </sharedItems>
      <fieldGroup base="8">
        <rangePr startNum="29.466666666666665" endNum="41.533333333333331" groupInterval="2"/>
        <groupItems count="9">
          <s v="&lt;29,4666666666667"/>
          <s v="29,4666666666667-31,4666666666667"/>
          <s v="31,4666666666667-33,4666666666667"/>
          <s v="33,4666666666667-35,4666666666667"/>
          <s v="35,4666666666667-37,4666666666667"/>
          <s v="37,4666666666667-39,4666666666667"/>
          <s v="39,4666666666667-41,4666666666667"/>
          <s v="41,4666666666667-43,4666666666667"/>
          <s v="&gt;43,4666666666667"/>
        </groupItems>
      </fieldGroup>
    </cacheField>
    <cacheField name="ФИО без обращений" numFmtId="0">
      <sharedItems/>
    </cacheField>
    <cacheField name="ФИО в одинаковом порядке" numFmtId="0">
      <sharedItems/>
    </cacheField>
    <cacheField name="Имя" numFmtId="0">
      <sharedItems count="238">
        <s v="Фадей"/>
        <s v="Вера"/>
        <s v="Никодим"/>
        <s v="Александра"/>
        <s v="Ирина"/>
        <s v="Зоя"/>
        <s v="Светозар"/>
        <s v="Любовь"/>
        <s v="Август"/>
        <s v="Мефодий"/>
        <s v="Влас"/>
        <s v="Агата"/>
        <s v="Юлия"/>
        <s v="Лонгин"/>
        <s v="Филимон"/>
        <s v="Демид"/>
        <s v="Вероника"/>
        <s v="Еремей"/>
        <s v="Лидия"/>
        <s v="Феврония"/>
        <s v="Нинель"/>
        <s v="Рыбаков"/>
        <s v="Олимпий"/>
        <s v="Чеслав"/>
        <s v="Карл"/>
        <s v="Ульяна"/>
        <s v="Майя"/>
        <s v="Лукия"/>
        <s v="Полина"/>
        <s v="Элеонора"/>
        <s v="Касьян"/>
        <s v="Феофан"/>
        <s v="Тамара"/>
        <s v="Ратибор"/>
        <s v="Боян"/>
        <s v="Христофор"/>
        <s v="Сила"/>
        <s v="Лора"/>
        <s v="Радислав"/>
        <s v="Харлампий"/>
        <s v="Анжела"/>
        <s v="Дементий"/>
        <s v="Ия"/>
        <s v="Татьяна"/>
        <s v="Геннадий"/>
        <s v="Карп"/>
        <s v="Валентина"/>
        <s v="Евдокия"/>
        <s v="Василиса"/>
        <s v="Эмилия"/>
        <s v="Алина"/>
        <s v="Евгения"/>
        <s v="Ипатий"/>
        <s v="Регина"/>
        <s v="Бажен"/>
        <s v="Иванна"/>
        <s v="Капитон"/>
        <s v="Галина"/>
        <s v="Панфил"/>
        <s v="Сократ"/>
        <s v="Измаил"/>
        <s v="Милица"/>
        <s v="Аггей"/>
        <s v="Владилен"/>
        <s v="Ладимир"/>
        <s v="Эммануил"/>
        <s v="Сидор"/>
        <s v="Антип"/>
        <s v="Виктор"/>
        <s v="Никифор"/>
        <s v="Елизавета"/>
        <s v="Епифан"/>
        <s v="Леонид"/>
        <s v="Ангелина"/>
        <s v="Зинаида"/>
        <s v="Тимур"/>
        <s v="Копылова"/>
        <s v="Акулина"/>
        <s v="Януарий"/>
        <s v="Родион"/>
        <s v="Назар"/>
        <s v="Софон"/>
        <s v="Наина"/>
        <s v="Натан"/>
        <s v="Фрол"/>
        <s v="Вадим"/>
        <s v="Лука"/>
        <s v="Евсей"/>
        <s v="Марфа"/>
        <s v="Прокл"/>
        <s v="Раиса"/>
        <s v="Фёкла"/>
        <s v="Арефий"/>
        <s v="Любомир"/>
        <s v="Маргарита"/>
        <s v="Авдей"/>
        <s v="Валерьян"/>
        <s v="Анастасия"/>
        <s v="Мария"/>
        <s v="Самуил"/>
        <s v="Ефрем"/>
        <s v="Арсений"/>
        <s v="Евпраксия"/>
        <s v="Фома"/>
        <s v="Ольга"/>
        <s v="Аверьян"/>
        <s v="Павел"/>
        <s v="Эрнест"/>
        <s v="Таисия"/>
        <s v="Филипп"/>
        <s v="Милован"/>
        <s v="Копылов"/>
        <s v="Савельев"/>
        <s v="Ипполит"/>
        <s v="Спиридон"/>
        <s v="Евфросиния"/>
        <s v="Оксана"/>
        <s v="Нина"/>
        <s v="Анна"/>
        <s v="Лев"/>
        <s v="Глафира"/>
        <s v="Мина"/>
        <s v="Степанова"/>
        <s v="Жанна"/>
        <s v="Кир"/>
        <s v="Гостомысл"/>
        <s v="Марк"/>
        <s v="Валерия"/>
        <s v="Аверкий"/>
        <s v="Алевтина"/>
        <s v="Агафья"/>
        <s v="Флорентин"/>
        <s v="Анжелика"/>
        <s v="Виктория"/>
        <s v="Алла"/>
        <s v="Юрий"/>
        <s v="Конон"/>
        <s v="Елисей"/>
        <s v="Симон"/>
        <s v="Андрон"/>
        <s v="Модест"/>
        <s v="Екатерина"/>
        <s v="Зосима"/>
        <s v="Климент"/>
        <s v="Автоном"/>
        <s v="Адриан"/>
        <s v="Борислав"/>
        <s v="Светлана"/>
        <s v="Борис"/>
        <s v="Никанор"/>
        <s v="Александр"/>
        <s v="Милан"/>
        <s v="Давыд"/>
        <s v="Глеб"/>
        <s v="Евграф"/>
        <s v="Герман"/>
        <s v="Станислав"/>
        <s v="Никита"/>
        <s v="Николай"/>
        <s v="Елена"/>
        <s v="Богдан"/>
        <s v="Велимир"/>
        <s v="Аполлинарий"/>
        <s v="Потап"/>
        <s v="Агап"/>
        <s v="Людмила"/>
        <s v="Ярослав"/>
        <s v="Матвей"/>
        <s v="Мирон"/>
        <s v="Эраст"/>
        <s v="Клавдия"/>
        <s v="Ратмир"/>
        <s v="Ксения"/>
        <s v="Константин"/>
        <s v="Дмитрий"/>
        <s v="Пелагея"/>
        <s v="Амос"/>
        <s v="Аникей"/>
        <s v="Антонина"/>
        <s v="Ираида"/>
        <s v="Кира"/>
        <s v="Севастьян"/>
        <s v="Орест"/>
        <s v="Лариса"/>
        <s v="Олимпиада"/>
        <s v="Савватий"/>
        <s v="Пантелеймон"/>
        <s v="Любим"/>
        <s v="Прасковья"/>
        <s v="София"/>
        <s v="Серафим"/>
        <s v="Синклитикия"/>
        <s v="Елизар"/>
        <s v="Эдуард"/>
        <s v="Дарья"/>
        <s v="Михей"/>
        <s v="Ираклий"/>
        <s v="Панкратий"/>
        <s v="Силантий"/>
        <s v="Галактион"/>
        <s v="Марина"/>
        <s v="Пахом"/>
        <s v="Лавр"/>
        <s v="Корнил"/>
        <s v="Алексей"/>
        <s v="Рубен"/>
        <s v="Аристарх"/>
        <s v="Мартын"/>
        <s v="Захар"/>
        <s v="Наталья"/>
        <s v="Степан"/>
        <s v="Мартьян"/>
        <s v="Леон"/>
        <s v="Андроник"/>
        <s v="Амвросий"/>
        <s v="Максим"/>
        <s v="Творимир"/>
        <s v="Ростислав"/>
        <s v="Евстафий"/>
        <s v="Фаина"/>
        <s v="Миронова"/>
        <s v="Октябрина"/>
        <s v="Ефимова"/>
        <s v="Зуев"/>
        <s v="Всеслав"/>
        <s v="Гордей"/>
        <s v="Платон"/>
        <s v="Воробьева"/>
        <s v="Викентий"/>
        <s v="Анисим"/>
        <s v="Ипат"/>
        <s v="Феликс"/>
        <s v="Игорь"/>
        <s v="Любосмысл"/>
        <s v="Якуб"/>
        <s v="Кузьма"/>
        <s v="Кузьминична" u="1"/>
        <s v="Ильинична" u="1"/>
      </sharedItems>
    </cacheField>
    <cacheField name="Отчество" numFmtId="0">
      <sharedItems/>
    </cacheField>
    <cacheField name="Фамилия" numFmtId="0">
      <sharedItems/>
    </cacheField>
  </cacheFields>
  <extLst>
    <ext xmlns:x14="http://schemas.microsoft.com/office/spreadsheetml/2009/9/main" uri="{725AE2AE-9491-48be-B2B4-4EB974FC3084}">
      <x14:pivotCacheDefinition pivotCacheId="90481856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965.946515162039" createdVersion="8" refreshedVersion="8" minRefreshableVersion="3" recordCount="1000" xr:uid="{00000000-000A-0000-FFFF-FFFF42000000}">
  <cacheSource type="worksheet">
    <worksheetSource name="Продажи"/>
  </cacheSource>
  <cacheFields count="23">
    <cacheField name="id чека" numFmtId="0">
      <sharedItems containsSemiMixedTypes="0" containsString="0" containsNumber="1" containsInteger="1" minValue="1" maxValue="1000"/>
    </cacheField>
    <cacheField name="id товара" numFmtId="0">
      <sharedItems containsSemiMixedTypes="0" containsString="0" containsNumber="1" containsInteger="1" minValue="1" maxValue="499"/>
    </cacheField>
    <cacheField name="цена за шт в рублях" numFmtId="0">
      <sharedItems containsSemiMixedTypes="0" containsString="0" containsNumber="1" containsInteger="1" minValue="50" maxValue="500"/>
    </cacheField>
    <cacheField name="кол-во штук в чеке" numFmtId="0">
      <sharedItems containsSemiMixedTypes="0" containsString="0" containsNumber="1" containsInteger="1" minValue="1" maxValue="5"/>
    </cacheField>
    <cacheField name="сумма чека" numFmtId="3">
      <sharedItems containsSemiMixedTypes="0" containsString="0" containsNumber="1" containsInteger="1" minValue="250" maxValue="12475"/>
    </cacheField>
    <cacheField name="дата создания чека" numFmtId="14">
      <sharedItems containsSemiMixedTypes="0" containsNonDate="0" containsDate="1" containsString="0" minDate="2023-01-01T00:00:00" maxDate="2024-05-23T00:00:00" count="436">
        <d v="2023-09-18T00:00:00"/>
        <d v="2023-06-06T00:00:00"/>
        <d v="2024-03-12T00:00:00"/>
        <d v="2023-12-02T00:00:00"/>
        <d v="2023-08-13T00:00:00"/>
        <d v="2023-12-21T00:00:00"/>
        <d v="2024-02-27T00:00:00"/>
        <d v="2024-02-05T00:00:00"/>
        <d v="2024-03-25T00:00:00"/>
        <d v="2023-04-16T00:00:00"/>
        <d v="2023-07-29T00:00:00"/>
        <d v="2024-04-12T00:00:00"/>
        <d v="2023-12-06T00:00:00"/>
        <d v="2023-07-26T00:00:00"/>
        <d v="2023-02-15T00:00:00"/>
        <d v="2023-02-23T00:00:00"/>
        <d v="2023-10-17T00:00:00"/>
        <d v="2023-07-09T00:00:00"/>
        <d v="2023-05-12T00:00:00"/>
        <d v="2023-08-20T00:00:00"/>
        <d v="2023-11-14T00:00:00"/>
        <d v="2023-07-16T00:00:00"/>
        <d v="2023-04-11T00:00:00"/>
        <d v="2023-02-09T00:00:00"/>
        <d v="2024-02-04T00:00:00"/>
        <d v="2023-09-05T00:00:00"/>
        <d v="2023-06-22T00:00:00"/>
        <d v="2024-03-17T00:00:00"/>
        <d v="2023-04-24T00:00:00"/>
        <d v="2024-05-02T00:00:00"/>
        <d v="2023-07-18T00:00:00"/>
        <d v="2024-03-01T00:00:00"/>
        <d v="2023-03-12T00:00:00"/>
        <d v="2023-12-07T00:00:00"/>
        <d v="2024-03-30T00:00:00"/>
        <d v="2023-02-14T00:00:00"/>
        <d v="2023-01-21T00:00:00"/>
        <d v="2023-07-22T00:00:00"/>
        <d v="2024-04-24T00:00:00"/>
        <d v="2023-07-10T00:00:00"/>
        <d v="2023-09-25T00:00:00"/>
        <d v="2023-09-27T00:00:00"/>
        <d v="2023-06-27T00:00:00"/>
        <d v="2023-11-04T00:00:00"/>
        <d v="2024-04-05T00:00:00"/>
        <d v="2023-02-19T00:00:00"/>
        <d v="2023-05-17T00:00:00"/>
        <d v="2023-10-09T00:00:00"/>
        <d v="2024-04-16T00:00:00"/>
        <d v="2023-11-09T00:00:00"/>
        <d v="2023-06-03T00:00:00"/>
        <d v="2024-01-17T00:00:00"/>
        <d v="2023-11-16T00:00:00"/>
        <d v="2024-03-05T00:00:00"/>
        <d v="2024-04-18T00:00:00"/>
        <d v="2023-10-15T00:00:00"/>
        <d v="2024-05-11T00:00:00"/>
        <d v="2023-02-24T00:00:00"/>
        <d v="2023-11-15T00:00:00"/>
        <d v="2023-01-08T00:00:00"/>
        <d v="2023-12-20T00:00:00"/>
        <d v="2023-07-07T00:00:00"/>
        <d v="2023-02-16T00:00:00"/>
        <d v="2023-03-04T00:00:00"/>
        <d v="2023-12-27T00:00:00"/>
        <d v="2023-02-18T00:00:00"/>
        <d v="2023-04-30T00:00:00"/>
        <d v="2023-03-15T00:00:00"/>
        <d v="2024-01-15T00:00:00"/>
        <d v="2023-03-08T00:00:00"/>
        <d v="2024-03-09T00:00:00"/>
        <d v="2023-01-04T00:00:00"/>
        <d v="2024-01-25T00:00:00"/>
        <d v="2023-07-02T00:00:00"/>
        <d v="2024-01-11T00:00:00"/>
        <d v="2023-08-26T00:00:00"/>
        <d v="2023-01-20T00:00:00"/>
        <d v="2023-09-04T00:00:00"/>
        <d v="2023-03-19T00:00:00"/>
        <d v="2023-12-12T00:00:00"/>
        <d v="2023-01-13T00:00:00"/>
        <d v="2023-09-20T00:00:00"/>
        <d v="2023-06-02T00:00:00"/>
        <d v="2023-01-01T00:00:00"/>
        <d v="2023-10-27T00:00:00"/>
        <d v="2024-04-06T00:00:00"/>
        <d v="2024-05-12T00:00:00"/>
        <d v="2023-09-14T00:00:00"/>
        <d v="2023-10-19T00:00:00"/>
        <d v="2023-12-30T00:00:00"/>
        <d v="2023-11-05T00:00:00"/>
        <d v="2023-09-28T00:00:00"/>
        <d v="2023-01-16T00:00:00"/>
        <d v="2023-05-31T00:00:00"/>
        <d v="2024-02-09T00:00:00"/>
        <d v="2023-10-11T00:00:00"/>
        <d v="2023-06-05T00:00:00"/>
        <d v="2023-09-02T00:00:00"/>
        <d v="2023-11-29T00:00:00"/>
        <d v="2023-06-18T00:00:00"/>
        <d v="2023-04-17T00:00:00"/>
        <d v="2023-12-25T00:00:00"/>
        <d v="2023-03-28T00:00:00"/>
        <d v="2023-04-23T00:00:00"/>
        <d v="2023-12-17T00:00:00"/>
        <d v="2023-09-07T00:00:00"/>
        <d v="2023-01-22T00:00:00"/>
        <d v="2023-02-02T00:00:00"/>
        <d v="2023-11-11T00:00:00"/>
        <d v="2024-02-16T00:00:00"/>
        <d v="2024-02-21T00:00:00"/>
        <d v="2023-02-03T00:00:00"/>
        <d v="2024-05-21T00:00:00"/>
        <d v="2024-01-22T00:00:00"/>
        <d v="2024-03-10T00:00:00"/>
        <d v="2023-04-09T00:00:00"/>
        <d v="2024-03-28T00:00:00"/>
        <d v="2023-11-30T00:00:00"/>
        <d v="2023-03-24T00:00:00"/>
        <d v="2023-04-13T00:00:00"/>
        <d v="2024-04-02T00:00:00"/>
        <d v="2024-01-23T00:00:00"/>
        <d v="2024-05-22T00:00:00"/>
        <d v="2023-04-22T00:00:00"/>
        <d v="2023-05-24T00:00:00"/>
        <d v="2023-07-03T00:00:00"/>
        <d v="2024-03-21T00:00:00"/>
        <d v="2024-02-14T00:00:00"/>
        <d v="2023-08-29T00:00:00"/>
        <d v="2023-05-23T00:00:00"/>
        <d v="2023-06-26T00:00:00"/>
        <d v="2023-12-04T00:00:00"/>
        <d v="2024-01-19T00:00:00"/>
        <d v="2023-03-05T00:00:00"/>
        <d v="2023-09-16T00:00:00"/>
        <d v="2023-08-15T00:00:00"/>
        <d v="2023-06-29T00:00:00"/>
        <d v="2023-05-05T00:00:00"/>
        <d v="2023-06-04T00:00:00"/>
        <d v="2023-03-27T00:00:00"/>
        <d v="2023-03-06T00:00:00"/>
        <d v="2023-12-23T00:00:00"/>
        <d v="2023-12-31T00:00:00"/>
        <d v="2023-10-03T00:00:00"/>
        <d v="2023-01-23T00:00:00"/>
        <d v="2024-04-30T00:00:00"/>
        <d v="2023-04-25T00:00:00"/>
        <d v="2024-02-19T00:00:00"/>
        <d v="2023-12-29T00:00:00"/>
        <d v="2023-09-06T00:00:00"/>
        <d v="2024-03-18T00:00:00"/>
        <d v="2024-03-02T00:00:00"/>
        <d v="2024-05-01T00:00:00"/>
        <d v="2023-08-27T00:00:00"/>
        <d v="2024-02-03T00:00:00"/>
        <d v="2023-10-13T00:00:00"/>
        <d v="2023-11-23T00:00:00"/>
        <d v="2024-05-09T00:00:00"/>
        <d v="2024-04-29T00:00:00"/>
        <d v="2024-01-18T00:00:00"/>
        <d v="2023-06-07T00:00:00"/>
        <d v="2023-02-12T00:00:00"/>
        <d v="2023-12-16T00:00:00"/>
        <d v="2024-03-29T00:00:00"/>
        <d v="2023-09-24T00:00:00"/>
        <d v="2024-02-13T00:00:00"/>
        <d v="2023-11-25T00:00:00"/>
        <d v="2023-02-10T00:00:00"/>
        <d v="2023-03-25T00:00:00"/>
        <d v="2023-09-09T00:00:00"/>
        <d v="2023-11-21T00:00:00"/>
        <d v="2023-04-03T00:00:00"/>
        <d v="2023-02-26T00:00:00"/>
        <d v="2023-04-15T00:00:00"/>
        <d v="2023-06-15T00:00:00"/>
        <d v="2023-06-28T00:00:00"/>
        <d v="2023-12-05T00:00:00"/>
        <d v="2023-07-01T00:00:00"/>
        <d v="2024-03-20T00:00:00"/>
        <d v="2023-04-06T00:00:00"/>
        <d v="2023-04-02T00:00:00"/>
        <d v="2023-12-22T00:00:00"/>
        <d v="2023-10-25T00:00:00"/>
        <d v="2023-09-26T00:00:00"/>
        <d v="2023-08-01T00:00:00"/>
        <d v="2023-05-30T00:00:00"/>
        <d v="2023-03-20T00:00:00"/>
        <d v="2024-02-29T00:00:00"/>
        <d v="2024-05-18T00:00:00"/>
        <d v="2024-05-15T00:00:00"/>
        <d v="2024-04-27T00:00:00"/>
        <d v="2023-08-09T00:00:00"/>
        <d v="2023-03-11T00:00:00"/>
        <d v="2024-04-14T00:00:00"/>
        <d v="2023-05-13T00:00:00"/>
        <d v="2023-03-02T00:00:00"/>
        <d v="2024-03-14T00:00:00"/>
        <d v="2024-01-31T00:00:00"/>
        <d v="2023-05-11T00:00:00"/>
        <d v="2023-03-26T00:00:00"/>
        <d v="2023-04-12T00:00:00"/>
        <d v="2023-03-21T00:00:00"/>
        <d v="2024-01-09T00:00:00"/>
        <d v="2023-01-25T00:00:00"/>
        <d v="2024-04-23T00:00:00"/>
        <d v="2023-02-04T00:00:00"/>
        <d v="2023-01-07T00:00:00"/>
        <d v="2023-12-01T00:00:00"/>
        <d v="2024-02-07T00:00:00"/>
        <d v="2024-02-15T00:00:00"/>
        <d v="2023-04-29T00:00:00"/>
        <d v="2023-08-19T00:00:00"/>
        <d v="2023-01-19T00:00:00"/>
        <d v="2023-08-04T00:00:00"/>
        <d v="2023-04-21T00:00:00"/>
        <d v="2023-11-20T00:00:00"/>
        <d v="2024-05-04T00:00:00"/>
        <d v="2023-09-30T00:00:00"/>
        <d v="2023-08-28T00:00:00"/>
        <d v="2023-07-19T00:00:00"/>
        <d v="2024-04-09T00:00:00"/>
        <d v="2024-04-10T00:00:00"/>
        <d v="2024-03-11T00:00:00"/>
        <d v="2023-03-16T00:00:00"/>
        <d v="2023-01-17T00:00:00"/>
        <d v="2023-02-28T00:00:00"/>
        <d v="2024-02-01T00:00:00"/>
        <d v="2024-01-08T00:00:00"/>
        <d v="2023-05-21T00:00:00"/>
        <d v="2023-06-30T00:00:00"/>
        <d v="2023-02-27T00:00:00"/>
        <d v="2023-09-23T00:00:00"/>
        <d v="2023-01-10T00:00:00"/>
        <d v="2023-08-30T00:00:00"/>
        <d v="2023-01-29T00:00:00"/>
        <d v="2024-01-06T00:00:00"/>
        <d v="2023-10-23T00:00:00"/>
        <d v="2023-10-12T00:00:00"/>
        <d v="2023-09-15T00:00:00"/>
        <d v="2023-05-18T00:00:00"/>
        <d v="2023-11-28T00:00:00"/>
        <d v="2023-12-19T00:00:00"/>
        <d v="2023-06-10T00:00:00"/>
        <d v="2024-03-19T00:00:00"/>
        <d v="2023-11-13T00:00:00"/>
        <d v="2024-03-15T00:00:00"/>
        <d v="2023-06-25T00:00:00"/>
        <d v="2023-08-23T00:00:00"/>
        <d v="2023-09-13T00:00:00"/>
        <d v="2023-10-28T00:00:00"/>
        <d v="2023-11-02T00:00:00"/>
        <d v="2023-06-14T00:00:00"/>
        <d v="2024-02-28T00:00:00"/>
        <d v="2024-02-24T00:00:00"/>
        <d v="2023-01-12T00:00:00"/>
        <d v="2023-04-20T00:00:00"/>
        <d v="2023-10-18T00:00:00"/>
        <d v="2024-01-01T00:00:00"/>
        <d v="2024-04-03T00:00:00"/>
        <d v="2023-05-08T00:00:00"/>
        <d v="2023-12-14T00:00:00"/>
        <d v="2023-01-06T00:00:00"/>
        <d v="2024-03-23T00:00:00"/>
        <d v="2023-05-29T00:00:00"/>
        <d v="2023-08-22T00:00:00"/>
        <d v="2023-07-25T00:00:00"/>
        <d v="2023-06-21T00:00:00"/>
        <d v="2023-10-08T00:00:00"/>
        <d v="2023-05-06T00:00:00"/>
        <d v="2023-02-25T00:00:00"/>
        <d v="2024-02-18T00:00:00"/>
        <d v="2023-11-24T00:00:00"/>
        <d v="2024-02-20T00:00:00"/>
        <d v="2024-03-22T00:00:00"/>
        <d v="2024-02-10T00:00:00"/>
        <d v="2024-03-24T00:00:00"/>
        <d v="2023-01-02T00:00:00"/>
        <d v="2023-11-01T00:00:00"/>
        <d v="2023-07-17T00:00:00"/>
        <d v="2023-08-07T00:00:00"/>
        <d v="2024-02-26T00:00:00"/>
        <d v="2023-11-03T00:00:00"/>
        <d v="2023-10-06T00:00:00"/>
        <d v="2024-03-06T00:00:00"/>
        <d v="2023-01-28T00:00:00"/>
        <d v="2023-03-01T00:00:00"/>
        <d v="2023-01-05T00:00:00"/>
        <d v="2023-09-29T00:00:00"/>
        <d v="2024-03-26T00:00:00"/>
        <d v="2023-05-28T00:00:00"/>
        <d v="2023-07-13T00:00:00"/>
        <d v="2023-05-20T00:00:00"/>
        <d v="2023-10-07T00:00:00"/>
        <d v="2024-05-13T00:00:00"/>
        <d v="2023-11-26T00:00:00"/>
        <d v="2023-03-22T00:00:00"/>
        <d v="2023-01-09T00:00:00"/>
        <d v="2023-03-23T00:00:00"/>
        <d v="2023-10-20T00:00:00"/>
        <d v="2024-01-21T00:00:00"/>
        <d v="2024-04-28T00:00:00"/>
        <d v="2024-05-08T00:00:00"/>
        <d v="2023-10-14T00:00:00"/>
        <d v="2023-08-18T00:00:00"/>
        <d v="2023-04-05T00:00:00"/>
        <d v="2023-12-11T00:00:00"/>
        <d v="2024-04-26T00:00:00"/>
        <d v="2023-09-19T00:00:00"/>
        <d v="2023-03-18T00:00:00"/>
        <d v="2023-06-17T00:00:00"/>
        <d v="2024-01-13T00:00:00"/>
        <d v="2024-04-07T00:00:00"/>
        <d v="2023-06-01T00:00:00"/>
        <d v="2024-04-25T00:00:00"/>
        <d v="2024-02-22T00:00:00"/>
        <d v="2023-07-24T00:00:00"/>
        <d v="2024-01-10T00:00:00"/>
        <d v="2024-03-08T00:00:00"/>
        <d v="2023-08-17T00:00:00"/>
        <d v="2023-11-17T00:00:00"/>
        <d v="2024-03-31T00:00:00"/>
        <d v="2024-01-26T00:00:00"/>
        <d v="2023-12-09T00:00:00"/>
        <d v="2024-03-13T00:00:00"/>
        <d v="2023-02-08T00:00:00"/>
        <d v="2023-03-31T00:00:00"/>
        <d v="2024-01-20T00:00:00"/>
        <d v="2023-09-08T00:00:00"/>
        <d v="2023-12-24T00:00:00"/>
        <d v="2023-07-14T00:00:00"/>
        <d v="2024-04-15T00:00:00"/>
        <d v="2023-03-17T00:00:00"/>
        <d v="2023-05-01T00:00:00"/>
        <d v="2024-02-08T00:00:00"/>
        <d v="2023-10-04T00:00:00"/>
        <d v="2024-03-04T00:00:00"/>
        <d v="2024-03-27T00:00:00"/>
        <d v="2024-04-04T00:00:00"/>
        <d v="2023-09-17T00:00:00"/>
        <d v="2023-05-27T00:00:00"/>
        <d v="2023-12-03T00:00:00"/>
        <d v="2023-08-08T00:00:00"/>
        <d v="2023-01-24T00:00:00"/>
        <d v="2023-04-07T00:00:00"/>
        <d v="2023-07-30T00:00:00"/>
        <d v="2023-09-12T00:00:00"/>
        <d v="2023-06-11T00:00:00"/>
        <d v="2023-02-01T00:00:00"/>
        <d v="2023-07-05T00:00:00"/>
        <d v="2023-05-09T00:00:00"/>
        <d v="2023-12-18T00:00:00"/>
        <d v="2024-04-20T00:00:00"/>
        <d v="2023-09-22T00:00:00"/>
        <d v="2023-05-15T00:00:00"/>
        <d v="2023-03-14T00:00:00"/>
        <d v="2024-04-11T00:00:00"/>
        <d v="2024-01-27T00:00:00"/>
        <d v="2023-05-07T00:00:00"/>
        <d v="2024-04-22T00:00:00"/>
        <d v="2023-08-10T00:00:00"/>
        <d v="2024-05-17T00:00:00"/>
        <d v="2023-10-24T00:00:00"/>
        <d v="2024-03-07T00:00:00"/>
        <d v="2023-01-03T00:00:00"/>
        <d v="2023-02-22T00:00:00"/>
        <d v="2023-08-12T00:00:00"/>
        <d v="2023-03-29T00:00:00"/>
        <d v="2023-07-06T00:00:00"/>
        <d v="2024-01-04T00:00:00"/>
        <d v="2023-12-26T00:00:00"/>
        <d v="2023-12-28T00:00:00"/>
        <d v="2024-02-02T00:00:00"/>
        <d v="2023-06-09T00:00:00"/>
        <d v="2024-05-03T00:00:00"/>
        <d v="2024-01-02T00:00:00"/>
        <d v="2023-08-02T00:00:00"/>
        <d v="2023-08-05T00:00:00"/>
        <d v="2023-10-30T00:00:00"/>
        <d v="2023-01-18T00:00:00"/>
        <d v="2024-05-19T00:00:00"/>
        <d v="2024-01-24T00:00:00"/>
        <d v="2023-07-15T00:00:00"/>
        <d v="2023-04-04T00:00:00"/>
        <d v="2023-03-07T00:00:00"/>
        <d v="2024-01-05T00:00:00"/>
        <d v="2023-02-07T00:00:00"/>
        <d v="2023-04-01T00:00:00"/>
        <d v="2024-05-10T00:00:00"/>
        <d v="2023-06-23T00:00:00"/>
        <d v="2023-08-06T00:00:00"/>
        <d v="2023-07-27T00:00:00"/>
        <d v="2023-05-19T00:00:00"/>
        <d v="2024-01-12T00:00:00"/>
        <d v="2023-04-18T00:00:00"/>
        <d v="2024-04-08T00:00:00"/>
        <d v="2023-11-07T00:00:00"/>
        <d v="2023-05-16T00:00:00"/>
        <d v="2024-01-07T00:00:00"/>
        <d v="2023-05-10T00:00:00"/>
        <d v="2024-02-11T00:00:00"/>
        <d v="2023-08-25T00:00:00"/>
        <d v="2023-11-06T00:00:00"/>
        <d v="2023-10-31T00:00:00"/>
        <d v="2023-12-15T00:00:00"/>
        <d v="2024-01-03T00:00:00"/>
        <d v="2024-05-07T00:00:00"/>
        <d v="2023-07-21T00:00:00"/>
        <d v="2024-01-28T00:00:00"/>
        <d v="2024-04-13T00:00:00"/>
        <d v="2023-08-21T00:00:00"/>
        <d v="2023-05-14T00:00:00"/>
        <d v="2023-06-16T00:00:00"/>
        <d v="2023-08-16T00:00:00"/>
        <d v="2024-01-29T00:00:00"/>
        <d v="2023-07-28T00:00:00"/>
        <d v="2023-05-04T00:00:00"/>
        <d v="2023-11-10T00:00:00"/>
        <d v="2023-07-04T00:00:00"/>
        <d v="2023-02-13T00:00:00"/>
        <d v="2024-04-19T00:00:00"/>
        <d v="2023-01-11T00:00:00"/>
        <d v="2023-04-14T00:00:00"/>
        <d v="2023-06-24T00:00:00"/>
        <d v="2023-02-05T00:00:00"/>
        <d v="2024-02-17T00:00:00"/>
        <d v="2023-04-10T00:00:00"/>
        <d v="2023-06-20T00:00:00"/>
        <d v="2023-11-08T00:00:00"/>
        <d v="2023-05-26T00:00:00"/>
        <d v="2023-11-22T00:00:00"/>
        <d v="2023-07-31T00:00:00"/>
        <d v="2023-01-14T00:00:00"/>
        <d v="2023-11-19T00:00:00"/>
        <d v="2023-03-10T00:00:00"/>
        <d v="2023-12-13T00:00:00"/>
        <d v="2023-11-18T00:00:00"/>
      </sharedItems>
      <fieldGroup par="22"/>
    </cacheField>
    <cacheField name="магазин покупки" numFmtId="0">
      <sharedItems count="20">
        <s v="Бристоль"/>
        <s v="Дикси"/>
        <s v="Городской Супермаркет"/>
        <s v="Верный"/>
        <s v="Спар"/>
        <s v="Карусель"/>
        <s v="Мираторг"/>
        <s v="Мосмарт"/>
        <s v="Перекресток"/>
        <s v="Гиперглобус"/>
        <s v="Лента"/>
        <s v="Метро"/>
        <s v="Билла"/>
        <s v="Пятерочка"/>
        <s v="О'кей"/>
        <s v="Ароматный Мир"/>
        <s v="Магнит"/>
        <s v="Седьмой Континент"/>
        <s v="Ашан"/>
        <s v="Азбука Вкуса"/>
      </sharedItems>
    </cacheField>
    <cacheField name="id клиента" numFmtId="0">
      <sharedItems containsSemiMixedTypes="0" containsString="0" containsNumber="1" containsInteger="1" minValue="1" maxValue="499"/>
    </cacheField>
    <cacheField name="Категория" numFmtId="0">
      <sharedItems count="20">
        <s v="Сахар"/>
        <s v="Соль"/>
        <s v="Печенье"/>
        <s v="Макароны"/>
        <s v="Овощи"/>
        <s v="Сок"/>
        <s v="Рыба"/>
        <s v="Кофе"/>
        <s v="Чай"/>
        <s v="Йогурт"/>
        <s v="Мясо"/>
        <s v="Сыр"/>
        <s v="Фрукты"/>
        <s v="Рис"/>
        <s v="Чипсы"/>
        <s v="Молоко"/>
        <s v="Хлеб"/>
        <s v="Конфеты"/>
        <s v="Крупа"/>
        <s v="Колбаса"/>
      </sharedItems>
    </cacheField>
    <cacheField name="Средняя цена в категории за шт" numFmtId="165">
      <sharedItems containsSemiMixedTypes="0" containsString="0" containsNumber="1" minValue="249.02380952380952" maxValue="300.31818181818181"/>
    </cacheField>
    <cacheField name="Выгода для клиента" numFmtId="9">
      <sharedItems containsSemiMixedTypes="0" containsString="0" containsNumber="1" minValue="-0.81562185719074753" maxValue="1.0078401376804664"/>
    </cacheField>
    <cacheField name="Поставщик" numFmtId="0">
      <sharedItems count="78">
        <s v="Продимекс"/>
        <s v="Илецкая"/>
        <s v="Юбилейное"/>
        <s v="Борилла"/>
        <s v="Зеленая грядка"/>
        <s v="Фруктовый сад"/>
        <s v="Меридиан"/>
        <s v="Jacobs"/>
        <s v="Greenfield"/>
        <s v="Ростагроэкспорт"/>
        <s v="Агрокомплекс"/>
        <s v="Сладов"/>
        <s v="Сава"/>
        <s v="Экстра"/>
        <s v="Lipton"/>
        <s v="Мираторг"/>
        <s v="Паста Зара"/>
        <s v="Карат"/>
        <s v="Экзотик"/>
        <s v="Макфа"/>
        <s v="Белый Злат"/>
        <s v="President"/>
        <s v="Pringles"/>
        <s v="Простоквашино"/>
        <s v="Хлебный Дом"/>
        <s v="Овощной ряд"/>
        <s v="Санта Бремор"/>
        <s v="Рот Фронт"/>
        <s v="Добрый"/>
        <s v="Роллтон"/>
        <s v="Агро-Альянс"/>
        <s v="КДВ"/>
        <s v="Сады Придонья"/>
        <s v="Эрманн"/>
        <s v="Мистраль"/>
        <s v="Бабаевский"/>
        <s v="Белогорье"/>
        <s v="Снежана"/>
        <s v="Дарница"/>
        <s v="Черная Карта"/>
        <s v="Окраина"/>
        <s v="Домик в деревне"/>
        <s v="Дымов"/>
        <s v="Чудо"/>
        <s v="Lay's"/>
        <s v="Русский сахар"/>
        <s v="Посиделкино"/>
        <s v="Сырная долина"/>
        <s v="Тесс"/>
        <s v="Rich"/>
        <s v="Фрукты-Ягоды"/>
        <s v="Каравай"/>
        <s v="Ахмад"/>
        <s v="Беллакт"/>
        <s v="Русское море"/>
        <s v="Активиа"/>
        <s v="Гавриш"/>
        <s v="Русский Хлеб"/>
        <s v="Русская картошка"/>
        <s v="Nescafe"/>
        <s v="Балтийский берег"/>
        <s v="Националь"/>
        <s v="Hochland"/>
        <s v="Estrella"/>
        <s v="Славянская"/>
        <s v="Фруктовый Рай"/>
        <s v="Красный Октябрь"/>
        <s v="Увелка"/>
        <s v="Агросахар"/>
        <s v="Салта"/>
        <s v="Славянка"/>
        <s v="Микоян"/>
        <s v="Ярмарка"/>
        <s v="Черкизово"/>
        <s v="Вимм-Билль-Данн"/>
        <s v="Семко"/>
        <s v="Green Garden"/>
        <s v="Tchibo"/>
      </sharedItems>
    </cacheField>
    <cacheField name="Средняя цена в категории за шт по поставщику" numFmtId="167">
      <sharedItems containsSemiMixedTypes="0" containsString="0" containsNumber="1" minValue="82" maxValue="369.2"/>
    </cacheField>
    <cacheField name="Выгода по поставщикам" numFmtId="9">
      <sharedItems containsSemiMixedTypes="0" containsString="0" containsNumber="1" minValue="-0.81438202247191005" maxValue="1.2930983847283408"/>
    </cacheField>
    <cacheField name="Дата регистрации" numFmtId="14">
      <sharedItems containsSemiMixedTypes="0" containsNonDate="0" containsDate="1" containsString="0" minDate="2022-01-01T00:00:00" maxDate="2022-12-30T00:00:00"/>
    </cacheField>
    <cacheField name="Количество дней с момента регистрации" numFmtId="0">
      <sharedItems containsSemiMixedTypes="0" containsString="0" containsNumber="1" containsInteger="1" minValue="8" maxValue="866" count="535">
        <n v="440"/>
        <n v="333"/>
        <n v="521"/>
        <n v="619"/>
        <n v="574"/>
        <n v="699"/>
        <n v="611"/>
        <n v="708"/>
        <n v="692"/>
        <n v="482"/>
        <n v="738"/>
        <n v="408"/>
        <n v="339"/>
        <n v="152"/>
        <n v="302"/>
        <n v="613"/>
        <n v="223"/>
        <n v="191"/>
        <n v="402"/>
        <n v="569"/>
        <n v="395"/>
        <n v="464"/>
        <n v="313"/>
        <n v="637"/>
        <n v="390"/>
        <n v="490"/>
        <n v="716"/>
        <n v="456"/>
        <n v="721"/>
        <n v="476"/>
        <n v="495"/>
        <n v="236"/>
        <n v="460"/>
        <n v="548"/>
        <n v="264"/>
        <n v="55"/>
        <n v="362"/>
        <n v="207"/>
        <n v="503"/>
        <n v="496"/>
        <n v="581"/>
        <n v="560"/>
        <n v="269"/>
        <n v="163"/>
        <n v="433"/>
        <n v="237"/>
        <n v="632"/>
        <n v="486"/>
        <n v="459"/>
        <n v="453"/>
        <n v="592"/>
        <n v="667"/>
        <n v="439"/>
        <n v="706"/>
        <n v="364"/>
        <n v="740"/>
        <n v="154"/>
        <n v="623"/>
        <n v="159"/>
        <n v="423"/>
        <n v="712"/>
        <n v="404"/>
        <n v="91"/>
        <n v="353"/>
        <n v="626"/>
        <n v="143"/>
        <n v="263"/>
        <n v="290"/>
        <n v="661"/>
        <n v="101"/>
        <n v="590"/>
        <n v="162"/>
        <n v="734"/>
        <n v="358"/>
        <n v="659"/>
        <n v="245"/>
        <n v="131"/>
        <n v="468"/>
        <n v="420"/>
        <n v="396"/>
        <n v="303"/>
        <n v="578"/>
        <n v="76"/>
        <n v="374"/>
        <n v="516"/>
        <n v="300"/>
        <n v="385"/>
        <n v="547"/>
        <n v="655"/>
        <n v="598"/>
        <n v="422"/>
        <n v="537"/>
        <n v="473"/>
        <n v="301"/>
        <n v="175"/>
        <n v="363"/>
        <n v="747"/>
        <n v="605"/>
        <n v="278"/>
        <n v="352"/>
        <n v="601"/>
        <n v="463"/>
        <n v="648"/>
        <n v="412"/>
        <n v="684"/>
        <n v="193"/>
        <n v="182"/>
        <n v="393"/>
        <n v="678"/>
        <n v="258"/>
        <n v="58"/>
        <n v="370"/>
        <n v="618"/>
        <n v="630"/>
        <n v="533"/>
        <n v="78"/>
        <n v="671"/>
        <n v="494"/>
        <n v="750"/>
        <n v="136"/>
        <n v="665"/>
        <n v="606"/>
        <n v="628"/>
        <n v="436"/>
        <n v="295"/>
        <n v="111"/>
        <n v="733"/>
        <n v="858"/>
        <n v="419"/>
        <n v="210"/>
        <n v="306"/>
        <n v="243"/>
        <n v="545"/>
        <n v="499"/>
        <n v="594"/>
        <n v="773"/>
        <n v="371"/>
        <n v="288"/>
        <n v="616"/>
        <n v="766"/>
        <n v="478"/>
        <n v="273"/>
        <n v="317"/>
        <n v="415"/>
        <n v="553"/>
        <n v="585"/>
        <n v="250"/>
        <n v="249"/>
        <n v="518"/>
        <n v="69"/>
        <n v="504"/>
        <n v="392"/>
        <n v="221"/>
        <n v="272"/>
        <n v="682"/>
        <n v="304"/>
        <n v="424"/>
        <n v="399"/>
        <n v="539"/>
        <n v="538"/>
        <n v="582"/>
        <n v="472"/>
        <n v="432"/>
        <n v="355"/>
        <n v="500"/>
        <n v="639"/>
        <n v="461"/>
        <n v="546"/>
        <n v="377"/>
        <n v="673"/>
        <n v="489"/>
        <n v="176"/>
        <n v="493"/>
        <n v="627"/>
        <n v="510"/>
        <n v="770"/>
        <n v="186"/>
        <n v="197"/>
        <n v="342"/>
        <n v="535"/>
        <n v="471"/>
        <n v="376"/>
        <n v="282"/>
        <n v="120"/>
        <n v="220"/>
        <n v="274"/>
        <n v="178"/>
        <n v="335"/>
        <n v="321"/>
        <n v="681"/>
        <n v="685"/>
        <n v="414"/>
        <n v="132"/>
        <n v="636"/>
        <n v="485"/>
        <n v="310"/>
        <n v="446"/>
        <n v="865"/>
        <n v="776"/>
        <n v="583"/>
        <n v="564"/>
        <n v="841"/>
        <n v="351"/>
        <n v="653"/>
        <n v="828"/>
        <n v="455"/>
        <n v="291"/>
        <n v="125"/>
        <n v="130"/>
        <n v="691"/>
        <n v="576"/>
        <n v="180"/>
        <n v="323"/>
        <n v="170"/>
        <n v="557"/>
        <n v="217"/>
        <n v="599"/>
        <n v="542"/>
        <n v="488"/>
        <n v="593"/>
        <n v="726"/>
        <n v="389"/>
        <n v="688"/>
        <n v="257"/>
        <n v="327"/>
        <n v="534"/>
        <n v="444"/>
        <n v="541"/>
        <n v="279"/>
        <n v="475"/>
        <n v="430"/>
        <n v="768"/>
        <n v="848"/>
        <n v="443"/>
        <n v="122"/>
        <n v="438"/>
        <n v="138"/>
        <n v="309"/>
        <n v="328"/>
        <n v="242"/>
        <n v="189"/>
        <n v="746"/>
        <n v="338"/>
        <n v="668"/>
        <n v="119"/>
        <n v="474"/>
        <n v="380"/>
        <n v="219"/>
        <n v="350"/>
        <n v="675"/>
        <n v="722"/>
        <n v="638"/>
        <n v="406"/>
        <n v="108"/>
        <n v="334"/>
        <n v="484"/>
        <n v="462"/>
        <n v="660"/>
        <n v="381"/>
        <n v="307"/>
        <n v="336"/>
        <n v="517"/>
        <n v="501"/>
        <n v="360"/>
        <n v="617"/>
        <n v="416"/>
        <n v="651"/>
        <n v="664"/>
        <n v="261"/>
        <n v="562"/>
        <n v="213"/>
        <n v="477"/>
        <n v="271"/>
        <n v="551"/>
        <n v="359"/>
        <n v="525"/>
        <n v="75"/>
        <n v="259"/>
        <n v="466"/>
        <n v="709"/>
        <n v="372"/>
        <n v="394"/>
        <n v="294"/>
        <n v="693"/>
        <n v="246"/>
        <n v="723"/>
        <n v="164"/>
        <n v="275"/>
        <n v="663"/>
        <n v="410"/>
        <n v="201"/>
        <n v="149"/>
        <n v="577"/>
        <n v="579"/>
        <n v="345"/>
        <n v="530"/>
        <n v="70"/>
        <n v="280"/>
        <n v="212"/>
        <n v="71"/>
        <n v="118"/>
        <n v="325"/>
        <n v="719"/>
        <n v="398"/>
        <n v="177"/>
        <n v="772"/>
        <n v="552"/>
        <n v="649"/>
        <n v="672"/>
        <n v="752"/>
        <n v="66"/>
        <n v="454"/>
        <n v="479"/>
        <n v="502"/>
        <n v="515"/>
        <n v="657"/>
        <n v="656"/>
        <n v="357"/>
        <n v="745"/>
        <n v="531"/>
        <n v="483"/>
        <n v="427"/>
        <n v="491"/>
        <n v="96"/>
        <n v="187"/>
        <n v="411"/>
        <n v="603"/>
        <n v="505"/>
        <n v="266"/>
        <n v="253"/>
        <n v="379"/>
        <n v="735"/>
        <n v="513"/>
        <n v="265"/>
        <n v="229"/>
        <n v="314"/>
        <n v="230"/>
        <n v="559"/>
        <n v="554"/>
        <n v="128"/>
        <n v="340"/>
        <n v="409"/>
        <n v="316"/>
        <n v="696"/>
        <n v="785"/>
        <n v="276"/>
        <n v="346"/>
        <n v="109"/>
        <n v="806"/>
        <n v="127"/>
        <n v="571"/>
        <n v="526"/>
        <n v="549"/>
        <n v="710"/>
        <n v="522"/>
        <n v="508"/>
        <n v="161"/>
        <n v="492"/>
        <n v="720"/>
        <n v="635"/>
        <n v="448"/>
        <n v="543"/>
        <n v="634"/>
        <n v="780"/>
        <n v="586"/>
        <n v="568"/>
        <n v="287"/>
        <n v="299"/>
        <n v="413"/>
        <n v="405"/>
        <n v="607"/>
        <n v="674"/>
        <n v="480"/>
        <n v="767"/>
        <n v="260"/>
        <n v="498"/>
        <n v="690"/>
        <n v="567"/>
        <n v="429"/>
        <n v="435"/>
        <n v="224"/>
        <n v="252"/>
        <n v="428"/>
        <n v="64"/>
        <n v="235"/>
        <n v="347"/>
        <n v="386"/>
        <n v="451"/>
        <n v="855"/>
        <n v="104"/>
        <n v="441"/>
        <n v="238"/>
        <n v="725"/>
        <n v="254"/>
        <n v="375"/>
        <n v="447"/>
        <n v="695"/>
        <n v="281"/>
        <n v="834"/>
        <n v="329"/>
        <n v="555"/>
        <n v="512"/>
        <n v="856"/>
        <n v="61"/>
        <n v="169"/>
        <n v="643"/>
        <n v="167"/>
        <n v="544"/>
        <n v="646"/>
        <n v="497"/>
        <n v="366"/>
        <n v="669"/>
        <n v="95"/>
        <n v="100"/>
        <n v="198"/>
        <n v="228"/>
        <n v="743"/>
        <n v="92"/>
        <n v="591"/>
        <n v="558"/>
        <n v="88"/>
        <n v="387"/>
        <n v="509"/>
        <n v="759"/>
        <n v="556"/>
        <n v="796"/>
        <n v="707"/>
        <n v="588"/>
        <n v="604"/>
        <n v="612"/>
        <n v="247"/>
        <n v="369"/>
        <n v="565"/>
        <n v="361"/>
        <n v="211"/>
        <n v="609"/>
        <n v="524"/>
        <n v="202"/>
        <n v="470"/>
        <n v="866"/>
        <n v="452"/>
        <n v="67"/>
        <n v="268"/>
        <n v="126"/>
        <n v="532"/>
        <n v="330"/>
        <n v="349"/>
        <n v="344"/>
        <n v="156"/>
        <n v="615"/>
        <n v="203"/>
        <n v="218"/>
        <n v="481"/>
        <n v="373"/>
        <n v="391"/>
        <n v="293"/>
        <n v="529"/>
        <n v="216"/>
        <n v="610"/>
        <n v="196"/>
        <n v="520"/>
        <n v="232"/>
        <n v="322"/>
        <n v="426"/>
        <n v="72"/>
        <n v="417"/>
        <n v="739"/>
        <n v="292"/>
        <n v="286"/>
        <n v="469"/>
        <n v="458"/>
        <n v="155"/>
        <n v="311"/>
        <n v="587"/>
        <n v="645"/>
        <n v="174"/>
        <n v="84"/>
        <n v="467"/>
        <n v="795"/>
        <n v="270"/>
        <n v="312"/>
        <n v="640"/>
        <n v="676"/>
        <n v="115"/>
        <n v="595"/>
        <n v="222"/>
        <n v="658"/>
        <n v="608"/>
        <n v="812"/>
        <n v="184"/>
        <n v="256"/>
        <n v="179"/>
        <n v="775"/>
        <n v="326"/>
        <n v="575"/>
        <n v="644"/>
        <n v="239"/>
        <n v="434"/>
        <n v="596"/>
        <n v="573"/>
        <n v="437"/>
        <n v="536"/>
        <n v="285"/>
        <n v="621"/>
        <n v="80"/>
        <n v="511"/>
        <n v="614"/>
        <n v="102"/>
        <n v="8"/>
        <n v="157"/>
        <n v="724"/>
        <n v="597"/>
        <n v="367"/>
        <n v="566"/>
        <n v="226"/>
        <n v="124"/>
        <n v="589"/>
        <n v="631"/>
        <n v="786"/>
        <n v="296"/>
        <n v="523"/>
        <n v="356"/>
        <n v="68"/>
        <n v="43"/>
        <n v="388"/>
        <n v="383"/>
        <n v="331"/>
        <n v="487"/>
        <n v="332"/>
        <n v="214"/>
        <n v="778"/>
        <n v="267"/>
        <n v="48"/>
        <n v="680"/>
        <n v="702"/>
      </sharedItems>
      <fieldGroup base="15">
        <rangePr startNum="8" endNum="866" groupInterval="100"/>
        <groupItems count="11">
          <s v="&lt;8"/>
          <s v="8-107"/>
          <s v="108-207"/>
          <s v="208-307"/>
          <s v="308-407"/>
          <s v="408-507"/>
          <s v="508-607"/>
          <s v="608-707"/>
          <s v="708-807"/>
          <s v="808-907"/>
          <s v="&gt;908"/>
        </groupItems>
      </fieldGroup>
    </cacheField>
    <cacheField name="Страна" numFmtId="0">
      <sharedItems count="6">
        <s v="Узбекистан"/>
        <s v="Беларусь"/>
        <s v="Россия"/>
        <s v="Украина"/>
        <s v="Таджикистан"/>
        <e v="#N/A" u="1"/>
      </sharedItems>
    </cacheField>
    <cacheField name="ID уникальный" numFmtId="0">
      <sharedItems containsSemiMixedTypes="0" containsString="0" containsNumber="1" containsInteger="1" minValue="0" maxValue="1" count="2">
        <n v="1"/>
        <n v="0"/>
      </sharedItems>
    </cacheField>
    <cacheField name="участие в программе лояльности" numFmtId="0">
      <sharedItems count="2">
        <s v="да"/>
        <s v="нет"/>
      </sharedItems>
    </cacheField>
    <cacheField name="лайфтайм клиента" numFmtId="1">
      <sharedItems containsSemiMixedTypes="0" containsString="0" containsNumber="1" minValue="1.9055441478439425" maxValue="28.451745379876797" count="307">
        <n v="20.402464065708418"/>
        <n v="10.940451745379876"/>
        <n v="17.117043121149898"/>
        <n v="21.125256673511295"/>
        <n v="18.858316221765914"/>
        <n v="23.326488706365502"/>
        <n v="20.073921971252567"/>
        <n v="23.260780287474333"/>
        <n v="22.735112936344969"/>
        <n v="17.806981519507186"/>
        <n v="15.835728952772074"/>
        <n v="24.246406570841888"/>
        <n v="15.375770020533881"/>
        <n v="11.137577002053389"/>
        <n v="6.3408624229979464"/>
        <n v="21.585215605749486"/>
        <n v="25.232032854209447"/>
        <n v="14.193018480492814"/>
        <n v="9.8891170431211499"/>
        <n v="18.759753593429156"/>
        <n v="18.694045174537987"/>
        <n v="12.97741273100616"/>
        <n v="23.687885010266939"/>
        <n v="11.498973305954825"/>
        <n v="20.928131416837783"/>
        <n v="12.813141683778234"/>
        <n v="22.702258726899384"/>
        <n v="23.523613963039015"/>
        <n v="14.981519507186858"/>
        <n v="15.638603696098563"/>
        <n v="16.361396303901437"/>
        <n v="21.15811088295688"/>
        <n v="15.112936344969199"/>
        <n v="18.004106776180699"/>
        <n v="3.3182751540041067"/>
        <n v="11.893223819301848"/>
        <n v="9.1663244353182751"/>
        <n v="10.381930184804927"/>
        <n v="16.525667351129364"/>
        <n v="20.960985626283367"/>
        <n v="19.088295687885012"/>
        <n v="18.39835728952772"/>
        <n v="16.328542094455852"/>
        <n v="14.225872689938399"/>
        <n v="21.453798767967147"/>
        <n v="25.166324435318277"/>
        <n v="14.882956878850102"/>
        <n v="19.909650924024639"/>
        <n v="23.293634496919918"/>
        <n v="14.422997946611909"/>
        <n v="23.622176591375769"/>
        <n v="11.958932238193018"/>
        <n v="24.312114989733061"/>
        <n v="20.468172484599588"/>
        <n v="7.786447638603696"/>
        <n v="13.897330595482547"/>
        <n v="23.392197125256672"/>
        <n v="15.93429158110883"/>
        <n v="16.854209445585216"/>
        <n v="22.11088295687885"/>
        <n v="20.566735112936346"/>
        <n v="19.154004106776181"/>
        <n v="19.351129363449694"/>
        <n v="9.5277207392197134"/>
        <n v="24.50924024640657"/>
        <n v="19.383983572895279"/>
        <n v="5.3223819301848048"/>
        <n v="24.114989733059549"/>
        <n v="11.761806981519507"/>
        <n v="8.0492813141683772"/>
        <n v="9.462012320328542"/>
        <n v="20.336755646817249"/>
        <n v="22.04517453798768"/>
        <n v="18.989733059548254"/>
        <n v="10.809034907597535"/>
        <n v="26.119096509240247"/>
        <n v="24.147843942505133"/>
        <n v="12.648870636550308"/>
        <n v="17.971252566735114"/>
        <n v="21.519507186858316"/>
        <n v="20.632443531827516"/>
        <n v="16.459958932238195"/>
        <n v="11.926078028747433"/>
        <n v="24.706365503080082"/>
        <n v="19.876796714579054"/>
        <n v="18.464065708418889"/>
        <n v="16.229979466119097"/>
        <n v="22.373716632443532"/>
        <n v="15.211498973305956"/>
        <n v="21.289527720739219"/>
        <n v="13.535934291581109"/>
        <n v="22.472279260780287"/>
        <n v="13.404517453798768"/>
        <n v="17.248459958932237"/>
        <n v="22.767967145790553"/>
        <n v="16.95277207392197"/>
        <n v="8.4763860369609851"/>
        <n v="1.9055441478439425"/>
        <n v="12.156057494866531"/>
        <n v="20.303901437371664"/>
        <n v="22.17659137577002"/>
        <n v="17.511293634496919"/>
        <n v="10.677618069815194"/>
        <n v="25.82340862422998"/>
        <n v="4.4681724845995889"/>
        <n v="21.848049281314168"/>
        <n v="27.400410677618069"/>
        <n v="28.123203285420946"/>
        <n v="20.205338809034906"/>
        <n v="16.164271047227928"/>
        <n v="15.737166324435318"/>
        <n v="24.082135523613964"/>
        <n v="28.188911704312115"/>
        <n v="11.564681724845997"/>
        <n v="15.145790554414784"/>
        <n v="16.788501026694046"/>
        <n v="17.905544147843944"/>
        <n v="17.478439425051334"/>
        <n v="19.515400410677618"/>
        <n v="21.716632443531829"/>
        <n v="20.238193018480494"/>
        <n v="22.866529774127311"/>
        <n v="10.414784394250514"/>
        <n v="17.938398357289529"/>
        <n v="11.367556468172484"/>
        <n v="28.451745379876797"/>
        <n v="8.5749486652977414"/>
        <n v="16.558521560574949"/>
        <n v="12.024640657084189"/>
        <n v="15.178644763860369"/>
        <n v="22.406570841889117"/>
        <n v="22.209445585215605"/>
        <n v="13.930184804928132"/>
        <n v="13.108829568788501"/>
        <n v="17.708418891170432"/>
        <n v="17.675564681724847"/>
        <n v="20.829568788501028"/>
        <n v="18.82546201232033"/>
        <n v="11.663244353182751"/>
        <n v="22.505133470225871"/>
        <n v="18.168377823408623"/>
        <n v="25.462012320328544"/>
        <n v="16.06570841889117"/>
        <n v="19.219712525667351"/>
        <n v="24.279260780287473"/>
        <n v="25.297741273100616"/>
        <n v="6.4722792607802875"/>
        <n v="22.603696098562629"/>
        <n v="18.299794661190965"/>
        <n v="17.084188911704313"/>
        <n v="15.24435318275154"/>
        <n v="15.967145790554415"/>
        <n v="5.848049281314168"/>
        <n v="15.474332648870636"/>
        <n v="11.696098562628336"/>
        <n v="11.039014373716633"/>
        <n v="22.275154004106778"/>
        <n v="23.720739219712527"/>
        <n v="25.363449691991786"/>
        <n v="14.652977412731007"/>
        <n v="28.418891170431213"/>
        <n v="25.494866529774129"/>
        <n v="18.529774127310063"/>
        <n v="28.090349075975361"/>
        <n v="12.188911704312115"/>
        <n v="14.324435318275153"/>
        <n v="19.318275154004105"/>
        <n v="4.1067761806981515"/>
        <n v="4.2710472279260783"/>
        <n v="18.562628336755647"/>
        <n v="10.611909650924025"/>
        <n v="16.032854209445585"/>
        <n v="19.482546201232033"/>
        <n v="26.480492813141684"/>
        <n v="14.390143737166325"/>
        <n v="20.139630390143736"/>
        <n v="21.782340862422998"/>
        <n v="19.022587268993838"/>
        <n v="19.581108829568787"/>
        <n v="13.273100616016427"/>
        <n v="15.605749486652977"/>
        <n v="14.127310061601642"/>
        <n v="27.860369609856264"/>
        <n v="7.3593429158110881"/>
        <n v="12.878850102669405"/>
        <n v="21.946611909650922"/>
        <n v="16.197125256673512"/>
        <n v="19.811088295687885"/>
        <n v="15.572895277207392"/>
        <n v="19.449691991786448"/>
        <n v="20.763860369609855"/>
        <n v="25.396303901437371"/>
        <n v="12.320328542094456"/>
        <n v="21.683778234086244"/>
        <n v="10.086242299794661"/>
        <n v="11.827515400410677"/>
        <n v="20.271047227926079"/>
        <n v="16.755646817248461"/>
        <n v="21.388090349075977"/>
        <n v="8.4435318275154003"/>
        <n v="21.913757700205338"/>
        <n v="13.207392197125257"/>
        <n v="18.102669404517453"/>
        <n v="11.794661190965092"/>
        <n v="15.31006160164271"/>
        <n v="23.227926078028748"/>
        <n v="12.944558521560575"/>
        <n v="11.860369609856264"/>
        <n v="16.985626283367555"/>
        <n v="13.338809034907598"/>
        <n v="23.753593429158112"/>
        <n v="9.0349075975359341"/>
        <n v="13.470225872689939"/>
        <n v="18.628336755646817"/>
        <n v="26.677618069815196"/>
        <n v="6.9650924024640659"/>
        <n v="2.3326488706365502"/>
        <n v="2.9897330595482545"/>
        <n v="12.451745379876797"/>
        <n v="11.53182751540041"/>
        <n v="19.121149897330596"/>
        <n v="21.322381930184804"/>
        <n v="22.078028747433265"/>
        <n v="14.35728952772074"/>
        <n v="21.979466119096511"/>
        <n v="10.973305954825461"/>
        <n v="24.542094455852155"/>
        <n v="11.006160164271048"/>
        <n v="18.924024640657084"/>
        <n v="16.919917864476385"/>
        <n v="18.036960985626283"/>
        <n v="24.476386036960985"/>
        <n v="15.868583162217659"/>
        <n v="16.131416837782339"/>
        <n v="13.503080082135524"/>
        <n v="16.591375770020534"/>
        <n v="8.7392197125256672"/>
        <n v="8.3121149897330593"/>
        <n v="15.770020533880903"/>
        <n v="19.679671457905545"/>
        <n v="11.728952772073923"/>
        <n v="22.143737166324435"/>
        <n v="7.523613963039014"/>
        <n v="18.201232032854211"/>
        <n v="14.55441478439425"/>
        <n v="4.2053388090349078"/>
        <n v="14.291581108829568"/>
        <n v="13.60164271047228"/>
        <n v="25.790554414784395"/>
        <n v="17.149897330595483"/>
        <n v="16.689938398357288"/>
        <n v="25.626283367556468"/>
        <n v="19.252566735112936"/>
        <n v="19.548254620123203"/>
        <n v="13.305954825462011"/>
        <n v="19.942505133470227"/>
        <n v="18.234086242299796"/>
        <n v="25.199178644763862"/>
        <n v="22.669404517453799"/>
        <n v="8.2792607802874745"/>
        <n v="25.560574948665298"/>
        <n v="5.1252566735112932"/>
        <n v="14.488706365503081"/>
        <n v="14.685831622176591"/>
        <n v="9.2320328542094447"/>
        <n v="16.821355236139631"/>
        <n v="2.0041067761806981"/>
        <n v="5.5523613963039011"/>
        <n v="17.872689938398356"/>
        <n v="17.774127310061601"/>
        <n v="23.819301848049282"/>
        <n v="17.37987679671458"/>
        <n v="3.1211498973305956"/>
        <n v="12.780287474332649"/>
        <n v="9.4291581108829572"/>
        <n v="20.008213552361397"/>
        <n v="24.410677618069816"/>
        <n v="19.613963039014372"/>
        <n v="26.151950718685832"/>
        <n v="17.215605749486652"/>
        <n v="19.843942505133469"/>
        <n v="14.094455852156058"/>
        <n v="18.135523613963038"/>
        <n v="9.3634496919917858"/>
        <n v="22.965092402464066"/>
        <n v="10.184804928131417"/>
        <n v="2.3655030800821355"/>
        <n v="16.262833675564682"/>
        <n v="15.047227926078028"/>
        <n v="13.634496919917865"/>
        <n v="19.285420944558521"/>
        <n v="21.190965092402465"/>
        <n v="20.862422997946613"/>
        <n v="21.026694045174537"/>
        <n v="3.7782340862422998"/>
        <n v="19.975359342915812"/>
        <n v="14.850102669404517"/>
        <n v="9.1991786447638599"/>
        <n v="10.710472279260781"/>
        <n v="8.5420944558521565"/>
        <n v="8.8706365503080082"/>
        <n v="16"/>
        <n v="23.786447638603697"/>
        <n v="11.466119096509241"/>
        <n v="8.1806981519507183"/>
        <n v="21.650924024640656"/>
        <n v="17.839835728952771"/>
      </sharedItems>
      <fieldGroup base="19">
        <rangePr autoStart="0" autoEnd="0" startNum="1" endNum="30" groupInterval="2"/>
        <groupItems count="17">
          <s v="&lt;1"/>
          <s v="1-3"/>
          <s v="3-5"/>
          <s v="5-7"/>
          <s v="7-9"/>
          <s v="9-11"/>
          <s v="11-13"/>
          <s v="13-15"/>
          <s v="15-17"/>
          <s v="17-19"/>
          <s v="19-21"/>
          <s v="21-23"/>
          <s v="23-25"/>
          <s v="25-27"/>
          <s v="27-29"/>
          <s v="29-31"/>
          <s v="&gt;31"/>
        </groupItems>
      </fieldGroup>
    </cacheField>
    <cacheField name="Месяцы (дата создания чека)" numFmtId="0" databaseField="0">
      <fieldGroup base="5">
        <rangePr groupBy="months" startDate="2023-01-01T00:00:00" endDate="2024-05-23T00:00:00"/>
        <groupItems count="14">
          <s v="&lt;01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23.05.2024"/>
        </groupItems>
      </fieldGroup>
    </cacheField>
    <cacheField name="Кварталы (дата создания чека)" numFmtId="0" databaseField="0">
      <fieldGroup base="5">
        <rangePr groupBy="quarters" startDate="2023-01-01T00:00:00" endDate="2024-05-23T00:00:00"/>
        <groupItems count="6">
          <s v="&lt;01.01.2023"/>
          <s v="Кв-л1"/>
          <s v="Кв-л2"/>
          <s v="Кв-л3"/>
          <s v="Кв-л4"/>
          <s v="&gt;23.05.2024"/>
        </groupItems>
      </fieldGroup>
    </cacheField>
    <cacheField name="Годы (дата создания чека)" numFmtId="0" databaseField="0">
      <fieldGroup base="5">
        <rangePr groupBy="years" startDate="2023-01-01T00:00:00" endDate="2024-05-23T00:00:00"/>
        <groupItems count="4">
          <s v="&lt;01.01.2023"/>
          <s v="2023"/>
          <s v="2024"/>
          <s v="&gt;23.05.2024"/>
        </groupItems>
      </fieldGroup>
    </cacheField>
  </cacheFields>
  <extLst>
    <ext xmlns:x14="http://schemas.microsoft.com/office/spreadsheetml/2009/9/main" uri="{725AE2AE-9491-48be-B2B4-4EB974FC3084}">
      <x14:pivotCacheDefinition pivotCacheId="16759252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">
  <r>
    <n v="315"/>
    <s v="+998 469-847-6587"/>
    <s v="Фадей Ефимович Калинин"/>
    <x v="0"/>
    <d v="2022-07-05T00:00:00"/>
    <s v="+998"/>
    <x v="0"/>
    <d v="2025-05-31T00:00:00"/>
    <x v="0"/>
    <s v="Фадей Ефимович Калинин"/>
    <s v="Фадей Ефимович Калинин"/>
    <x v="0"/>
    <s v="Ефимович"/>
    <s v="Калинин"/>
  </r>
  <r>
    <n v="253"/>
    <s v="+375 796-304-7865"/>
    <s v="Вера Георгиевна Некрасова"/>
    <x v="0"/>
    <d v="2022-07-08T00:00:00"/>
    <s v="+375"/>
    <x v="1"/>
    <d v="2025-05-31T00:00:00"/>
    <x v="1"/>
    <s v="Вера Георгиевна Некрасова"/>
    <s v="Вера Георгиевна Некрасова"/>
    <x v="1"/>
    <s v="Георгиевна"/>
    <s v="Некрасова"/>
  </r>
  <r>
    <n v="12"/>
    <s v="+375 682-373-1802"/>
    <s v="Никодим Игоревич Бобров"/>
    <x v="0"/>
    <d v="2022-10-08T00:00:00"/>
    <s v="+375"/>
    <x v="1"/>
    <d v="2025-05-31T00:00:00"/>
    <x v="2"/>
    <s v="Никодим Игоревич Бобров"/>
    <s v="Никодим Игоревич Бобров"/>
    <x v="2"/>
    <s v="Игоревич"/>
    <s v="Бобров"/>
  </r>
  <r>
    <n v="116"/>
    <s v="+7 753-596-5037"/>
    <s v="Носкова Вера Федоровна"/>
    <x v="1"/>
    <d v="2022-03-23T00:00:00"/>
    <s v="+7"/>
    <x v="2"/>
    <d v="2025-05-31T00:00:00"/>
    <x v="3"/>
    <s v="Носкова Вера Федоровна"/>
    <s v="Вера Федоровна Носкова"/>
    <x v="1"/>
    <s v="Федоровна"/>
    <s v="Носкова"/>
  </r>
  <r>
    <n v="471"/>
    <s v="+380 669-437-2066"/>
    <s v="Александра Матвеевна Артемьева"/>
    <x v="0"/>
    <d v="2022-01-16T00:00:00"/>
    <s v="+380"/>
    <x v="3"/>
    <d v="2025-05-31T00:00:00"/>
    <x v="4"/>
    <s v="Александра Матвеевна Артемьева"/>
    <s v="Александра Матвеевна Артемьева"/>
    <x v="3"/>
    <s v="Матвеевна"/>
    <s v="Артемьева"/>
  </r>
  <r>
    <n v="374"/>
    <s v="+380 622-144-1703"/>
    <s v="Калинина Ирина Филипповна"/>
    <x v="1"/>
    <d v="2022-01-21T00:00:00"/>
    <s v="+380"/>
    <x v="3"/>
    <d v="2025-05-31T00:00:00"/>
    <x v="5"/>
    <s v="Калинина Ирина Филипповна"/>
    <s v="Ирина Филипповна Калинина"/>
    <x v="4"/>
    <s v="Филипповна"/>
    <s v="Калинина"/>
  </r>
  <r>
    <n v="477"/>
    <s v="+998 591-865-8342"/>
    <s v="Зоя Кирилловна Брагина"/>
    <x v="0"/>
    <d v="2022-06-26T00:00:00"/>
    <s v="+998"/>
    <x v="0"/>
    <d v="2025-05-31T00:00:00"/>
    <x v="6"/>
    <s v="Зоя Кирилловна Брагина"/>
    <s v="Зоя Кирилловна Брагина"/>
    <x v="5"/>
    <s v="Кирилловна"/>
    <s v="Брагина"/>
  </r>
  <r>
    <n v="335"/>
    <s v="+998 353-736-8172"/>
    <s v="Осипов Светозар Ефремович"/>
    <x v="1"/>
    <d v="2022-02-27T00:00:00"/>
    <s v="+998"/>
    <x v="0"/>
    <d v="2025-05-31T00:00:00"/>
    <x v="7"/>
    <s v="Осипов Светозар Ефремович"/>
    <s v="Светозар Ефремович Осипов"/>
    <x v="6"/>
    <s v="Ефремович"/>
    <s v="Осипов"/>
  </r>
  <r>
    <n v="350"/>
    <s v="+380 545-746-8707"/>
    <s v="Любовь Георгиевна Мамонтова"/>
    <x v="1"/>
    <d v="2022-05-03T00:00:00"/>
    <s v="+380"/>
    <x v="3"/>
    <d v="2025-05-31T00:00:00"/>
    <x v="8"/>
    <s v="Любовь Георгиевна Мамонтова"/>
    <s v="Любовь Георгиевна Мамонтова"/>
    <x v="7"/>
    <s v="Георгиевна"/>
    <s v="Мамонтова"/>
  </r>
  <r>
    <n v="413"/>
    <s v="+7 063-931-5918"/>
    <s v="Август Вячеславович Брагин"/>
    <x v="1"/>
    <d v="2022-05-18T00:00:00"/>
    <s v="+7"/>
    <x v="2"/>
    <d v="2025-05-31T00:00:00"/>
    <x v="9"/>
    <s v="Август Вячеславович Брагин"/>
    <s v="Август Вячеславович Брагин"/>
    <x v="8"/>
    <s v="Вячеславович"/>
    <s v="Брагин"/>
  </r>
  <r>
    <n v="495"/>
    <s v="+998 006-788-9211"/>
    <s v="Мефодий Филиппович Воробьев"/>
    <x v="0"/>
    <d v="2022-04-03T00:00:00"/>
    <s v="+998"/>
    <x v="0"/>
    <d v="2025-05-31T00:00:00"/>
    <x v="10"/>
    <s v="Мефодий Филиппович Воробьев"/>
    <s v="Мефодий Филиппович Воробьев"/>
    <x v="9"/>
    <s v="Филиппович"/>
    <s v="Воробьев"/>
  </r>
  <r>
    <n v="353"/>
    <s v="+992 863-895-4307"/>
    <s v="Гурьев Влас Юлианович"/>
    <x v="0"/>
    <d v="2022-04-05T00:00:00"/>
    <s v="+992"/>
    <x v="4"/>
    <d v="2025-05-31T00:00:00"/>
    <x v="11"/>
    <s v="Гурьев Влас Юлианович"/>
    <s v="Влас Юлианович Гурьев"/>
    <x v="10"/>
    <s v="Юлианович"/>
    <s v="Гурьев"/>
  </r>
  <r>
    <n v="332"/>
    <s v="+998 350-816-0031"/>
    <s v="Агата Юрьевна Галкина"/>
    <x v="1"/>
    <d v="2022-10-24T00:00:00"/>
    <s v="+998"/>
    <x v="0"/>
    <d v="2025-05-31T00:00:00"/>
    <x v="12"/>
    <s v="Агата Юрьевна Галкина"/>
    <s v="Агата Юрьевна Галкина"/>
    <x v="11"/>
    <s v="Юрьевна"/>
    <s v="Галкина"/>
  </r>
  <r>
    <n v="414"/>
    <s v="+375 435-951-1995"/>
    <s v="Юлия Леоновна Наумова"/>
    <x v="1"/>
    <d v="2022-08-21T00:00:00"/>
    <s v="+375"/>
    <x v="1"/>
    <d v="2025-05-31T00:00:00"/>
    <x v="13"/>
    <s v="Юлия Леоновна Наумова"/>
    <s v="Юлия Леоновна Наумова"/>
    <x v="12"/>
    <s v="Леоновна"/>
    <s v="Наумова"/>
  </r>
  <r>
    <n v="236"/>
    <s v="+998 498-706-1394"/>
    <s v="Лонгин Арсенович Никонов"/>
    <x v="0"/>
    <d v="2022-09-16T00:00:00"/>
    <s v="+998"/>
    <x v="0"/>
    <d v="2025-05-31T00:00:00"/>
    <x v="14"/>
    <s v="Лонгин Арсенович Никонов"/>
    <s v="Лонгин Арсенович Никонов"/>
    <x v="13"/>
    <s v="Арсенович"/>
    <s v="Никонов"/>
  </r>
  <r>
    <n v="164"/>
    <s v="+7 297-169-3756"/>
    <s v="Филимон Федотович Иванов"/>
    <x v="1"/>
    <d v="2022-04-27T00:00:00"/>
    <s v="+7"/>
    <x v="2"/>
    <d v="2025-05-31T00:00:00"/>
    <x v="15"/>
    <s v="Филимон Федотович Иванов"/>
    <s v="Филимон Федотович Иванов"/>
    <x v="14"/>
    <s v="Федотович"/>
    <s v="Иванов"/>
  </r>
  <r>
    <n v="490"/>
    <s v="+7 454-941-1729"/>
    <s v="Кудрявцев Демид Ерофеевич"/>
    <x v="1"/>
    <d v="2022-02-11T00:00:00"/>
    <s v="+7"/>
    <x v="2"/>
    <d v="2025-05-31T00:00:00"/>
    <x v="16"/>
    <s v="Кудрявцев Демид Ерофеевич"/>
    <s v="Демид Ерофеевич Кудрявцев"/>
    <x v="15"/>
    <s v="Ерофеевич"/>
    <s v="Кудрявцев"/>
  </r>
  <r>
    <n v="223"/>
    <s v="+380 835-708-4433"/>
    <s v="Вероника Евгеньевна Федосеева"/>
    <x v="0"/>
    <d v="2022-11-28T00:00:00"/>
    <s v="+380"/>
    <x v="3"/>
    <d v="2025-05-31T00:00:00"/>
    <x v="17"/>
    <s v="Вероника Евгеньевна Федосеева"/>
    <s v="Вероника Евгеньевна Федосеева"/>
    <x v="16"/>
    <s v="Евгеньевна"/>
    <s v="Федосеева"/>
  </r>
  <r>
    <n v="204"/>
    <s v="+7 181-799-6850"/>
    <s v="Герасимов Еремей Демидович"/>
    <x v="0"/>
    <d v="2022-11-02T00:00:00"/>
    <s v="+7"/>
    <x v="2"/>
    <d v="2025-05-31T00:00:00"/>
    <x v="18"/>
    <s v="Герасимов Еремей Демидович"/>
    <s v="Еремей Демидович Герасимов"/>
    <x v="17"/>
    <s v="Демидович"/>
    <s v="Герасимов"/>
  </r>
  <r>
    <n v="481"/>
    <s v="+375 743-922-4671"/>
    <s v="Новикова Лидия Павловна"/>
    <x v="0"/>
    <d v="2022-07-14T00:00:00"/>
    <s v="+375"/>
    <x v="1"/>
    <d v="2025-05-31T00:00:00"/>
    <x v="19"/>
    <s v="Новикова Лидия Павловна"/>
    <s v="Лидия Павловна Новикова"/>
    <x v="18"/>
    <s v="Павловна"/>
    <s v="Новикова"/>
  </r>
  <r>
    <n v="363"/>
    <s v="+998 607-517-9439"/>
    <s v="Сорокина Феврония Натановна"/>
    <x v="1"/>
    <d v="2022-04-24T00:00:00"/>
    <s v="+998"/>
    <x v="0"/>
    <d v="2025-05-31T00:00:00"/>
    <x v="20"/>
    <s v="Сорокина Феврония Натановна"/>
    <s v="Феврония Натановна Сорокина"/>
    <x v="19"/>
    <s v="Натановна"/>
    <s v="Сорокина"/>
  </r>
  <r>
    <n v="397"/>
    <s v="+375 372-396-9651"/>
    <s v="Нинель Натановна Лазарева"/>
    <x v="1"/>
    <d v="2022-06-16T00:00:00"/>
    <s v="+375"/>
    <x v="1"/>
    <d v="2025-05-31T00:00:00"/>
    <x v="21"/>
    <s v="Нинель Натановна Лазарева"/>
    <s v="Нинель Натановна Лазарева"/>
    <x v="20"/>
    <s v="Натановна"/>
    <s v="Лазарева"/>
  </r>
  <r>
    <n v="280"/>
    <s v="+7 109-995-2846"/>
    <s v="г-н Рыбаков Автоном Антонович"/>
    <x v="1"/>
    <d v="2022-01-02T00:00:00"/>
    <s v="+7"/>
    <x v="2"/>
    <d v="2025-05-31T00:00:00"/>
    <x v="22"/>
    <s v="Рыбаков Автоном Антонович"/>
    <s v="Рыбаков Автоном Антонович г-н"/>
    <x v="21"/>
    <s v="Автоном"/>
    <s v="Антонович г-н"/>
  </r>
  <r>
    <n v="39"/>
    <s v="+375 226-887-4565"/>
    <s v="Бирюков Олимпий Иосифович"/>
    <x v="0"/>
    <d v="2022-04-02T00:00:00"/>
    <s v="+375"/>
    <x v="1"/>
    <d v="2025-05-31T00:00:00"/>
    <x v="23"/>
    <s v="Бирюков Олимпий Иосифович"/>
    <s v="Олимпий Иосифович Бирюков"/>
    <x v="22"/>
    <s v="Иосифович"/>
    <s v="Бирюков"/>
  </r>
  <r>
    <n v="303"/>
    <s v="+998 222-956-9780"/>
    <s v="Чеслав Виленович Шестаков"/>
    <x v="1"/>
    <d v="2022-05-08T00:00:00"/>
    <s v="+998"/>
    <x v="0"/>
    <d v="2025-05-31T00:00:00"/>
    <x v="24"/>
    <s v="Чеслав Виленович Шестаков"/>
    <s v="Чеслав Виленович Шестаков"/>
    <x v="23"/>
    <s v="Виленович"/>
    <s v="Шестаков"/>
  </r>
  <r>
    <n v="422"/>
    <s v="+380 633-205-1404"/>
    <s v="Виноградов Карл Алексеевич"/>
    <x v="1"/>
    <d v="2022-08-11T00:00:00"/>
    <s v="+380"/>
    <x v="3"/>
    <d v="2025-05-31T00:00:00"/>
    <x v="25"/>
    <s v="Виноградов Карл Алексеевич"/>
    <s v="Карл Алексеевич Виноградов"/>
    <x v="24"/>
    <s v="Алексеевич"/>
    <s v="Виноградов"/>
  </r>
  <r>
    <n v="24"/>
    <s v="+998 525-413-6836"/>
    <s v="Кудрявцева Ульяна Филипповна"/>
    <x v="0"/>
    <d v="2022-02-17T00:00:00"/>
    <s v="+998"/>
    <x v="0"/>
    <d v="2025-05-31T00:00:00"/>
    <x v="26"/>
    <s v="Кудрявцева Ульяна Филипповна"/>
    <s v="Ульяна Филипповна Кудрявцева"/>
    <x v="25"/>
    <s v="Филипповна"/>
    <s v="Кудрявцева"/>
  </r>
  <r>
    <n v="112"/>
    <s v="+7 592-570-4871"/>
    <s v="Майя Вадимовна Рябова"/>
    <x v="1"/>
    <d v="2022-04-01T00:00:00"/>
    <s v="+7"/>
    <x v="2"/>
    <d v="2025-05-31T00:00:00"/>
    <x v="27"/>
    <s v="Майя Вадимовна Рябова"/>
    <s v="Майя Вадимовна Рябова"/>
    <x v="26"/>
    <s v="Вадимовна"/>
    <s v="Рябова"/>
  </r>
  <r>
    <n v="451"/>
    <s v="+7 321-005-5110"/>
    <s v="Лукия Ефимовна Тимофеева"/>
    <x v="0"/>
    <d v="2022-01-23T00:00:00"/>
    <s v="+7"/>
    <x v="2"/>
    <d v="2025-05-31T00:00:00"/>
    <x v="28"/>
    <s v="Лукия Ефимовна Тимофеева"/>
    <s v="Лукия Ефимовна Тимофеева"/>
    <x v="27"/>
    <s v="Ефимовна"/>
    <s v="Тимофеева"/>
  </r>
  <r>
    <n v="131"/>
    <s v="+7 899-265-0963"/>
    <s v="Полина Николаевна Евдокимова"/>
    <x v="0"/>
    <d v="2022-05-12T00:00:00"/>
    <s v="+7"/>
    <x v="2"/>
    <d v="2025-05-31T00:00:00"/>
    <x v="29"/>
    <s v="Полина Николаевна Евдокимова"/>
    <s v="Полина Николаевна Евдокимова"/>
    <x v="28"/>
    <s v="Николаевна"/>
    <s v="Евдокимова"/>
  </r>
  <r>
    <n v="160"/>
    <s v="+998 084-412-0746"/>
    <s v="Элеонора Ивановна Королева"/>
    <x v="0"/>
    <d v="2022-03-29T00:00:00"/>
    <s v="+998"/>
    <x v="0"/>
    <d v="2025-05-31T00:00:00"/>
    <x v="30"/>
    <s v="Элеонора Ивановна Королева"/>
    <s v="Элеонора Ивановна Королева"/>
    <x v="29"/>
    <s v="Ивановна"/>
    <s v="Королева"/>
  </r>
  <r>
    <n v="408"/>
    <s v="+7 630-977-5834"/>
    <s v="Юлия Вячеславовна Журавлева"/>
    <x v="1"/>
    <d v="2022-10-23T00:00:00"/>
    <s v="+7"/>
    <x v="2"/>
    <d v="2025-05-31T00:00:00"/>
    <x v="31"/>
    <s v="Юлия Вячеславовна Журавлева"/>
    <s v="Юлия Вячеславовна Журавлева"/>
    <x v="12"/>
    <s v="Вячеславовна"/>
    <s v="Журавлева"/>
  </r>
  <r>
    <n v="324"/>
    <s v="+998 752-893-8536"/>
    <s v="Алексеев Касьян Ефимович"/>
    <x v="1"/>
    <d v="2022-07-19T00:00:00"/>
    <s v="+998"/>
    <x v="0"/>
    <d v="2025-05-31T00:00:00"/>
    <x v="32"/>
    <s v="Алексеев Касьян Ефимович"/>
    <s v="Касьян Ефимович Алексеев"/>
    <x v="30"/>
    <s v="Ефимович"/>
    <s v="Алексеев"/>
  </r>
  <r>
    <n v="310"/>
    <s v="+992 349-223-5769"/>
    <s v="Феофан Гурьевич Дорофеев"/>
    <x v="1"/>
    <d v="2022-09-03T00:00:00"/>
    <s v="+992"/>
    <x v="4"/>
    <d v="2025-05-31T00:00:00"/>
    <x v="33"/>
    <s v="Феофан Гурьевич Дорофеев"/>
    <s v="Феофан Гурьевич Дорофеев"/>
    <x v="31"/>
    <s v="Гурьевич"/>
    <s v="Дорофеев"/>
  </r>
  <r>
    <n v="179"/>
    <s v="+7 747-678-7543"/>
    <s v="Капустина Тамара Валериевна"/>
    <x v="0"/>
    <d v="2022-09-29T00:00:00"/>
    <s v="+7"/>
    <x v="2"/>
    <d v="2025-05-31T00:00:00"/>
    <x v="34"/>
    <s v="Капустина Тамара Валериевна"/>
    <s v="Тамара Валериевна Капустина"/>
    <x v="32"/>
    <s v="Валериевна"/>
    <s v="Капустина"/>
  </r>
  <r>
    <n v="64"/>
    <s v="+998 488-220-8790"/>
    <s v="Ратибор Арсеньевич Петров"/>
    <x v="0"/>
    <d v="2022-05-26T00:00:00"/>
    <s v="+998"/>
    <x v="0"/>
    <d v="2025-05-31T00:00:00"/>
    <x v="35"/>
    <s v="Ратибор Арсеньевич Петров"/>
    <s v="Ратибор Арсеньевич Петров"/>
    <x v="33"/>
    <s v="Арсеньевич"/>
    <s v="Петров"/>
  </r>
  <r>
    <n v="318"/>
    <s v="+998 826-456-9884"/>
    <s v="Поляков Боян Андреевич"/>
    <x v="0"/>
    <d v="2022-11-27T00:00:00"/>
    <s v="+998"/>
    <x v="0"/>
    <d v="2025-05-31T00:00:00"/>
    <x v="36"/>
    <s v="Поляков Боян Андреевич"/>
    <s v="Боян Андреевич Поляков"/>
    <x v="34"/>
    <s v="Андреевич"/>
    <s v="Поляков"/>
  </r>
  <r>
    <n v="239"/>
    <s v="+998 053-607-1948"/>
    <s v="Иванов Христофор Ильясович"/>
    <x v="1"/>
    <d v="2022-07-25T00:00:00"/>
    <s v="+998"/>
    <x v="0"/>
    <d v="2025-05-31T00:00:00"/>
    <x v="37"/>
    <s v="Иванов Христофор Ильясович"/>
    <s v="Христофор Ильясович Иванов"/>
    <x v="35"/>
    <s v="Ильясович"/>
    <s v="Иванов"/>
  </r>
  <r>
    <n v="194"/>
    <s v="+7 273-904-5457"/>
    <s v="Сила Денисович Гурьев"/>
    <x v="0"/>
    <d v="2022-12-29T00:00:00"/>
    <s v="+7"/>
    <x v="2"/>
    <d v="2025-05-31T00:00:00"/>
    <x v="38"/>
    <s v="Сила Денисович Гурьев"/>
    <s v="Сила Денисович Гурьев"/>
    <x v="36"/>
    <s v="Денисович"/>
    <s v="Гурьев"/>
  </r>
  <r>
    <n v="267"/>
    <s v="+7 632-222-4524"/>
    <s v="Лора Болеславовна Потапова"/>
    <x v="0"/>
    <d v="2022-12-15T00:00:00"/>
    <s v="+7"/>
    <x v="2"/>
    <d v="2025-05-31T00:00:00"/>
    <x v="39"/>
    <s v="Лора Болеславовна Потапова"/>
    <s v="Лора Болеславовна Потапова"/>
    <x v="37"/>
    <s v="Болеславовна"/>
    <s v="Потапова"/>
  </r>
  <r>
    <n v="334"/>
    <s v="+380 276-157-8458"/>
    <s v="Федотов Радислав Антонович"/>
    <x v="1"/>
    <d v="2022-11-16T00:00:00"/>
    <s v="+380"/>
    <x v="3"/>
    <d v="2025-05-31T00:00:00"/>
    <x v="40"/>
    <s v="Федотов Радислав Антонович"/>
    <s v="Радислав Антонович Федотов"/>
    <x v="38"/>
    <s v="Антонович"/>
    <s v="Федотов"/>
  </r>
  <r>
    <n v="47"/>
    <s v="+375 077-514-8048"/>
    <s v="Лукин Харлампий Игнатович"/>
    <x v="1"/>
    <d v="2022-05-12T00:00:00"/>
    <s v="+375"/>
    <x v="1"/>
    <d v="2025-05-31T00:00:00"/>
    <x v="29"/>
    <s v="Лукин Харлампий Игнатович"/>
    <s v="Харлампий Игнатович Лукин"/>
    <x v="39"/>
    <s v="Игнатович"/>
    <s v="Лукин"/>
  </r>
  <r>
    <n v="287"/>
    <s v="+7 752-341-5050"/>
    <s v="Полякова Анжела Аскольдовна"/>
    <x v="0"/>
    <d v="2022-02-16T00:00:00"/>
    <s v="+7"/>
    <x v="2"/>
    <d v="2025-05-31T00:00:00"/>
    <x v="41"/>
    <s v="Полякова Анжела Аскольдовна"/>
    <s v="Анжела Аскольдовна Полякова"/>
    <x v="40"/>
    <s v="Аскольдовна"/>
    <s v="Полякова"/>
  </r>
  <r>
    <n v="145"/>
    <s v="+380 088-024-3161"/>
    <s v="Филиппова Юлия Леоновна"/>
    <x v="1"/>
    <d v="2022-04-02T00:00:00"/>
    <s v="+380"/>
    <x v="3"/>
    <d v="2025-05-31T00:00:00"/>
    <x v="23"/>
    <s v="Филиппова Юлия Леоновна"/>
    <s v="Юлия Леоновна Филиппова"/>
    <x v="12"/>
    <s v="Леоновна"/>
    <s v="Филиппова"/>
  </r>
  <r>
    <n v="270"/>
    <s v="+992 110-427-6136"/>
    <s v="Дементий Антипович Мухин"/>
    <x v="0"/>
    <d v="2022-09-23T00:00:00"/>
    <s v="+992"/>
    <x v="4"/>
    <d v="2025-05-31T00:00:00"/>
    <x v="42"/>
    <s v="Дементий Антипович Мухин"/>
    <s v="Дементий Антипович Мухин"/>
    <x v="41"/>
    <s v="Антипович"/>
    <s v="Мухин"/>
  </r>
  <r>
    <n v="183"/>
    <s v="+992 248-066-2060"/>
    <s v="Ия Никифоровна Лапина"/>
    <x v="0"/>
    <d v="2022-12-05T00:00:00"/>
    <s v="+992"/>
    <x v="4"/>
    <d v="2025-05-31T00:00:00"/>
    <x v="43"/>
    <s v="Ия Никифоровна Лапина"/>
    <s v="Ия Никифоровна Лапина"/>
    <x v="42"/>
    <s v="Никифоровна"/>
    <s v="Лапина"/>
  </r>
  <r>
    <n v="2"/>
    <s v="+998 824-309-1395"/>
    <s v="Морозова Майя Борисовна"/>
    <x v="1"/>
    <d v="2022-08-02T00:00:00"/>
    <s v="+998"/>
    <x v="0"/>
    <d v="2025-05-31T00:00:00"/>
    <x v="44"/>
    <s v="Морозова Майя Борисовна"/>
    <s v="Майя Борисовна Морозова"/>
    <x v="26"/>
    <s v="Борисовна"/>
    <s v="Морозова"/>
  </r>
  <r>
    <n v="229"/>
    <s v="+375 079-578-9874"/>
    <s v="Самойлова Татьяна Эльдаровна"/>
    <x v="1"/>
    <d v="2022-07-24T00:00:00"/>
    <s v="+375"/>
    <x v="1"/>
    <d v="2025-05-31T00:00:00"/>
    <x v="45"/>
    <s v="Самойлова Татьяна Эльдаровна"/>
    <s v="Татьяна Эльдаровна Самойлова"/>
    <x v="43"/>
    <s v="Эльдаровна"/>
    <s v="Самойлова"/>
  </r>
  <r>
    <n v="385"/>
    <s v="+380 030-761-0677"/>
    <s v="Стрелков Геннадий Бориславович"/>
    <x v="1"/>
    <d v="2022-07-11T00:00:00"/>
    <s v="+380"/>
    <x v="3"/>
    <d v="2025-05-31T00:00:00"/>
    <x v="46"/>
    <s v="Стрелков Геннадий Бориславович"/>
    <s v="Геннадий Бориславович Стрелков"/>
    <x v="44"/>
    <s v="Бориславович"/>
    <s v="Стрелков"/>
  </r>
  <r>
    <n v="407"/>
    <s v="+375 205-037-7882"/>
    <s v="Карп Афанасьевич Фомичев"/>
    <x v="0"/>
    <d v="2022-03-01T00:00:00"/>
    <s v="+375"/>
    <x v="1"/>
    <d v="2025-05-31T00:00:00"/>
    <x v="47"/>
    <s v="Карп Афанасьевич Фомичев"/>
    <s v="Карп Афанасьевич Фомичев"/>
    <x v="45"/>
    <s v="Афанасьевич"/>
    <s v="Фомичев"/>
  </r>
  <r>
    <n v="493"/>
    <s v="+380 076-252-5210"/>
    <s v="Кондратьева Валентина Львовна"/>
    <x v="0"/>
    <d v="2022-10-21T00:00:00"/>
    <s v="+380"/>
    <x v="3"/>
    <d v="2025-05-31T00:00:00"/>
    <x v="48"/>
    <s v="Кондратьева Валентина Львовна"/>
    <s v="Валентина Львовна Кондратьева"/>
    <x v="46"/>
    <s v="Львовна"/>
    <s v="Кондратьева"/>
  </r>
  <r>
    <n v="34"/>
    <s v="+992 266-481-3942"/>
    <s v="Абрамова Евдокия Егоровна"/>
    <x v="1"/>
    <d v="2022-04-03T00:00:00"/>
    <s v="+992"/>
    <x v="4"/>
    <d v="2025-05-31T00:00:00"/>
    <x v="10"/>
    <s v="Абрамова Евдокия Егоровна"/>
    <s v="Евдокия Егоровна Абрамова"/>
    <x v="47"/>
    <s v="Егоровна"/>
    <s v="Абрамова"/>
  </r>
  <r>
    <n v="190"/>
    <s v="+375 284-418-1233"/>
    <s v="Валентина Захаровна Боброва"/>
    <x v="1"/>
    <d v="2022-05-08T00:00:00"/>
    <s v="+375"/>
    <x v="1"/>
    <d v="2025-05-31T00:00:00"/>
    <x v="24"/>
    <s v="Валентина Захаровна Боброва"/>
    <s v="Валентина Захаровна Боброва"/>
    <x v="46"/>
    <s v="Захаровна"/>
    <s v="Боброва"/>
  </r>
  <r>
    <n v="266"/>
    <s v="+7 963-508-8333"/>
    <s v="Горшкова Василиса Святославовна"/>
    <x v="1"/>
    <d v="2022-08-22T00:00:00"/>
    <s v="+7"/>
    <x v="2"/>
    <d v="2025-05-31T00:00:00"/>
    <x v="49"/>
    <s v="Горшкова Василиса Святославовна"/>
    <s v="Василиса Святославовна Горшкова"/>
    <x v="48"/>
    <s v="Святославовна"/>
    <s v="Горшкова"/>
  </r>
  <r>
    <n v="222"/>
    <s v="+380 424-152-2316"/>
    <s v="Эмилия Руслановна Шарапова"/>
    <x v="0"/>
    <d v="2022-05-13T00:00:00"/>
    <s v="+380"/>
    <x v="3"/>
    <d v="2025-05-31T00:00:00"/>
    <x v="50"/>
    <s v="Эмилия Руслановна Шарапова"/>
    <s v="Эмилия Руслановна Шарапова"/>
    <x v="49"/>
    <s v="Руслановна"/>
    <s v="Шарапова"/>
  </r>
  <r>
    <n v="382"/>
    <s v="+375 960-328-1316"/>
    <s v="Алина Михайловна Шестакова"/>
    <x v="0"/>
    <d v="2022-10-16T00:00:00"/>
    <s v="+375"/>
    <x v="1"/>
    <d v="2025-05-31T00:00:00"/>
    <x v="51"/>
    <s v="Алина Михайловна Шестакова"/>
    <s v="Алина Михайловна Шестакова"/>
    <x v="50"/>
    <s v="Михайловна"/>
    <s v="Шестакова"/>
  </r>
  <r>
    <n v="142"/>
    <s v="+7 600-803-0627"/>
    <s v="Агата Геннадьевна Колесникова"/>
    <x v="1"/>
    <d v="2022-05-02T00:00:00"/>
    <s v="+7"/>
    <x v="2"/>
    <d v="2025-05-31T00:00:00"/>
    <x v="52"/>
    <s v="Агата Геннадьевна Колесникова"/>
    <s v="Агата Геннадьевна Колесникова"/>
    <x v="11"/>
    <s v="Геннадьевна"/>
    <s v="Колесникова"/>
  </r>
  <r>
    <n v="150"/>
    <s v="+998 176-720-2162"/>
    <s v="Панова Евгения Викторовна"/>
    <x v="1"/>
    <d v="2022-03-02T00:00:00"/>
    <s v="+998"/>
    <x v="0"/>
    <d v="2025-05-31T00:00:00"/>
    <x v="53"/>
    <s v="Панова Евгения Викторовна"/>
    <s v="Евгения Викторовна Панова"/>
    <x v="51"/>
    <s v="Викторовна"/>
    <s v="Панова"/>
  </r>
  <r>
    <n v="14"/>
    <s v="+992 129-804-1705"/>
    <s v="Ипатий Устинович Зимин"/>
    <x v="0"/>
    <d v="2022-08-02T00:00:00"/>
    <s v="+992"/>
    <x v="4"/>
    <d v="2025-05-31T00:00:00"/>
    <x v="44"/>
    <s v="Ипатий Устинович Зимин"/>
    <s v="Ипатий Устинович Зимин"/>
    <x v="52"/>
    <s v="Устинович"/>
    <s v="Зимин"/>
  </r>
  <r>
    <n v="371"/>
    <s v="+380 616-238-3294"/>
    <s v="Регина Сергеевна Ефимова"/>
    <x v="1"/>
    <d v="2022-10-10T00:00:00"/>
    <s v="+380"/>
    <x v="3"/>
    <d v="2025-05-31T00:00:00"/>
    <x v="54"/>
    <s v="Регина Сергеевна Ефимова"/>
    <s v="Регина Сергеевна Ефимова"/>
    <x v="53"/>
    <s v="Сергеевна"/>
    <s v="Ефимова"/>
  </r>
  <r>
    <n v="328"/>
    <s v="+7 425-907-2619"/>
    <s v="Регина Сергеевна Чернова"/>
    <x v="0"/>
    <d v="2022-01-07T00:00:00"/>
    <s v="+7"/>
    <x v="2"/>
    <d v="2025-05-31T00:00:00"/>
    <x v="55"/>
    <s v="Регина Сергеевна Чернова"/>
    <s v="Регина Сергеевна Чернова"/>
    <x v="53"/>
    <s v="Сергеевна"/>
    <s v="Чернова"/>
  </r>
  <r>
    <n v="171"/>
    <s v="+7 638-478-8735"/>
    <s v="Бажен Дмитриевич Исаков"/>
    <x v="0"/>
    <d v="2022-05-29T00:00:00"/>
    <s v="+7"/>
    <x v="2"/>
    <d v="2025-05-31T00:00:00"/>
    <x v="56"/>
    <s v="Бажен Дмитриевич Исаков"/>
    <s v="Бажен Дмитриевич Исаков"/>
    <x v="54"/>
    <s v="Дмитриевич"/>
    <s v="Исаков"/>
  </r>
  <r>
    <n v="68"/>
    <s v="+998 237-658-9236"/>
    <s v="Иванна Наумовна Иванова"/>
    <x v="0"/>
    <d v="2022-11-17T00:00:00"/>
    <s v="+998"/>
    <x v="0"/>
    <d v="2025-05-31T00:00:00"/>
    <x v="57"/>
    <s v="Иванна Наумовна Иванова"/>
    <s v="Иванна Наумовна Иванова"/>
    <x v="55"/>
    <s v="Наумовна"/>
    <s v="Иванова"/>
  </r>
  <r>
    <n v="346"/>
    <s v="+7 710-415-0428"/>
    <s v="Капитон Харитонович Родионов"/>
    <x v="0"/>
    <d v="2022-03-16T00:00:00"/>
    <s v="+7"/>
    <x v="2"/>
    <d v="2025-05-31T00:00:00"/>
    <x v="58"/>
    <s v="Капитон Харитонович Родионов"/>
    <s v="Капитон Харитонович Родионов"/>
    <x v="56"/>
    <s v="Харитонович"/>
    <s v="Родионов"/>
  </r>
  <r>
    <n v="415"/>
    <s v="+380 465-945-6481"/>
    <s v="Капитон Феликсович Кабанов"/>
    <x v="0"/>
    <d v="2022-04-10T00:00:00"/>
    <s v="+380"/>
    <x v="3"/>
    <d v="2025-05-31T00:00:00"/>
    <x v="59"/>
    <s v="Капитон Феликсович Кабанов"/>
    <s v="Капитон Феликсович Кабанов"/>
    <x v="56"/>
    <s v="Феликсович"/>
    <s v="Кабанов"/>
  </r>
  <r>
    <n v="115"/>
    <s v="+375 523-528-4996"/>
    <s v="Галина Кирилловна Прохорова"/>
    <x v="0"/>
    <d v="2022-09-28T00:00:00"/>
    <s v="+375"/>
    <x v="1"/>
    <d v="2025-05-31T00:00:00"/>
    <x v="60"/>
    <s v="Галина Кирилловна Прохорова"/>
    <s v="Галина Кирилловна Прохорова"/>
    <x v="57"/>
    <s v="Кирилловна"/>
    <s v="Прохорова"/>
  </r>
  <r>
    <n v="42"/>
    <s v="+992 883-671-0611"/>
    <s v="Панфил Федотович Шаров"/>
    <x v="0"/>
    <d v="2022-08-10T00:00:00"/>
    <s v="+992"/>
    <x v="4"/>
    <d v="2025-05-31T00:00:00"/>
    <x v="61"/>
    <s v="Панфил Федотович Шаров"/>
    <s v="Панфил Федотович Шаров"/>
    <x v="58"/>
    <s v="Федотович"/>
    <s v="Шаров"/>
  </r>
  <r>
    <n v="378"/>
    <s v="+7 322-351-7967"/>
    <s v="Сократ Юльевич Афанасьев"/>
    <x v="1"/>
    <d v="2022-05-29T00:00:00"/>
    <s v="+7"/>
    <x v="2"/>
    <d v="2025-05-31T00:00:00"/>
    <x v="56"/>
    <s v="Сократ Юльевич Афанасьев"/>
    <s v="Сократ Юльевич Афанасьев"/>
    <x v="59"/>
    <s v="Юльевич"/>
    <s v="Афанасьев"/>
  </r>
  <r>
    <n v="449"/>
    <s v="+992 314-900-5858"/>
    <s v="Пестов Измаил Глебович"/>
    <x v="1"/>
    <d v="2022-03-25T00:00:00"/>
    <s v="+992"/>
    <x v="4"/>
    <d v="2025-05-31T00:00:00"/>
    <x v="62"/>
    <s v="Пестов Измаил Глебович"/>
    <s v="Измаил Глебович Пестов"/>
    <x v="60"/>
    <s v="Глебович"/>
    <s v="Пестов"/>
  </r>
  <r>
    <n v="317"/>
    <s v="+7 640-461-4099"/>
    <s v="Ильина Милица Захаровна"/>
    <x v="1"/>
    <d v="2022-07-28T00:00:00"/>
    <s v="+7"/>
    <x v="2"/>
    <d v="2025-05-31T00:00:00"/>
    <x v="63"/>
    <s v="Ильина Милица Захаровна"/>
    <s v="Милица Захаровна Ильина"/>
    <x v="61"/>
    <s v="Захаровна"/>
    <s v="Ильина"/>
  </r>
  <r>
    <n v="426"/>
    <s v="+992 253-231-6427"/>
    <s v="Лыткина Вера Ждановна"/>
    <x v="0"/>
    <d v="2022-07-26T00:00:00"/>
    <s v="+992"/>
    <x v="4"/>
    <d v="2025-05-31T00:00:00"/>
    <x v="64"/>
    <s v="Лыткина Вера Ждановна"/>
    <s v="Вера Ждановна Лыткина"/>
    <x v="1"/>
    <s v="Ждановна"/>
    <s v="Лыткина"/>
  </r>
  <r>
    <n v="25"/>
    <s v="+992 508-269-1094"/>
    <s v="Аггей Терентьевич Волков"/>
    <x v="0"/>
    <d v="2022-01-21T00:00:00"/>
    <s v="+992"/>
    <x v="4"/>
    <d v="2025-05-31T00:00:00"/>
    <x v="5"/>
    <s v="Аггей Терентьевич Волков"/>
    <s v="Аггей Терентьевич Волков"/>
    <x v="62"/>
    <s v="Терентьевич"/>
    <s v="Волков"/>
  </r>
  <r>
    <n v="462"/>
    <s v="+7 915-487-8205"/>
    <s v="Владилен Иосифович Третьяков"/>
    <x v="0"/>
    <d v="2022-07-09T00:00:00"/>
    <s v="+7"/>
    <x v="2"/>
    <d v="2025-05-31T00:00:00"/>
    <x v="65"/>
    <s v="Владилен Иосифович Третьяков"/>
    <s v="Владилен Иосифович Третьяков"/>
    <x v="63"/>
    <s v="Иосифович"/>
    <s v="Третьяков"/>
  </r>
  <r>
    <n v="252"/>
    <s v="+7 376-172-1887"/>
    <s v="Ладимир Гурьевич Егоров"/>
    <x v="1"/>
    <d v="2022-03-23T00:00:00"/>
    <s v="+7"/>
    <x v="2"/>
    <d v="2025-05-31T00:00:00"/>
    <x v="3"/>
    <s v="Ладимир Гурьевич Егоров"/>
    <s v="Ладимир Гурьевич Егоров"/>
    <x v="64"/>
    <s v="Гурьевич"/>
    <s v="Егоров"/>
  </r>
  <r>
    <n v="392"/>
    <s v="+7 894-900-2879"/>
    <s v="Эммануил Ааронович Кошелев"/>
    <x v="1"/>
    <d v="2022-12-24T00:00:00"/>
    <s v="+7"/>
    <x v="2"/>
    <d v="2025-05-31T00:00:00"/>
    <x v="66"/>
    <s v="Эммануил Ааронович Кошелев"/>
    <s v="Эммануил Ааронович Кошелев"/>
    <x v="65"/>
    <s v="Ааронович"/>
    <s v="Кошелев"/>
  </r>
  <r>
    <n v="487"/>
    <s v="+7 263-859-8875"/>
    <s v="Сидор Вячеславович Зиновьев"/>
    <x v="0"/>
    <d v="2022-09-11T00:00:00"/>
    <s v="+7"/>
    <x v="2"/>
    <d v="2025-05-31T00:00:00"/>
    <x v="67"/>
    <s v="Сидор Вячеславович Зиновьев"/>
    <s v="Сидор Вячеславович Зиновьев"/>
    <x v="66"/>
    <s v="Вячеславович"/>
    <s v="Зиновьев"/>
  </r>
  <r>
    <n v="134"/>
    <s v="+7 288-468-9287"/>
    <s v="Регина Кирилловна Нестерова"/>
    <x v="0"/>
    <d v="2022-07-11T00:00:00"/>
    <s v="+7"/>
    <x v="2"/>
    <d v="2025-05-31T00:00:00"/>
    <x v="46"/>
    <s v="Регина Кирилловна Нестерова"/>
    <s v="Регина Кирилловна Нестерова"/>
    <x v="53"/>
    <s v="Кирилловна"/>
    <s v="Нестерова"/>
  </r>
  <r>
    <n v="11"/>
    <s v="+992 372-939-7775"/>
    <s v="Силин Антип Ильясович"/>
    <x v="1"/>
    <d v="2022-05-09T00:00:00"/>
    <s v="+992"/>
    <x v="4"/>
    <d v="2025-05-31T00:00:00"/>
    <x v="68"/>
    <s v="Силин Антип Ильясович"/>
    <s v="Антип Ильясович Силин"/>
    <x v="67"/>
    <s v="Ильясович"/>
    <s v="Силин"/>
  </r>
  <r>
    <n v="458"/>
    <s v="+7 089-779-0837"/>
    <s v="Зоя Егоровна Третьякова"/>
    <x v="0"/>
    <d v="2022-05-13T00:00:00"/>
    <s v="+7"/>
    <x v="2"/>
    <d v="2025-05-31T00:00:00"/>
    <x v="50"/>
    <s v="Зоя Егоровна Третьякова"/>
    <s v="Зоя Егоровна Третьякова"/>
    <x v="5"/>
    <s v="Егоровна"/>
    <s v="Третьякова"/>
  </r>
  <r>
    <n v="130"/>
    <s v="+992 326-136-2416"/>
    <s v="Виктор Жанович Никифоров"/>
    <x v="1"/>
    <d v="2022-10-29T00:00:00"/>
    <s v="+992"/>
    <x v="4"/>
    <d v="2025-05-31T00:00:00"/>
    <x v="69"/>
    <s v="Виктор Жанович Никифоров"/>
    <s v="Виктор Жанович Никифоров"/>
    <x v="68"/>
    <s v="Жанович"/>
    <s v="Никифоров"/>
  </r>
  <r>
    <n v="330"/>
    <s v="+998 016-556-9015"/>
    <s v="Ратибор Андреевич Маслов"/>
    <x v="1"/>
    <d v="2022-09-11T00:00:00"/>
    <s v="+998"/>
    <x v="0"/>
    <d v="2025-05-31T00:00:00"/>
    <x v="67"/>
    <s v="Ратибор Андреевич Маслов"/>
    <s v="Ратибор Андреевич Маслов"/>
    <x v="33"/>
    <s v="Андреевич"/>
    <s v="Маслов"/>
  </r>
  <r>
    <n v="167"/>
    <s v="+998 388-311-1484"/>
    <s v="Жуков Никифор Фомич"/>
    <x v="0"/>
    <d v="2022-01-02T00:00:00"/>
    <s v="+998"/>
    <x v="0"/>
    <d v="2025-05-31T00:00:00"/>
    <x v="22"/>
    <s v="Жуков Никифор Фомич"/>
    <s v="Никифор Фомич Жуков"/>
    <x v="69"/>
    <s v="Фомич"/>
    <s v="Жуков"/>
  </r>
  <r>
    <n v="140"/>
    <s v="+7 093-201-9949"/>
    <s v="Татьяна Михайловна Новикова"/>
    <x v="0"/>
    <d v="2022-03-07T00:00:00"/>
    <s v="+7"/>
    <x v="2"/>
    <d v="2025-05-31T00:00:00"/>
    <x v="70"/>
    <s v="Татьяна Михайловна Новикова"/>
    <s v="Татьяна Михайловна Новикова"/>
    <x v="43"/>
    <s v="Михайловна"/>
    <s v="Новикова"/>
  </r>
  <r>
    <n v="423"/>
    <s v="+375 074-074-0170"/>
    <s v="Виктор Марсович Игнатов"/>
    <x v="1"/>
    <d v="2022-10-07T00:00:00"/>
    <s v="+375"/>
    <x v="1"/>
    <d v="2025-05-31T00:00:00"/>
    <x v="71"/>
    <s v="Виктор Марсович Игнатов"/>
    <s v="Виктор Марсович Игнатов"/>
    <x v="68"/>
    <s v="Марсович"/>
    <s v="Игнатов"/>
  </r>
  <r>
    <n v="365"/>
    <s v="+375 260-927-0999"/>
    <s v="Абрамова Елизавета Эдуардовна"/>
    <x v="1"/>
    <d v="2022-10-07T00:00:00"/>
    <s v="+375"/>
    <x v="1"/>
    <d v="2025-05-31T00:00:00"/>
    <x v="71"/>
    <s v="Абрамова Елизавета Эдуардовна"/>
    <s v="Елизавета Эдуардовна Абрамова"/>
    <x v="70"/>
    <s v="Эдуардовна"/>
    <s v="Абрамова"/>
  </r>
  <r>
    <n v="452"/>
    <s v="+7 356-385-2881"/>
    <s v="Чеслав Бориславович Мамонтов"/>
    <x v="0"/>
    <d v="2022-07-27T00:00:00"/>
    <s v="+7"/>
    <x v="2"/>
    <d v="2025-05-31T00:00:00"/>
    <x v="72"/>
    <s v="Чеслав Бориславович Мамонтов"/>
    <s v="Чеслав Бориславович Мамонтов"/>
    <x v="23"/>
    <s v="Бориславович"/>
    <s v="Мамонтов"/>
  </r>
  <r>
    <n v="424"/>
    <s v="+7 833-884-1180"/>
    <s v="Ефремов Епифан Ильич"/>
    <x v="0"/>
    <d v="2022-01-24T00:00:00"/>
    <s v="+7"/>
    <x v="2"/>
    <d v="2025-05-31T00:00:00"/>
    <x v="73"/>
    <s v="Ефремов Епифан Ильич"/>
    <s v="Епифан Ильич Ефремов"/>
    <x v="71"/>
    <s v="Ильич"/>
    <s v="Ефремов"/>
  </r>
  <r>
    <n v="75"/>
    <s v="+380 369-038-6358"/>
    <s v="Леонид Арсенович Давыдов"/>
    <x v="1"/>
    <d v="2022-08-23T00:00:00"/>
    <s v="+380"/>
    <x v="3"/>
    <d v="2025-05-31T00:00:00"/>
    <x v="74"/>
    <s v="Леонид Арсенович Давыдов"/>
    <s v="Леонид Арсенович Давыдов"/>
    <x v="72"/>
    <s v="Арсенович"/>
    <s v="Давыдов"/>
  </r>
  <r>
    <n v="71"/>
    <s v="+380 341-215-3278"/>
    <s v="Медведева Алина Алексеевна"/>
    <x v="0"/>
    <d v="2022-07-20T00:00:00"/>
    <s v="+380"/>
    <x v="3"/>
    <d v="2025-05-31T00:00:00"/>
    <x v="75"/>
    <s v="Медведева Алина Алексеевна"/>
    <s v="Алина Алексеевна Медведева"/>
    <x v="50"/>
    <s v="Алексеевна"/>
    <s v="Медведева"/>
  </r>
  <r>
    <n v="313"/>
    <s v="+998 801-433-5842"/>
    <s v="Федотова Ангелина Максимовна"/>
    <x v="0"/>
    <d v="2022-12-01T00:00:00"/>
    <s v="+998"/>
    <x v="0"/>
    <d v="2025-05-31T00:00:00"/>
    <x v="76"/>
    <s v="Федотова Ангелина Максимовна"/>
    <s v="Ангелина Максимовна Федотова"/>
    <x v="73"/>
    <s v="Максимовна"/>
    <s v="Федотова"/>
  </r>
  <r>
    <n v="301"/>
    <s v="+7 727-444-8253"/>
    <s v="Николаева Зинаида Ивановна"/>
    <x v="0"/>
    <d v="2022-06-02T00:00:00"/>
    <s v="+7"/>
    <x v="2"/>
    <d v="2025-05-31T00:00:00"/>
    <x v="77"/>
    <s v="Николаева Зинаида Ивановна"/>
    <s v="Зинаида Ивановна Николаева"/>
    <x v="74"/>
    <s v="Ивановна"/>
    <s v="Николаева"/>
  </r>
  <r>
    <n v="359"/>
    <s v="+7 219-942-5792"/>
    <s v="Дорофеев Тимур Валерьянович"/>
    <x v="1"/>
    <d v="2022-01-23T00:00:00"/>
    <s v="+7"/>
    <x v="2"/>
    <d v="2025-05-31T00:00:00"/>
    <x v="28"/>
    <s v="Дорофеев Тимур Валерьянович"/>
    <s v="Тимур Валерьянович Дорофеев"/>
    <x v="75"/>
    <s v="Валерьянович"/>
    <s v="Дорофеев"/>
  </r>
  <r>
    <n v="474"/>
    <s v="+7 430-487-6579"/>
    <s v="Александра Владиславовна Беляева"/>
    <x v="1"/>
    <d v="2022-02-13T00:00:00"/>
    <s v="+7"/>
    <x v="2"/>
    <d v="2025-05-31T00:00:00"/>
    <x v="78"/>
    <s v="Александра Владиславовна Беляева"/>
    <s v="Александра Владиславовна Беляева"/>
    <x v="3"/>
    <s v="Владиславовна"/>
    <s v="Беляева"/>
  </r>
  <r>
    <n v="111"/>
    <s v="+998 827-959-0308"/>
    <s v="Эмилия Олеговна Калинина"/>
    <x v="0"/>
    <d v="2022-08-31T00:00:00"/>
    <s v="+998"/>
    <x v="0"/>
    <d v="2025-05-31T00:00:00"/>
    <x v="79"/>
    <s v="Эмилия Олеговна Калинина"/>
    <s v="Эмилия Олеговна Калинина"/>
    <x v="49"/>
    <s v="Олеговна"/>
    <s v="Калинина"/>
  </r>
  <r>
    <n v="126"/>
    <s v="+998 880-147-7505"/>
    <s v="тов. Копылова Жанна Архиповна"/>
    <x v="0"/>
    <d v="2022-09-18T00:00:00"/>
    <s v="+998"/>
    <x v="0"/>
    <d v="2025-05-31T00:00:00"/>
    <x v="80"/>
    <s v="Копылова Жанна Архиповна"/>
    <s v="Копылова Жанна Архиповна тов."/>
    <x v="76"/>
    <s v="Жанна"/>
    <s v="Архиповна тов."/>
  </r>
  <r>
    <n v="356"/>
    <s v="+992 234-736-4616"/>
    <s v="Князева Акулина Алексеевна"/>
    <x v="1"/>
    <d v="2022-01-09T00:00:00"/>
    <s v="+992"/>
    <x v="4"/>
    <d v="2025-05-31T00:00:00"/>
    <x v="81"/>
    <s v="Князева Акулина Алексеевна"/>
    <s v="Акулина Алексеевна Князева"/>
    <x v="77"/>
    <s v="Алексеевна"/>
    <s v="Князева"/>
  </r>
  <r>
    <n v="166"/>
    <s v="+998 581-380-6694"/>
    <s v="Евдокимов Януарий Феликсович"/>
    <x v="0"/>
    <d v="2022-08-23T00:00:00"/>
    <s v="+998"/>
    <x v="0"/>
    <d v="2025-05-31T00:00:00"/>
    <x v="74"/>
    <s v="Евдокимов Януарий Феликсович"/>
    <s v="Януарий Феликсович Евдокимов"/>
    <x v="78"/>
    <s v="Феликсович"/>
    <s v="Евдокимов"/>
  </r>
  <r>
    <n v="162"/>
    <s v="+992 086-931-5836"/>
    <s v="Соловьев Родион Данилович"/>
    <x v="1"/>
    <d v="2022-03-19T00:00:00"/>
    <s v="+992"/>
    <x v="4"/>
    <d v="2025-05-31T00:00:00"/>
    <x v="82"/>
    <s v="Соловьев Родион Данилович"/>
    <s v="Родион Данилович Соловьев"/>
    <x v="79"/>
    <s v="Данилович"/>
    <s v="Соловьев"/>
  </r>
  <r>
    <n v="459"/>
    <s v="+7 007-157-8873"/>
    <s v="Назар Августович Назаров"/>
    <x v="0"/>
    <d v="2022-07-01T00:00:00"/>
    <s v="+7"/>
    <x v="2"/>
    <d v="2025-05-31T00:00:00"/>
    <x v="83"/>
    <s v="Назар Августович Назаров"/>
    <s v="Назар Августович Назаров"/>
    <x v="80"/>
    <s v="Августович"/>
    <s v="Назаров"/>
  </r>
  <r>
    <n v="211"/>
    <s v="+380 947-602-2812"/>
    <s v="Кудряшова Василиса Болеславовна"/>
    <x v="1"/>
    <d v="2022-03-01T00:00:00"/>
    <s v="+380"/>
    <x v="3"/>
    <d v="2025-05-31T00:00:00"/>
    <x v="47"/>
    <s v="Кудряшова Василиса Болеславовна"/>
    <s v="Василиса Болеславовна Кудряшова"/>
    <x v="48"/>
    <s v="Болеславовна"/>
    <s v="Кудряшова"/>
  </r>
  <r>
    <n v="132"/>
    <s v="+380 697-469-4252"/>
    <s v="Лазарев Софон Якубович"/>
    <x v="0"/>
    <d v="2022-02-09T00:00:00"/>
    <s v="+380"/>
    <x v="3"/>
    <d v="2025-05-31T00:00:00"/>
    <x v="84"/>
    <s v="Лазарев Софон Якубович"/>
    <s v="Софон Якубович Лазарев"/>
    <x v="81"/>
    <s v="Якубович"/>
    <s v="Лазарев"/>
  </r>
  <r>
    <n v="333"/>
    <s v="+7 962-495-5040"/>
    <s v="Бобылев Никодим Виленович"/>
    <x v="0"/>
    <d v="2022-10-23T00:00:00"/>
    <s v="+7"/>
    <x v="2"/>
    <d v="2025-05-31T00:00:00"/>
    <x v="31"/>
    <s v="Бобылев Никодим Виленович"/>
    <s v="Никодим Виленович Бобылев"/>
    <x v="2"/>
    <s v="Виленович"/>
    <s v="Бобылев"/>
  </r>
  <r>
    <n v="298"/>
    <s v="+380 349-100-4938"/>
    <s v="Трофимова Василиса Матвеевна"/>
    <x v="0"/>
    <d v="2022-09-17T00:00:00"/>
    <s v="+380"/>
    <x v="3"/>
    <d v="2025-05-31T00:00:00"/>
    <x v="85"/>
    <s v="Трофимова Василиса Матвеевна"/>
    <s v="Василиса Матвеевна Трофимова"/>
    <x v="48"/>
    <s v="Матвеевна"/>
    <s v="Трофимова"/>
  </r>
  <r>
    <n v="273"/>
    <s v="+998 876-305-1700"/>
    <s v="Горбунова Наина Филипповна"/>
    <x v="1"/>
    <d v="2022-02-07T00:00:00"/>
    <s v="+998"/>
    <x v="0"/>
    <d v="2025-05-31T00:00:00"/>
    <x v="86"/>
    <s v="Горбунова Наина Филипповна"/>
    <s v="Наина Филипповна Горбунова"/>
    <x v="82"/>
    <s v="Филипповна"/>
    <s v="Горбунова"/>
  </r>
  <r>
    <n v="321"/>
    <s v="+992 861-842-9595"/>
    <s v="Блинов Натан Всеволодович"/>
    <x v="1"/>
    <d v="2022-07-14T00:00:00"/>
    <s v="+992"/>
    <x v="4"/>
    <d v="2025-05-31T00:00:00"/>
    <x v="19"/>
    <s v="Блинов Натан Всеволодович"/>
    <s v="Натан Всеволодович Блинов"/>
    <x v="83"/>
    <s v="Всеволодович"/>
    <s v="Блинов"/>
  </r>
  <r>
    <n v="119"/>
    <s v="+7 724-995-2653"/>
    <s v="Никитин Светозар Харлампьевич"/>
    <x v="1"/>
    <d v="2022-05-09T00:00:00"/>
    <s v="+7"/>
    <x v="2"/>
    <d v="2025-05-31T00:00:00"/>
    <x v="68"/>
    <s v="Никитин Светозар Харлампьевич"/>
    <s v="Светозар Харлампьевич Никитин"/>
    <x v="6"/>
    <s v="Харлампьевич"/>
    <s v="Никитин"/>
  </r>
  <r>
    <n v="472"/>
    <s v="+380 435-435-7454"/>
    <s v="Фрол Авдеевич Фадеев"/>
    <x v="1"/>
    <d v="2022-12-06T00:00:00"/>
    <s v="+380"/>
    <x v="3"/>
    <d v="2025-05-31T00:00:00"/>
    <x v="87"/>
    <s v="Фрол Авдеевич Фадеев"/>
    <s v="Фрол Авдеевич Фадеев"/>
    <x v="84"/>
    <s v="Авдеевич"/>
    <s v="Фадеев"/>
  </r>
  <r>
    <n v="396"/>
    <s v="+380 667-385-3298"/>
    <s v="Ермаков Вадим Юлианович"/>
    <x v="1"/>
    <d v="2022-11-06T00:00:00"/>
    <s v="+380"/>
    <x v="3"/>
    <d v="2025-05-31T00:00:00"/>
    <x v="88"/>
    <s v="Ермаков Вадим Юлианович"/>
    <s v="Вадим Юлианович Ермаков"/>
    <x v="85"/>
    <s v="Юлианович"/>
    <s v="Ермаков"/>
  </r>
  <r>
    <n v="269"/>
    <s v="+7 858-333-4042"/>
    <s v="Анжела Филипповна Новикова"/>
    <x v="1"/>
    <d v="2022-06-08T00:00:00"/>
    <s v="+7"/>
    <x v="2"/>
    <d v="2025-05-31T00:00:00"/>
    <x v="89"/>
    <s v="Анжела Филипповна Новикова"/>
    <s v="Анжела Филипповна Новикова"/>
    <x v="40"/>
    <s v="Филипповна"/>
    <s v="Новикова"/>
  </r>
  <r>
    <n v="16"/>
    <s v="+380 828-307-7136"/>
    <s v="Белозеров Лука Харлампьевич"/>
    <x v="1"/>
    <d v="2022-06-01T00:00:00"/>
    <s v="+380"/>
    <x v="3"/>
    <d v="2025-05-31T00:00:00"/>
    <x v="90"/>
    <s v="Белозеров Лука Харлампьевич"/>
    <s v="Лука Харлампьевич Белозеров"/>
    <x v="86"/>
    <s v="Харлампьевич"/>
    <s v="Белозеров"/>
  </r>
  <r>
    <n v="281"/>
    <s v="+998 678-470-2329"/>
    <s v="Гурьев Евсей Гертрудович"/>
    <x v="1"/>
    <d v="2022-05-30T00:00:00"/>
    <s v="+998"/>
    <x v="0"/>
    <d v="2025-05-31T00:00:00"/>
    <x v="91"/>
    <s v="Гурьев Евсей Гертрудович"/>
    <s v="Евсей Гертрудович Гурьев"/>
    <x v="87"/>
    <s v="Гертрудович"/>
    <s v="Гурьев"/>
  </r>
  <r>
    <n v="149"/>
    <s v="+992 908-369-0617"/>
    <s v="Королев Феофан Бориславович"/>
    <x v="0"/>
    <d v="2022-11-17T00:00:00"/>
    <s v="+992"/>
    <x v="4"/>
    <d v="2025-05-31T00:00:00"/>
    <x v="57"/>
    <s v="Королев Феофан Бориславович"/>
    <s v="Феофан Бориславович Королев"/>
    <x v="31"/>
    <s v="Бориславович"/>
    <s v="Королев"/>
  </r>
  <r>
    <n v="380"/>
    <s v="+7 669-661-5797"/>
    <s v="Бурова Марфа Игоревна"/>
    <x v="0"/>
    <d v="2022-01-02T00:00:00"/>
    <s v="+7"/>
    <x v="2"/>
    <d v="2025-05-31T00:00:00"/>
    <x v="22"/>
    <s v="Бурова Марфа Игоревна"/>
    <s v="Марфа Игоревна Бурова"/>
    <x v="88"/>
    <s v="Игоревна"/>
    <s v="Бурова"/>
  </r>
  <r>
    <n v="114"/>
    <s v="+7 393-681-6723"/>
    <s v="Прокл Тимурович Александров"/>
    <x v="0"/>
    <d v="2022-11-24T00:00:00"/>
    <s v="+7"/>
    <x v="2"/>
    <d v="2025-05-31T00:00:00"/>
    <x v="92"/>
    <s v="Прокл Тимурович Александров"/>
    <s v="Прокл Тимурович Александров"/>
    <x v="89"/>
    <s v="Тимурович"/>
    <s v="Александров"/>
  </r>
  <r>
    <n v="381"/>
    <s v="+998 583-780-6740"/>
    <s v="Раиса Станиславовна Чернова"/>
    <x v="1"/>
    <d v="2022-06-02T00:00:00"/>
    <s v="+998"/>
    <x v="0"/>
    <d v="2025-05-31T00:00:00"/>
    <x v="77"/>
    <s v="Раиса Станиславовна Чернова"/>
    <s v="Раиса Станиславовна Чернова"/>
    <x v="90"/>
    <s v="Станиславовна"/>
    <s v="Чернова"/>
  </r>
  <r>
    <n v="342"/>
    <s v="+992 928-516-3980"/>
    <s v="Фёкла Феликсовна Харитонова"/>
    <x v="0"/>
    <d v="2022-01-09T00:00:00"/>
    <s v="+992"/>
    <x v="4"/>
    <d v="2025-05-31T00:00:00"/>
    <x v="81"/>
    <s v="Фёкла Феликсовна Харитонова"/>
    <s v="Фёкла Феликсовна Харитонова"/>
    <x v="91"/>
    <s v="Феликсовна"/>
    <s v="Харитонова"/>
  </r>
  <r>
    <n v="276"/>
    <s v="+992 358-380-4702"/>
    <s v="Лазарев Арефий Анатольевич"/>
    <x v="1"/>
    <d v="2022-03-12T00:00:00"/>
    <s v="+992"/>
    <x v="4"/>
    <d v="2025-05-31T00:00:00"/>
    <x v="93"/>
    <s v="Лазарев Арефий Анатольевич"/>
    <s v="Арефий Анатольевич Лазарев"/>
    <x v="92"/>
    <s v="Анатольевич"/>
    <s v="Лазарев"/>
  </r>
  <r>
    <n v="293"/>
    <s v="+375 156-538-5529"/>
    <s v="Брагин Любомир Гертрудович"/>
    <x v="0"/>
    <d v="2022-01-12T00:00:00"/>
    <s v="+375"/>
    <x v="1"/>
    <d v="2025-05-31T00:00:00"/>
    <x v="94"/>
    <s v="Брагин Любомир Гертрудович"/>
    <s v="Любомир Гертрудович Брагин"/>
    <x v="93"/>
    <s v="Гертрудович"/>
    <s v="Брагин"/>
  </r>
  <r>
    <n v="386"/>
    <s v="+998 241-358-6988"/>
    <s v="Маргарита Ждановна Зуева"/>
    <x v="0"/>
    <d v="2022-06-22T00:00:00"/>
    <s v="+998"/>
    <x v="0"/>
    <d v="2025-05-31T00:00:00"/>
    <x v="95"/>
    <s v="Маргарита Ждановна Зуева"/>
    <s v="Маргарита Ждановна Зуева"/>
    <x v="94"/>
    <s v="Ждановна"/>
    <s v="Зуева"/>
  </r>
  <r>
    <n v="362"/>
    <s v="+7 739-924-9444"/>
    <s v="Авдей Брониславович Владимиров"/>
    <x v="1"/>
    <d v="2022-12-21T00:00:00"/>
    <s v="+7"/>
    <x v="2"/>
    <d v="2025-05-31T00:00:00"/>
    <x v="96"/>
    <s v="Авдей Брониславович Владимиров"/>
    <s v="Авдей Брониславович Владимиров"/>
    <x v="95"/>
    <s v="Брониславович"/>
    <s v="Владимиров"/>
  </r>
  <r>
    <n v="283"/>
    <s v="+992 904-682-2250"/>
    <s v="Кириллов Валерьян Иосипович"/>
    <x v="1"/>
    <d v="2022-11-24T00:00:00"/>
    <s v="+992"/>
    <x v="4"/>
    <d v="2025-05-31T00:00:00"/>
    <x v="92"/>
    <s v="Кириллов Валерьян Иосипович"/>
    <s v="Валерьян Иосипович Кириллов"/>
    <x v="96"/>
    <s v="Иосипович"/>
    <s v="Кириллов"/>
  </r>
  <r>
    <n v="388"/>
    <s v="+7 892-625-6649"/>
    <s v="Тимофеева Анастасия Натановна"/>
    <x v="0"/>
    <d v="2022-01-20T00:00:00"/>
    <s v="+7"/>
    <x v="2"/>
    <d v="2025-05-31T00:00:00"/>
    <x v="97"/>
    <s v="Тимофеева Анастасия Натановна"/>
    <s v="Анастасия Натановна Тимофеева"/>
    <x v="97"/>
    <s v="Натановна"/>
    <s v="Тимофеева"/>
  </r>
  <r>
    <n v="437"/>
    <s v="+998 049-489-2171"/>
    <s v="Мария Кузьминична Борисова"/>
    <x v="1"/>
    <d v="2022-01-15T00:00:00"/>
    <s v="+998"/>
    <x v="0"/>
    <d v="2025-05-31T00:00:00"/>
    <x v="98"/>
    <s v="Мария Кузьминична Борисова"/>
    <s v="Мария Кузьминична Борисова"/>
    <x v="98"/>
    <s v="Кузьминична"/>
    <s v="Борисова"/>
  </r>
  <r>
    <n v="450"/>
    <s v="+7 038-725-7867"/>
    <s v="Самуил Зиновьевич Фокин"/>
    <x v="0"/>
    <d v="2022-02-27T00:00:00"/>
    <s v="+7"/>
    <x v="2"/>
    <d v="2025-05-31T00:00:00"/>
    <x v="7"/>
    <s v="Самуил Зиновьевич Фокин"/>
    <s v="Самуил Зиновьевич Фокин"/>
    <x v="99"/>
    <s v="Зиновьевич"/>
    <s v="Фокин"/>
  </r>
  <r>
    <n v="136"/>
    <s v="+380 833-248-7380"/>
    <s v="Зайцев Ефрем Даниилович"/>
    <x v="0"/>
    <d v="2022-10-26T00:00:00"/>
    <s v="+380"/>
    <x v="3"/>
    <d v="2025-05-31T00:00:00"/>
    <x v="99"/>
    <s v="Зайцев Ефрем Даниилович"/>
    <s v="Ефрем Даниилович Зайцев"/>
    <x v="100"/>
    <s v="Даниилович"/>
    <s v="Зайцев"/>
  </r>
  <r>
    <n v="61"/>
    <s v="+992 862-124-2046"/>
    <s v="Арсений Вилорович Лобанов"/>
    <x v="1"/>
    <d v="2022-07-27T00:00:00"/>
    <s v="+992"/>
    <x v="4"/>
    <d v="2025-05-31T00:00:00"/>
    <x v="72"/>
    <s v="Арсений Вилорович Лобанов"/>
    <s v="Арсений Вилорович Лобанов"/>
    <x v="101"/>
    <s v="Вилорович"/>
    <s v="Лобанов"/>
  </r>
  <r>
    <n v="364"/>
    <s v="+7 139-999-3338"/>
    <s v="Родионова Евпраксия Олеговна"/>
    <x v="0"/>
    <d v="2022-11-18T00:00:00"/>
    <s v="+7"/>
    <x v="2"/>
    <d v="2025-05-31T00:00:00"/>
    <x v="100"/>
    <s v="Родионова Евпраксия Олеговна"/>
    <s v="Евпраксия Олеговна Родионова"/>
    <x v="102"/>
    <s v="Олеговна"/>
    <s v="Родионова"/>
  </r>
  <r>
    <n v="496"/>
    <s v="+380 030-138-6532"/>
    <s v="Вишняков Фома Викентьевич"/>
    <x v="0"/>
    <d v="2022-11-02T00:00:00"/>
    <s v="+380"/>
    <x v="3"/>
    <d v="2025-05-31T00:00:00"/>
    <x v="18"/>
    <s v="Вишняков Фома Викентьевич"/>
    <s v="Фома Викентьевич Вишняков"/>
    <x v="103"/>
    <s v="Викентьевич"/>
    <s v="Вишняков"/>
  </r>
  <r>
    <n v="464"/>
    <s v="+7 260-379-8995"/>
    <s v="Носкова Ольга Ждановна"/>
    <x v="1"/>
    <d v="2022-09-23T00:00:00"/>
    <s v="+7"/>
    <x v="2"/>
    <d v="2025-05-31T00:00:00"/>
    <x v="42"/>
    <s v="Носкова Ольга Ждановна"/>
    <s v="Ольга Ждановна Носкова"/>
    <x v="104"/>
    <s v="Ждановна"/>
    <s v="Носкова"/>
  </r>
  <r>
    <n v="419"/>
    <s v="+992 908-969-9000"/>
    <s v="Жданов Аверьян Валерьевич"/>
    <x v="0"/>
    <d v="2022-11-04T00:00:00"/>
    <s v="+992"/>
    <x v="4"/>
    <d v="2025-05-31T00:00:00"/>
    <x v="101"/>
    <s v="Жданов Аверьян Валерьевич"/>
    <s v="Аверьян Валерьевич Жданов"/>
    <x v="105"/>
    <s v="Валерьевич"/>
    <s v="Жданов"/>
  </r>
  <r>
    <n v="247"/>
    <s v="+998 153-345-5047"/>
    <s v="Филиппов Павел Игнатович"/>
    <x v="0"/>
    <d v="2022-07-20T00:00:00"/>
    <s v="+998"/>
    <x v="0"/>
    <d v="2025-05-31T00:00:00"/>
    <x v="75"/>
    <s v="Филиппов Павел Игнатович"/>
    <s v="Павел Игнатович Филиппов"/>
    <x v="106"/>
    <s v="Игнатович"/>
    <s v="Филиппов"/>
  </r>
  <r>
    <n v="73"/>
    <s v="+380 487-238-5930"/>
    <s v="Лапин Эрнест Антипович"/>
    <x v="0"/>
    <d v="2022-04-14T00:00:00"/>
    <s v="+380"/>
    <x v="3"/>
    <d v="2025-05-31T00:00:00"/>
    <x v="102"/>
    <s v="Лапин Эрнест Антипович"/>
    <s v="Эрнест Антипович Лапин"/>
    <x v="107"/>
    <s v="Антипович"/>
    <s v="Лапин"/>
  </r>
  <r>
    <n v="139"/>
    <s v="+375 187-052-9526"/>
    <s v="Зыкова Таисия Леонидовна"/>
    <x v="0"/>
    <d v="2022-03-28T00:00:00"/>
    <s v="+375"/>
    <x v="1"/>
    <d v="2025-05-31T00:00:00"/>
    <x v="103"/>
    <s v="Зыкова Таисия Леонидовна"/>
    <s v="Таисия Леонидовна Зыкова"/>
    <x v="108"/>
    <s v="Леонидовна"/>
    <s v="Зыкова"/>
  </r>
  <r>
    <n v="258"/>
    <s v="+380 174-160-6456"/>
    <s v="Василиса Леоновна Назарова"/>
    <x v="0"/>
    <d v="2022-06-05T00:00:00"/>
    <s v="+380"/>
    <x v="3"/>
    <d v="2025-05-31T00:00:00"/>
    <x v="104"/>
    <s v="Василиса Леоновна Назарова"/>
    <s v="Василиса Леоновна Назарова"/>
    <x v="48"/>
    <s v="Леоновна"/>
    <s v="Назарова"/>
  </r>
  <r>
    <n v="349"/>
    <s v="+7 048-020-5515"/>
    <s v="Авдеев Филипп Елисеевич"/>
    <x v="1"/>
    <d v="2022-04-22T00:00:00"/>
    <s v="+7"/>
    <x v="2"/>
    <d v="2025-05-31T00:00:00"/>
    <x v="105"/>
    <s v="Авдеев Филипп Елисеевич"/>
    <s v="Филипп Елисеевич Авдеев"/>
    <x v="109"/>
    <s v="Елисеевич"/>
    <s v="Авдеев"/>
  </r>
  <r>
    <n v="325"/>
    <s v="+992 979-262-5049"/>
    <s v="Васильев Милован Георгиевич"/>
    <x v="1"/>
    <d v="2022-11-10T00:00:00"/>
    <s v="+992"/>
    <x v="4"/>
    <d v="2025-05-31T00:00:00"/>
    <x v="106"/>
    <s v="Васильев Милован Георгиевич"/>
    <s v="Милован Георгиевич Васильев"/>
    <x v="110"/>
    <s v="Георгиевич"/>
    <s v="Васильев"/>
  </r>
  <r>
    <n v="250"/>
    <s v="+7 981-183-3972"/>
    <s v="г-н Копылов Лаврентий Артемьевич"/>
    <x v="0"/>
    <d v="2022-10-22T00:00:00"/>
    <s v="+7"/>
    <x v="2"/>
    <d v="2025-05-31T00:00:00"/>
    <x v="107"/>
    <s v="Копылов Лаврентий Артемьевич"/>
    <s v="Копылов Лаврентий Артемьевич г-н"/>
    <x v="111"/>
    <s v="Лаврентий"/>
    <s v="Артемьевич г-н"/>
  </r>
  <r>
    <n v="153"/>
    <s v="+7 709-119-0759"/>
    <s v="Маслов Сократ Анатольевич"/>
    <x v="1"/>
    <d v="2022-08-29T00:00:00"/>
    <s v="+7"/>
    <x v="2"/>
    <d v="2025-05-31T00:00:00"/>
    <x v="108"/>
    <s v="Маслов Сократ Анатольевич"/>
    <s v="Сократ Анатольевич Маслов"/>
    <x v="59"/>
    <s v="Анатольевич"/>
    <s v="Маслов"/>
  </r>
  <r>
    <n v="286"/>
    <s v="+992 292-122-7648"/>
    <s v="г-н Савельев Федосий Феоктистович"/>
    <x v="1"/>
    <d v="2022-01-02T00:00:00"/>
    <s v="+992"/>
    <x v="4"/>
    <d v="2025-05-31T00:00:00"/>
    <x v="22"/>
    <s v="Савельев Федосий Феоктистович"/>
    <s v="Савельев Федосий Феоктистович г-н"/>
    <x v="112"/>
    <s v="Федосий"/>
    <s v="Феоктистович г-н"/>
  </r>
  <r>
    <n v="32"/>
    <s v="+998 265-405-9627"/>
    <s v="Гущин Ипполит Яковлевич"/>
    <x v="0"/>
    <d v="2022-12-27T00:00:00"/>
    <s v="+998"/>
    <x v="0"/>
    <d v="2025-05-31T00:00:00"/>
    <x v="109"/>
    <s v="Гущин Ипполит Яковлевич"/>
    <s v="Ипполит Яковлевич Гущин"/>
    <x v="113"/>
    <s v="Яковлевич"/>
    <s v="Гущин"/>
  </r>
  <r>
    <n v="49"/>
    <s v="+992 750-248-5649"/>
    <s v="Спиридон Чеславович Абрамов"/>
    <x v="0"/>
    <d v="2022-04-21T00:00:00"/>
    <s v="+992"/>
    <x v="4"/>
    <d v="2025-05-31T00:00:00"/>
    <x v="110"/>
    <s v="Спиридон Чеславович Абрамов"/>
    <s v="Спиридон Чеславович Абрамов"/>
    <x v="114"/>
    <s v="Чеславович"/>
    <s v="Абрамов"/>
  </r>
  <r>
    <n v="420"/>
    <s v="+380 992-850-2292"/>
    <s v="Тихонова Евфросиния Феликсовна"/>
    <x v="1"/>
    <d v="2022-05-17T00:00:00"/>
    <s v="+380"/>
    <x v="3"/>
    <d v="2025-05-31T00:00:00"/>
    <x v="111"/>
    <s v="Тихонова Евфросиния Феликсовна"/>
    <s v="Евфросиния Феликсовна Тихонова"/>
    <x v="115"/>
    <s v="Феликсовна"/>
    <s v="Тихонова"/>
  </r>
  <r>
    <n v="202"/>
    <s v="+375 840-221-8767"/>
    <s v="Сазонова Оксана Александровна"/>
    <x v="1"/>
    <d v="2022-07-24T00:00:00"/>
    <s v="+375"/>
    <x v="1"/>
    <d v="2025-05-31T00:00:00"/>
    <x v="45"/>
    <s v="Сазонова Оксана Александровна"/>
    <s v="Оксана Александровна Сазонова"/>
    <x v="116"/>
    <s v="Александровна"/>
    <s v="Сазонова"/>
  </r>
  <r>
    <n v="37"/>
    <s v="+380 855-516-3611"/>
    <s v="Кулакова Нина Семеновна"/>
    <x v="0"/>
    <d v="2022-06-16T00:00:00"/>
    <s v="+380"/>
    <x v="3"/>
    <d v="2025-05-31T00:00:00"/>
    <x v="21"/>
    <s v="Кулакова Нина Семеновна"/>
    <s v="Нина Семеновна Кулакова"/>
    <x v="117"/>
    <s v="Семеновна"/>
    <s v="Кулакова"/>
  </r>
  <r>
    <n v="366"/>
    <s v="+998 381-147-6466"/>
    <s v="Анна Альбертовна Никифорова"/>
    <x v="1"/>
    <d v="2022-09-23T00:00:00"/>
    <s v="+998"/>
    <x v="0"/>
    <d v="2025-05-31T00:00:00"/>
    <x v="42"/>
    <s v="Анна Альбертовна Никифорова"/>
    <s v="Анна Альбертовна Никифорова"/>
    <x v="118"/>
    <s v="Альбертовна"/>
    <s v="Никифорова"/>
  </r>
  <r>
    <n v="434"/>
    <s v="+380 705-295-2201"/>
    <s v="Христофор Авдеевич Щукин"/>
    <x v="1"/>
    <d v="2022-06-18T00:00:00"/>
    <s v="+380"/>
    <x v="3"/>
    <d v="2025-05-31T00:00:00"/>
    <x v="112"/>
    <s v="Христофор Авдеевич Щукин"/>
    <s v="Христофор Авдеевич Щукин"/>
    <x v="35"/>
    <s v="Авдеевич"/>
    <s v="Щукин"/>
  </r>
  <r>
    <n v="172"/>
    <s v="+7 326-132-7435"/>
    <s v="Русаков Лев Тимурович"/>
    <x v="1"/>
    <d v="2022-06-25T00:00:00"/>
    <s v="+7"/>
    <x v="2"/>
    <d v="2025-05-31T00:00:00"/>
    <x v="113"/>
    <s v="Русаков Лев Тимурович"/>
    <s v="Лев Тимурович Русаков"/>
    <x v="119"/>
    <s v="Тимурович"/>
    <s v="Русаков"/>
  </r>
  <r>
    <n v="52"/>
    <s v="+7 340-358-5907"/>
    <s v="Глафира Николаевна Мельникова"/>
    <x v="0"/>
    <d v="2022-12-22T00:00:00"/>
    <s v="+7"/>
    <x v="2"/>
    <d v="2025-05-31T00:00:00"/>
    <x v="114"/>
    <s v="Глафира Николаевна Мельникова"/>
    <s v="Глафира Николаевна Мельникова"/>
    <x v="120"/>
    <s v="Николаевна"/>
    <s v="Мельникова"/>
  </r>
  <r>
    <n v="395"/>
    <s v="+998 914-522-1318"/>
    <s v="Якушев Мина Гавриилович"/>
    <x v="1"/>
    <d v="2022-11-25T00:00:00"/>
    <s v="+998"/>
    <x v="0"/>
    <d v="2025-05-31T00:00:00"/>
    <x v="115"/>
    <s v="Якушев Мина Гавриилович"/>
    <s v="Мина Гавриилович Якушев"/>
    <x v="121"/>
    <s v="Гавриилович"/>
    <s v="Якушев"/>
  </r>
  <r>
    <n v="46"/>
    <s v="+992 891-393-2973"/>
    <s v="тов. Степанова Синклитикия Александровна"/>
    <x v="0"/>
    <d v="2022-03-16T00:00:00"/>
    <s v="+992"/>
    <x v="4"/>
    <d v="2025-05-31T00:00:00"/>
    <x v="58"/>
    <s v="Степанова Синклитикия Александровна"/>
    <s v="Степанова Синклитикия Александровна тов."/>
    <x v="122"/>
    <s v="Синклитикия"/>
    <s v="Александровна тов."/>
  </r>
  <r>
    <n v="361"/>
    <s v="+998 197-437-6957"/>
    <s v="Федорова Жанна Вадимовна"/>
    <x v="0"/>
    <d v="2022-09-27T00:00:00"/>
    <s v="+998"/>
    <x v="0"/>
    <d v="2025-05-31T00:00:00"/>
    <x v="116"/>
    <s v="Федорова Жанна Вадимовна"/>
    <s v="Жанна Вадимовна Федорова"/>
    <x v="123"/>
    <s v="Вадимовна"/>
    <s v="Федорова"/>
  </r>
  <r>
    <n v="358"/>
    <s v="+380 383-190-2360"/>
    <s v="Евфросиния Петровна Чернова"/>
    <x v="0"/>
    <d v="2022-07-29T00:00:00"/>
    <s v="+380"/>
    <x v="3"/>
    <d v="2025-05-31T00:00:00"/>
    <x v="117"/>
    <s v="Евфросиния Петровна Чернова"/>
    <s v="Евфросиния Петровна Чернова"/>
    <x v="115"/>
    <s v="Петровна"/>
    <s v="Чернова"/>
  </r>
  <r>
    <n v="44"/>
    <s v="+375 226-003-8992"/>
    <s v="Кир Васильевич Горбунов"/>
    <x v="1"/>
    <d v="2022-05-20T00:00:00"/>
    <s v="+375"/>
    <x v="1"/>
    <d v="2025-05-31T00:00:00"/>
    <x v="118"/>
    <s v="Кир Васильевич Горбунов"/>
    <s v="Кир Васильевич Горбунов"/>
    <x v="124"/>
    <s v="Васильевич"/>
    <s v="Горбунов"/>
  </r>
  <r>
    <n v="416"/>
    <s v="+992 906-130-4174"/>
    <s v="Зуев Гостомысл Игоревич"/>
    <x v="1"/>
    <d v="2022-05-22T00:00:00"/>
    <s v="+992"/>
    <x v="4"/>
    <d v="2025-05-31T00:00:00"/>
    <x v="119"/>
    <s v="Зуев Гостомысл Игоревич"/>
    <s v="Гостомысл Игоревич Зуев"/>
    <x v="125"/>
    <s v="Игоревич"/>
    <s v="Зуев"/>
  </r>
  <r>
    <n v="74"/>
    <s v="+7 977-556-0650"/>
    <s v="Любовь Романовна Данилова"/>
    <x v="1"/>
    <d v="2022-10-23T00:00:00"/>
    <s v="+7"/>
    <x v="2"/>
    <d v="2025-05-31T00:00:00"/>
    <x v="31"/>
    <s v="Любовь Романовна Данилова"/>
    <s v="Любовь Романовна Данилова"/>
    <x v="7"/>
    <s v="Романовна"/>
    <s v="Данилова"/>
  </r>
  <r>
    <n v="180"/>
    <s v="+375 820-460-9487"/>
    <s v="Калинин Лев Феодосьевич"/>
    <x v="1"/>
    <d v="2022-02-24T00:00:00"/>
    <s v="+375"/>
    <x v="1"/>
    <d v="2025-05-31T00:00:00"/>
    <x v="120"/>
    <s v="Калинин Лев Феодосьевич"/>
    <s v="Лев Феодосьевич Калинин"/>
    <x v="119"/>
    <s v="Феодосьевич"/>
    <s v="Калинин"/>
  </r>
  <r>
    <n v="159"/>
    <s v="+998 608-979-4237"/>
    <s v="Марк Яковлевич Корнилов"/>
    <x v="1"/>
    <d v="2022-05-05T00:00:00"/>
    <s v="+998"/>
    <x v="0"/>
    <d v="2025-05-31T00:00:00"/>
    <x v="121"/>
    <s v="Марк Яковлевич Корнилов"/>
    <s v="Марк Яковлевич Корнилов"/>
    <x v="126"/>
    <s v="Яковлевич"/>
    <s v="Корнилов"/>
  </r>
  <r>
    <n v="106"/>
    <s v="+380 086-392-5406"/>
    <s v="Таисия Богдановна Якушева"/>
    <x v="0"/>
    <d v="2022-10-24T00:00:00"/>
    <s v="+380"/>
    <x v="3"/>
    <d v="2025-05-31T00:00:00"/>
    <x v="12"/>
    <s v="Таисия Богдановна Якушева"/>
    <s v="Таисия Богдановна Якушева"/>
    <x v="108"/>
    <s v="Богдановна"/>
    <s v="Якушева"/>
  </r>
  <r>
    <n v="65"/>
    <s v="+380 264-466-6372"/>
    <s v="Самойлова Жанна Семеновна"/>
    <x v="1"/>
    <d v="2022-03-03T00:00:00"/>
    <s v="+380"/>
    <x v="3"/>
    <d v="2025-05-31T00:00:00"/>
    <x v="122"/>
    <s v="Самойлова Жанна Семеновна"/>
    <s v="Жанна Семеновна Самойлова"/>
    <x v="123"/>
    <s v="Семеновна"/>
    <s v="Самойлова"/>
  </r>
  <r>
    <n v="457"/>
    <s v="+992 644-743-9326"/>
    <s v="Валерия Владимировна Медведева"/>
    <x v="1"/>
    <d v="2022-02-03T00:00:00"/>
    <s v="+992"/>
    <x v="4"/>
    <d v="2025-05-31T00:00:00"/>
    <x v="123"/>
    <s v="Валерия Владимировна Медведева"/>
    <s v="Валерия Владимировна Медведева"/>
    <x v="127"/>
    <s v="Владимировна"/>
    <s v="Медведева"/>
  </r>
  <r>
    <n v="255"/>
    <s v="+380 403-818-2198"/>
    <s v="Филимон Ефимьевич Беляков"/>
    <x v="0"/>
    <d v="2022-08-20T00:00:00"/>
    <s v="+380"/>
    <x v="3"/>
    <d v="2025-05-31T00:00:00"/>
    <x v="124"/>
    <s v="Филимон Ефимьевич Беляков"/>
    <s v="Филимон Ефимьевич Беляков"/>
    <x v="14"/>
    <s v="Ефимьевич"/>
    <s v="Беляков"/>
  </r>
  <r>
    <n v="436"/>
    <s v="+7 613-538-5501"/>
    <s v="Миронов Аверкий Зиновьевич"/>
    <x v="1"/>
    <d v="2022-05-02T00:00:00"/>
    <s v="+7"/>
    <x v="2"/>
    <d v="2025-05-31T00:00:00"/>
    <x v="52"/>
    <s v="Миронов Аверкий Зиновьевич"/>
    <s v="Аверкий Зиновьевич Миронов"/>
    <x v="128"/>
    <s v="Зиновьевич"/>
    <s v="Миронов"/>
  </r>
  <r>
    <n v="175"/>
    <s v="+7 670-667-8381"/>
    <s v="Валерия Семеновна Потапова"/>
    <x v="1"/>
    <d v="2022-01-04T00:00:00"/>
    <s v="+7"/>
    <x v="2"/>
    <d v="2025-05-31T00:00:00"/>
    <x v="125"/>
    <s v="Валерия Семеновна Потапова"/>
    <s v="Валерия Семеновна Потапова"/>
    <x v="127"/>
    <s v="Семеновна"/>
    <s v="Потапова"/>
  </r>
  <r>
    <n v="274"/>
    <s v="+7 264-686-5607"/>
    <s v="Сорокина Феврония Геннадьевна"/>
    <x v="0"/>
    <d v="2022-02-15T00:00:00"/>
    <s v="+7"/>
    <x v="2"/>
    <d v="2025-05-31T00:00:00"/>
    <x v="126"/>
    <s v="Сорокина Феврония Геннадьевна"/>
    <s v="Феврония Геннадьевна Сорокина"/>
    <x v="19"/>
    <s v="Геннадьевна"/>
    <s v="Сорокина"/>
  </r>
  <r>
    <n v="59"/>
    <s v="+7 535-345-7895"/>
    <s v="Любовь Альбертовна Одинцова"/>
    <x v="0"/>
    <d v="2022-07-28T00:00:00"/>
    <s v="+7"/>
    <x v="2"/>
    <d v="2025-05-31T00:00:00"/>
    <x v="63"/>
    <s v="Любовь Альбертовна Одинцова"/>
    <s v="Любовь Альбертовна Одинцова"/>
    <x v="7"/>
    <s v="Альбертовна"/>
    <s v="Одинцова"/>
  </r>
  <r>
    <n v="411"/>
    <s v="+992 587-542-2147"/>
    <s v="Спиридон Владленович Воронцов"/>
    <x v="1"/>
    <d v="2022-04-22T00:00:00"/>
    <s v="+992"/>
    <x v="4"/>
    <d v="2025-05-31T00:00:00"/>
    <x v="105"/>
    <s v="Спиридон Владленович Воронцов"/>
    <s v="Спиридон Владленович Воронцов"/>
    <x v="114"/>
    <s v="Владленович"/>
    <s v="Воронцов"/>
  </r>
  <r>
    <n v="259"/>
    <s v="+375 890-614-0667"/>
    <s v="Алевтина Михайловна Зыкова"/>
    <x v="0"/>
    <d v="2022-05-26T00:00:00"/>
    <s v="+375"/>
    <x v="1"/>
    <d v="2025-05-31T00:00:00"/>
    <x v="35"/>
    <s v="Алевтина Михайловна Зыкова"/>
    <s v="Алевтина Михайловна Зыкова"/>
    <x v="129"/>
    <s v="Михайловна"/>
    <s v="Зыкова"/>
  </r>
  <r>
    <n v="337"/>
    <s v="+7 197-654-6044"/>
    <s v="Максимова Евпраксия Ждановна"/>
    <x v="0"/>
    <d v="2022-11-10T00:00:00"/>
    <s v="+7"/>
    <x v="2"/>
    <d v="2025-05-31T00:00:00"/>
    <x v="106"/>
    <s v="Максимова Евпраксия Ждановна"/>
    <s v="Евпраксия Ждановна Максимова"/>
    <x v="102"/>
    <s v="Ждановна"/>
    <s v="Максимова"/>
  </r>
  <r>
    <n v="354"/>
    <s v="+998 777-844-5783"/>
    <s v="Анжела Ивановна Григорьева"/>
    <x v="1"/>
    <d v="2022-09-07T00:00:00"/>
    <s v="+998"/>
    <x v="0"/>
    <d v="2025-05-31T00:00:00"/>
    <x v="127"/>
    <s v="Анжела Ивановна Григорьева"/>
    <s v="Анжела Ивановна Григорьева"/>
    <x v="40"/>
    <s v="Ивановна"/>
    <s v="Григорьева"/>
  </r>
  <r>
    <n v="329"/>
    <s v="+375 285-458-8961"/>
    <s v="Маслова Агафья Юрьевна"/>
    <x v="0"/>
    <d v="2022-04-02T00:00:00"/>
    <s v="+375"/>
    <x v="1"/>
    <d v="2025-05-31T00:00:00"/>
    <x v="23"/>
    <s v="Маслова Агафья Юрьевна"/>
    <s v="Агафья Юрьевна Маслова"/>
    <x v="130"/>
    <s v="Юрьевна"/>
    <s v="Маслова"/>
  </r>
  <r>
    <n v="186"/>
    <s v="+375 389-470-8585"/>
    <s v="Флорентин Демьянович Родионов"/>
    <x v="1"/>
    <d v="2022-12-19T00:00:00"/>
    <s v="+375"/>
    <x v="1"/>
    <d v="2025-05-31T00:00:00"/>
    <x v="128"/>
    <s v="Флорентин Демьянович Родионов"/>
    <s v="Флорентин Демьянович Родионов"/>
    <x v="131"/>
    <s v="Демьянович"/>
    <s v="Родионов"/>
  </r>
  <r>
    <n v="448"/>
    <s v="+7 984-361-4421"/>
    <s v="Анжелика Валериевна Рожкова"/>
    <x v="1"/>
    <d v="2022-07-28T00:00:00"/>
    <s v="+7"/>
    <x v="2"/>
    <d v="2025-05-31T00:00:00"/>
    <x v="63"/>
    <s v="Анжелика Валериевна Рожкова"/>
    <s v="Анжелика Валериевна Рожкова"/>
    <x v="132"/>
    <s v="Валериевна"/>
    <s v="Рожкова"/>
  </r>
  <r>
    <n v="377"/>
    <s v="+998 643-985-0175"/>
    <s v="Виктория Наумовна Никитина"/>
    <x v="1"/>
    <d v="2022-08-21T00:00:00"/>
    <s v="+998"/>
    <x v="0"/>
    <d v="2025-05-31T00:00:00"/>
    <x v="13"/>
    <s v="Виктория Наумовна Никитина"/>
    <s v="Виктория Наумовна Никитина"/>
    <x v="133"/>
    <s v="Наумовна"/>
    <s v="Никитина"/>
  </r>
  <r>
    <n v="316"/>
    <s v="+992 330-173-6947"/>
    <s v="Брагина Полина Евгеньевна"/>
    <x v="0"/>
    <d v="2022-08-14T00:00:00"/>
    <s v="+992"/>
    <x v="4"/>
    <d v="2025-05-31T00:00:00"/>
    <x v="129"/>
    <s v="Брагина Полина Евгеньевна"/>
    <s v="Полина Евгеньевна Брагина"/>
    <x v="28"/>
    <s v="Евгеньевна"/>
    <s v="Брагина"/>
  </r>
  <r>
    <n v="322"/>
    <s v="+380 459-176-1508"/>
    <s v="Суханова Алла Эльдаровна"/>
    <x v="0"/>
    <d v="2022-11-21T00:00:00"/>
    <s v="+380"/>
    <x v="3"/>
    <d v="2025-05-31T00:00:00"/>
    <x v="130"/>
    <s v="Суханова Алла Эльдаровна"/>
    <s v="Алла Эльдаровна Суханова"/>
    <x v="134"/>
    <s v="Эльдаровна"/>
    <s v="Суханова"/>
  </r>
  <r>
    <n v="62"/>
    <s v="+7 487-712-2137"/>
    <s v="Юрий Августович Исаков"/>
    <x v="1"/>
    <d v="2022-04-20T00:00:00"/>
    <s v="+7"/>
    <x v="2"/>
    <d v="2025-05-31T00:00:00"/>
    <x v="131"/>
    <s v="Юрий Августович Исаков"/>
    <s v="Юрий Августович Исаков"/>
    <x v="135"/>
    <s v="Августович"/>
    <s v="Исаков"/>
  </r>
  <r>
    <n v="295"/>
    <s v="+7 616-701-4879"/>
    <s v="Конон Валентинович Владимиров"/>
    <x v="1"/>
    <d v="2022-01-27T00:00:00"/>
    <s v="+7"/>
    <x v="2"/>
    <d v="2025-05-31T00:00:00"/>
    <x v="132"/>
    <s v="Конон Валентинович Владимиров"/>
    <s v="Конон Валентинович Владимиров"/>
    <x v="136"/>
    <s v="Валентинович"/>
    <s v="Владимиров"/>
  </r>
  <r>
    <n v="235"/>
    <s v="+998 766-764-4076"/>
    <s v="Елисей Игнатович Лобанов"/>
    <x v="1"/>
    <d v="2022-03-15T00:00:00"/>
    <s v="+998"/>
    <x v="0"/>
    <d v="2025-05-31T00:00:00"/>
    <x v="133"/>
    <s v="Елисей Игнатович Лобанов"/>
    <s v="Елисей Игнатович Лобанов"/>
    <x v="137"/>
    <s v="Игнатович"/>
    <s v="Лобанов"/>
  </r>
  <r>
    <n v="156"/>
    <s v="+380 270-120-1119"/>
    <s v="Белов Симон Иосипович"/>
    <x v="0"/>
    <d v="2022-12-10T00:00:00"/>
    <s v="+380"/>
    <x v="3"/>
    <d v="2025-05-31T00:00:00"/>
    <x v="134"/>
    <s v="Белов Симон Иосипович"/>
    <s v="Симон Иосипович Белов"/>
    <x v="138"/>
    <s v="Иосипович"/>
    <s v="Белов"/>
  </r>
  <r>
    <n v="327"/>
    <s v="+992 257-520-2828"/>
    <s v="Рожкова Маргарита Артемовна"/>
    <x v="1"/>
    <d v="2022-01-04T00:00:00"/>
    <s v="+992"/>
    <x v="4"/>
    <d v="2025-05-31T00:00:00"/>
    <x v="125"/>
    <s v="Рожкова Маргарита Артемовна"/>
    <s v="Маргарита Артемовна Рожкова"/>
    <x v="94"/>
    <s v="Артемовна"/>
    <s v="Рожкова"/>
  </r>
  <r>
    <n v="275"/>
    <s v="+992 403-930-8580"/>
    <s v="Андрон Валерьевич Морозов"/>
    <x v="1"/>
    <d v="2022-03-31T00:00:00"/>
    <s v="+992"/>
    <x v="4"/>
    <d v="2025-05-31T00:00:00"/>
    <x v="135"/>
    <s v="Андрон Валерьевич Морозов"/>
    <s v="Андрон Валерьевич Морозов"/>
    <x v="139"/>
    <s v="Валерьевич"/>
    <s v="Морозов"/>
  </r>
  <r>
    <n v="177"/>
    <s v="+992 672-498-6349"/>
    <s v="Иванна Захаровна Сергеева"/>
    <x v="1"/>
    <d v="2022-10-23T00:00:00"/>
    <s v="+992"/>
    <x v="4"/>
    <d v="2025-05-31T00:00:00"/>
    <x v="31"/>
    <s v="Иванна Захаровна Сергеева"/>
    <s v="Иванна Захаровна Сергеева"/>
    <x v="55"/>
    <s v="Захаровна"/>
    <s v="Сергеева"/>
  </r>
  <r>
    <n v="181"/>
    <s v="+380 921-086-4453"/>
    <s v="Русаков Модест Захарьевич"/>
    <x v="0"/>
    <d v="2022-01-07T00:00:00"/>
    <s v="+380"/>
    <x v="3"/>
    <d v="2025-05-31T00:00:00"/>
    <x v="55"/>
    <s v="Русаков Модест Захарьевич"/>
    <s v="Модест Захарьевич Русаков"/>
    <x v="140"/>
    <s v="Захарьевич"/>
    <s v="Русаков"/>
  </r>
  <r>
    <n v="478"/>
    <s v="+380 260-756-9533"/>
    <s v="Шарова Екатерина Леоновна"/>
    <x v="1"/>
    <d v="2022-06-14T00:00:00"/>
    <s v="+380"/>
    <x v="3"/>
    <d v="2025-05-31T00:00:00"/>
    <x v="136"/>
    <s v="Шарова Екатерина Леоновна"/>
    <s v="Екатерина Леоновна Шарова"/>
    <x v="141"/>
    <s v="Леоновна"/>
    <s v="Шарова"/>
  </r>
  <r>
    <n v="429"/>
    <s v="+992 266-513-0456"/>
    <s v="Цветков Лука Витальевич"/>
    <x v="0"/>
    <d v="2022-03-05T00:00:00"/>
    <s v="+992"/>
    <x v="4"/>
    <d v="2025-05-31T00:00:00"/>
    <x v="137"/>
    <s v="Цветков Лука Витальевич"/>
    <s v="Лука Витальевич Цветков"/>
    <x v="86"/>
    <s v="Витальевич"/>
    <s v="Цветков"/>
  </r>
  <r>
    <n v="431"/>
    <s v="+7 869-111-2094"/>
    <s v="Мясников Зосима Якубович"/>
    <x v="1"/>
    <d v="2022-03-03T00:00:00"/>
    <s v="+7"/>
    <x v="2"/>
    <d v="2025-05-31T00:00:00"/>
    <x v="122"/>
    <s v="Мясников Зосима Якубович"/>
    <s v="Зосима Якубович Мясников"/>
    <x v="142"/>
    <s v="Якубович"/>
    <s v="Мясников"/>
  </r>
  <r>
    <n v="147"/>
    <s v="+7 412-542-8365"/>
    <s v="Бирюкова Агафья Артемовна"/>
    <x v="0"/>
    <d v="2022-09-23T00:00:00"/>
    <s v="+7"/>
    <x v="2"/>
    <d v="2025-05-31T00:00:00"/>
    <x v="42"/>
    <s v="Бирюкова Агафья Артемовна"/>
    <s v="Агафья Артемовна Бирюкова"/>
    <x v="130"/>
    <s v="Артемовна"/>
    <s v="Бирюкова"/>
  </r>
  <r>
    <n v="312"/>
    <s v="+7 844-239-9142"/>
    <s v="Савельев Климент Гурьевич"/>
    <x v="0"/>
    <d v="2022-11-21T00:00:00"/>
    <s v="+7"/>
    <x v="2"/>
    <d v="2025-05-31T00:00:00"/>
    <x v="130"/>
    <s v="Савельев Климент Гурьевич"/>
    <s v="Климент Гурьевич Савельев"/>
    <x v="143"/>
    <s v="Гурьевич"/>
    <s v="Савельев"/>
  </r>
  <r>
    <n v="41"/>
    <s v="+7 661-552-6669"/>
    <s v="Волкова Валентина Николаевна"/>
    <x v="0"/>
    <d v="2022-10-08T00:00:00"/>
    <s v="+7"/>
    <x v="2"/>
    <d v="2025-05-31T00:00:00"/>
    <x v="2"/>
    <s v="Волкова Валентина Николаевна"/>
    <s v="Валентина Николаевна Волкова"/>
    <x v="46"/>
    <s v="Николаевна"/>
    <s v="Волкова"/>
  </r>
  <r>
    <n v="389"/>
    <s v="+7 524-093-8464"/>
    <s v="Автоном Терентьевич Филиппов"/>
    <x v="0"/>
    <d v="2022-11-11T00:00:00"/>
    <s v="+7"/>
    <x v="2"/>
    <d v="2025-05-31T00:00:00"/>
    <x v="138"/>
    <s v="Автоном Терентьевич Филиппов"/>
    <s v="Автоном Терентьевич Филиппов"/>
    <x v="144"/>
    <s v="Терентьевич"/>
    <s v="Филиппов"/>
  </r>
  <r>
    <n v="249"/>
    <s v="+7 974-088-4889"/>
    <s v="Абрамов Адриан Фролович"/>
    <x v="0"/>
    <d v="2022-08-08T00:00:00"/>
    <s v="+7"/>
    <x v="2"/>
    <d v="2025-05-31T00:00:00"/>
    <x v="139"/>
    <s v="Абрамов Адриан Фролович"/>
    <s v="Адриан Фролович Абрамов"/>
    <x v="145"/>
    <s v="Фролович"/>
    <s v="Абрамов"/>
  </r>
  <r>
    <n v="168"/>
    <s v="+998 113-461-2855"/>
    <s v="Самсонов Борислав Фролович"/>
    <x v="0"/>
    <d v="2022-05-25T00:00:00"/>
    <s v="+998"/>
    <x v="0"/>
    <d v="2025-05-31T00:00:00"/>
    <x v="140"/>
    <s v="Самсонов Борислав Фролович"/>
    <s v="Борислав Фролович Самсонов"/>
    <x v="146"/>
    <s v="Фролович"/>
    <s v="Самсонов"/>
  </r>
  <r>
    <n v="121"/>
    <s v="+7 925-005-3361"/>
    <s v="Сысоева Светлана Захаровна"/>
    <x v="0"/>
    <d v="2022-07-21T00:00:00"/>
    <s v="+7"/>
    <x v="2"/>
    <d v="2025-05-31T00:00:00"/>
    <x v="141"/>
    <s v="Сысоева Светлана Захаровна"/>
    <s v="Светлана Захаровна Сысоева"/>
    <x v="147"/>
    <s v="Захаровна"/>
    <s v="Сысоева"/>
  </r>
  <r>
    <n v="405"/>
    <s v="+380 524-191-7258"/>
    <s v="Ия Робертовна Белова"/>
    <x v="1"/>
    <d v="2022-08-25T00:00:00"/>
    <s v="+380"/>
    <x v="3"/>
    <d v="2025-05-31T00:00:00"/>
    <x v="142"/>
    <s v="Ия Робертовна Белова"/>
    <s v="Ия Робертовна Белова"/>
    <x v="42"/>
    <s v="Робертовна"/>
    <s v="Белова"/>
  </r>
  <r>
    <n v="376"/>
    <s v="+375 690-843-0501"/>
    <s v="Лукин Борис Власович"/>
    <x v="0"/>
    <d v="2022-06-18T00:00:00"/>
    <s v="+375"/>
    <x v="1"/>
    <d v="2025-05-31T00:00:00"/>
    <x v="112"/>
    <s v="Лукин Борис Власович"/>
    <s v="Борис Власович Лукин"/>
    <x v="148"/>
    <s v="Власович"/>
    <s v="Лукин"/>
  </r>
  <r>
    <n v="489"/>
    <s v="+7 778-043-0691"/>
    <s v="Никанор Феодосьевич Воронов"/>
    <x v="0"/>
    <d v="2022-01-26T00:00:00"/>
    <s v="+7"/>
    <x v="2"/>
    <d v="2025-05-31T00:00:00"/>
    <x v="143"/>
    <s v="Никанор Феодосьевич Воронов"/>
    <s v="Никанор Феодосьевич Воронов"/>
    <x v="149"/>
    <s v="Феодосьевич"/>
    <s v="Воронов"/>
  </r>
  <r>
    <n v="483"/>
    <s v="+7 319-073-7259"/>
    <s v="Александр Архипович Гущин"/>
    <x v="0"/>
    <d v="2022-10-21T00:00:00"/>
    <s v="+7"/>
    <x v="2"/>
    <d v="2025-05-31T00:00:00"/>
    <x v="48"/>
    <s v="Александр Архипович Гущин"/>
    <s v="Александр Архипович Гущин"/>
    <x v="150"/>
    <s v="Архипович"/>
    <s v="Гущин"/>
  </r>
  <r>
    <n v="107"/>
    <s v="+992 943-140-9489"/>
    <s v="Большаков Антип Тихонович"/>
    <x v="1"/>
    <d v="2022-07-02T00:00:00"/>
    <s v="+992"/>
    <x v="4"/>
    <d v="2025-05-31T00:00:00"/>
    <x v="144"/>
    <s v="Большаков Антип Тихонович"/>
    <s v="Антип Тихонович Большаков"/>
    <x v="67"/>
    <s v="Тихонович"/>
    <s v="Большаков"/>
  </r>
  <r>
    <n v="51"/>
    <s v="+998 154-674-1649"/>
    <s v="Костина Жанна Рубеновна"/>
    <x v="1"/>
    <d v="2022-02-13T00:00:00"/>
    <s v="+998"/>
    <x v="0"/>
    <d v="2025-05-31T00:00:00"/>
    <x v="78"/>
    <s v="Костина Жанна Рубеновна"/>
    <s v="Жанна Рубеновна Костина"/>
    <x v="123"/>
    <s v="Рубеновна"/>
    <s v="Костина"/>
  </r>
  <r>
    <n v="9"/>
    <s v="+992 442-185-5422"/>
    <s v="Устинов Милан Архипович"/>
    <x v="0"/>
    <d v="2022-12-05T00:00:00"/>
    <s v="+992"/>
    <x v="4"/>
    <d v="2025-05-31T00:00:00"/>
    <x v="43"/>
    <s v="Устинов Милан Архипович"/>
    <s v="Милан Архипович Устинов"/>
    <x v="151"/>
    <s v="Архипович"/>
    <s v="Устинов"/>
  </r>
  <r>
    <n v="456"/>
    <s v="+7 584-823-9648"/>
    <s v="Муравьева Алла Петровна"/>
    <x v="0"/>
    <d v="2022-02-26T00:00:00"/>
    <s v="+7"/>
    <x v="2"/>
    <d v="2025-05-31T00:00:00"/>
    <x v="145"/>
    <s v="Муравьева Алла Петровна"/>
    <s v="Алла Петровна Муравьева"/>
    <x v="134"/>
    <s v="Петровна"/>
    <s v="Муравьева"/>
  </r>
  <r>
    <n v="110"/>
    <s v="+998 838-480-9390"/>
    <s v="Давыд Фёдорович Белоусов"/>
    <x v="1"/>
    <d v="2022-01-19T00:00:00"/>
    <s v="+998"/>
    <x v="0"/>
    <d v="2025-05-31T00:00:00"/>
    <x v="146"/>
    <s v="Давыд Фёдорович Белоусов"/>
    <s v="Давыд Фёдорович Белоусов"/>
    <x v="152"/>
    <s v="Фёдорович"/>
    <s v="Белоусов"/>
  </r>
  <r>
    <n v="216"/>
    <s v="+992 638-430-8419"/>
    <s v="Никонов Софон Авдеевич"/>
    <x v="1"/>
    <d v="2022-04-04T00:00:00"/>
    <s v="+992"/>
    <x v="4"/>
    <d v="2025-05-31T00:00:00"/>
    <x v="147"/>
    <s v="Никонов Софон Авдеевич"/>
    <s v="Софон Авдеевич Никонов"/>
    <x v="81"/>
    <s v="Авдеевич"/>
    <s v="Никонов"/>
  </r>
  <r>
    <n v="77"/>
    <s v="+7 296-302-4718"/>
    <s v="Фокин Глеб Елизарович"/>
    <x v="1"/>
    <d v="2022-03-24T00:00:00"/>
    <s v="+7"/>
    <x v="2"/>
    <d v="2025-05-31T00:00:00"/>
    <x v="148"/>
    <s v="Фокин Глеб Елизарович"/>
    <s v="Глеб Елизарович Фокин"/>
    <x v="153"/>
    <s v="Елизарович"/>
    <s v="Фокин"/>
  </r>
  <r>
    <n v="192"/>
    <s v="+7 572-970-7703"/>
    <s v="Устинов Евграф Исидорович"/>
    <x v="0"/>
    <d v="2022-01-11T00:00:00"/>
    <s v="+7"/>
    <x v="2"/>
    <d v="2025-05-31T00:00:00"/>
    <x v="149"/>
    <s v="Устинов Евграф Исидорович"/>
    <s v="Евграф Исидорович Устинов"/>
    <x v="154"/>
    <s v="Исидорович"/>
    <s v="Устинов"/>
  </r>
  <r>
    <n v="308"/>
    <s v="+375 958-521-7488"/>
    <s v="Ирина Анатольевна Васильева"/>
    <x v="0"/>
    <d v="2022-01-01T00:00:00"/>
    <s v="+375"/>
    <x v="1"/>
    <d v="2025-05-31T00:00:00"/>
    <x v="150"/>
    <s v="Ирина Анатольевна Васильева"/>
    <s v="Ирина Анатольевна Васильева"/>
    <x v="4"/>
    <s v="Анатольевна"/>
    <s v="Васильева"/>
  </r>
  <r>
    <n v="455"/>
    <s v="+380 315-815-3268"/>
    <s v="Герман Арсеньевич Калинин"/>
    <x v="0"/>
    <d v="2022-09-16T00:00:00"/>
    <s v="+380"/>
    <x v="3"/>
    <d v="2025-05-31T00:00:00"/>
    <x v="14"/>
    <s v="Герман Арсеньевич Калинин"/>
    <s v="Герман Арсеньевич Калинин"/>
    <x v="155"/>
    <s v="Арсеньевич"/>
    <s v="Калинин"/>
  </r>
  <r>
    <n v="480"/>
    <s v="+998 697-530-0958"/>
    <s v="Юлия Кузьминична Капустина"/>
    <x v="0"/>
    <d v="2022-01-07T00:00:00"/>
    <s v="+998"/>
    <x v="0"/>
    <d v="2025-05-31T00:00:00"/>
    <x v="55"/>
    <s v="Юлия Кузьминична Капустина"/>
    <s v="Юлия Кузьминична Капустина"/>
    <x v="12"/>
    <s v="Кузьминична"/>
    <s v="Капустина"/>
  </r>
  <r>
    <n v="203"/>
    <s v="+7 466-253-9021"/>
    <s v="Суханов Станислав Архипович"/>
    <x v="1"/>
    <d v="2022-05-04T00:00:00"/>
    <s v="+7"/>
    <x v="2"/>
    <d v="2025-05-31T00:00:00"/>
    <x v="151"/>
    <s v="Суханов Станислав Архипович"/>
    <s v="Станислав Архипович Суханов"/>
    <x v="156"/>
    <s v="Архипович"/>
    <s v="Суханов"/>
  </r>
  <r>
    <n v="21"/>
    <s v="+375 299-252-6550"/>
    <s v="Никита Венедиктович Третьяков"/>
    <x v="0"/>
    <d v="2022-11-16T00:00:00"/>
    <s v="+375"/>
    <x v="1"/>
    <d v="2025-05-31T00:00:00"/>
    <x v="40"/>
    <s v="Никита Венедиктович Третьяков"/>
    <s v="Никита Венедиктович Третьяков"/>
    <x v="157"/>
    <s v="Венедиктович"/>
    <s v="Третьяков"/>
  </r>
  <r>
    <n v="302"/>
    <s v="+7 449-357-2065"/>
    <s v="Журавлева Александра Валентиновна"/>
    <x v="1"/>
    <d v="2022-10-25T00:00:00"/>
    <s v="+7"/>
    <x v="2"/>
    <d v="2025-05-31T00:00:00"/>
    <x v="152"/>
    <s v="Журавлева Александра Валентиновна"/>
    <s v="Александра Валентиновна Журавлева"/>
    <x v="3"/>
    <s v="Валентиновна"/>
    <s v="Журавлева"/>
  </r>
  <r>
    <n v="341"/>
    <s v="+7 456-978-0873"/>
    <s v="Алевтина Архиповна Ефимова"/>
    <x v="1"/>
    <d v="2022-06-12T00:00:00"/>
    <s v="+7"/>
    <x v="2"/>
    <d v="2025-05-31T00:00:00"/>
    <x v="153"/>
    <s v="Алевтина Архиповна Ефимова"/>
    <s v="Алевтина Архиповна Ефимова"/>
    <x v="129"/>
    <s v="Архиповна"/>
    <s v="Ефимова"/>
  </r>
  <r>
    <n v="463"/>
    <s v="+380 286-003-5332"/>
    <s v="Вероника Руслановна Ефремова"/>
    <x v="1"/>
    <d v="2022-11-04T00:00:00"/>
    <s v="+380"/>
    <x v="3"/>
    <d v="2025-05-31T00:00:00"/>
    <x v="101"/>
    <s v="Вероника Руслановна Ефремова"/>
    <s v="Вероника Руслановна Ефремова"/>
    <x v="16"/>
    <s v="Руслановна"/>
    <s v="Ефремова"/>
  </r>
  <r>
    <n v="421"/>
    <s v="+7 362-778-4019"/>
    <s v="Красильников Павел Ермилович"/>
    <x v="1"/>
    <d v="2022-02-28T00:00:00"/>
    <s v="+7"/>
    <x v="2"/>
    <d v="2025-05-31T00:00:00"/>
    <x v="154"/>
    <s v="Красильников Павел Ермилович"/>
    <s v="Павел Ермилович Красильников"/>
    <x v="106"/>
    <s v="Ермилович"/>
    <s v="Красильников"/>
  </r>
  <r>
    <n v="86"/>
    <s v="+998 169-477-8408"/>
    <s v="Гуляева Раиса Кузьминична"/>
    <x v="0"/>
    <d v="2022-05-11T00:00:00"/>
    <s v="+998"/>
    <x v="0"/>
    <d v="2025-05-31T00:00:00"/>
    <x v="155"/>
    <s v="Гуляева Раиса Кузьминична"/>
    <s v="Раиса Кузьминична Гуляева"/>
    <x v="90"/>
    <s v="Кузьминична"/>
    <s v="Гуляева"/>
  </r>
  <r>
    <n v="319"/>
    <s v="+998 213-223-6638"/>
    <s v="Маркова Василиса Юрьевна"/>
    <x v="0"/>
    <d v="2022-04-23T00:00:00"/>
    <s v="+998"/>
    <x v="0"/>
    <d v="2025-05-31T00:00:00"/>
    <x v="156"/>
    <s v="Маркова Василиса Юрьевна"/>
    <s v="Василиса Юрьевна Маркова"/>
    <x v="48"/>
    <s v="Юрьевна"/>
    <s v="Маркова"/>
  </r>
  <r>
    <n v="290"/>
    <s v="+7 244-331-6219"/>
    <s v="Николай Гавриилович Савин"/>
    <x v="0"/>
    <d v="2022-08-04T00:00:00"/>
    <s v="+7"/>
    <x v="2"/>
    <d v="2025-05-31T00:00:00"/>
    <x v="157"/>
    <s v="Николай Гавриилович Савин"/>
    <s v="Николай Гавриилович Савин"/>
    <x v="158"/>
    <s v="Гавриилович"/>
    <s v="Савин"/>
  </r>
  <r>
    <n v="13"/>
    <s v="+7 782-443-4000"/>
    <s v="Максимова Елена Валериевна"/>
    <x v="1"/>
    <d v="2022-06-12T00:00:00"/>
    <s v="+7"/>
    <x v="2"/>
    <d v="2025-05-31T00:00:00"/>
    <x v="153"/>
    <s v="Максимова Елена Валериевна"/>
    <s v="Елена Валериевна Максимова"/>
    <x v="159"/>
    <s v="Валериевна"/>
    <s v="Максимова"/>
  </r>
  <r>
    <n v="453"/>
    <s v="+7 648-807-1917"/>
    <s v="Никифоров Богдан Харитонович"/>
    <x v="0"/>
    <d v="2022-03-15T00:00:00"/>
    <s v="+7"/>
    <x v="2"/>
    <d v="2025-05-31T00:00:00"/>
    <x v="133"/>
    <s v="Никифоров Богдан Харитонович"/>
    <s v="Богдан Харитонович Никифоров"/>
    <x v="160"/>
    <s v="Харитонович"/>
    <s v="Никифоров"/>
  </r>
  <r>
    <n v="120"/>
    <s v="+7 225-063-9920"/>
    <s v="Велимир Игоревич Макаров"/>
    <x v="0"/>
    <d v="2022-05-10T00:00:00"/>
    <s v="+7"/>
    <x v="2"/>
    <d v="2025-05-31T00:00:00"/>
    <x v="158"/>
    <s v="Велимир Игоревич Макаров"/>
    <s v="Велимир Игоревич Макаров"/>
    <x v="161"/>
    <s v="Игоревич"/>
    <s v="Макаров"/>
  </r>
  <r>
    <n v="292"/>
    <s v="+7 421-153-6302"/>
    <s v="Тимофеев Аполлинарий Фомич"/>
    <x v="1"/>
    <d v="2022-02-16T00:00:00"/>
    <s v="+7"/>
    <x v="2"/>
    <d v="2025-05-31T00:00:00"/>
    <x v="41"/>
    <s v="Тимофеев Аполлинарий Фомич"/>
    <s v="Аполлинарий Фомич Тимофеев"/>
    <x v="162"/>
    <s v="Фомич"/>
    <s v="Тимофеев"/>
  </r>
  <r>
    <n v="1"/>
    <s v="+7 945-211-9429"/>
    <s v="Потап Егорович Лапин"/>
    <x v="0"/>
    <d v="2022-01-24T00:00:00"/>
    <s v="+7"/>
    <x v="2"/>
    <d v="2025-05-31T00:00:00"/>
    <x v="73"/>
    <s v="Потап Егорович Лапин"/>
    <s v="Потап Егорович Лапин"/>
    <x v="163"/>
    <s v="Егорович"/>
    <s v="Лапин"/>
  </r>
  <r>
    <n v="98"/>
    <s v="+7 379-140-2865"/>
    <s v="Никита Виленович Степанов"/>
    <x v="0"/>
    <d v="2022-03-17T00:00:00"/>
    <s v="+7"/>
    <x v="2"/>
    <d v="2025-05-31T00:00:00"/>
    <x v="159"/>
    <s v="Никита Виленович Степанов"/>
    <s v="Никита Виленович Степанов"/>
    <x v="157"/>
    <s v="Виленович"/>
    <s v="Степанов"/>
  </r>
  <r>
    <n v="226"/>
    <s v="+7 685-361-2926"/>
    <s v="Агап Валерьевич Логинов"/>
    <x v="0"/>
    <d v="2022-05-21T00:00:00"/>
    <s v="+7"/>
    <x v="2"/>
    <d v="2025-05-31T00:00:00"/>
    <x v="160"/>
    <s v="Агап Валерьевич Логинов"/>
    <s v="Агап Валерьевич Логинов"/>
    <x v="164"/>
    <s v="Валерьевич"/>
    <s v="Логинов"/>
  </r>
  <r>
    <n v="296"/>
    <s v="+998 997-462-0828"/>
    <s v="Исакова Людмила Олеговна"/>
    <x v="1"/>
    <d v="2022-07-16T00:00:00"/>
    <s v="+998"/>
    <x v="0"/>
    <d v="2025-05-31T00:00:00"/>
    <x v="161"/>
    <s v="Исакова Людмила Олеговна"/>
    <s v="Людмила Олеговна Исакова"/>
    <x v="165"/>
    <s v="Олеговна"/>
    <s v="Исакова"/>
  </r>
  <r>
    <n v="29"/>
    <s v="+7 028-813-4020"/>
    <s v="Вишняков Ярослав Анатольевич"/>
    <x v="0"/>
    <d v="2022-05-23T00:00:00"/>
    <s v="+7"/>
    <x v="2"/>
    <d v="2025-05-31T00:00:00"/>
    <x v="162"/>
    <s v="Вишняков Ярослав Анатольевич"/>
    <s v="Ярослав Анатольевич Вишняков"/>
    <x v="166"/>
    <s v="Анатольевич"/>
    <s v="Вишняков"/>
  </r>
  <r>
    <n v="297"/>
    <s v="+380 802-906-1048"/>
    <s v="Нестеров Чеслав Аверьянович"/>
    <x v="1"/>
    <d v="2022-04-15T00:00:00"/>
    <s v="+380"/>
    <x v="3"/>
    <d v="2025-05-31T00:00:00"/>
    <x v="163"/>
    <s v="Нестеров Чеслав Аверьянович"/>
    <s v="Чеслав Аверьянович Нестеров"/>
    <x v="23"/>
    <s v="Аверьянович"/>
    <s v="Нестеров"/>
  </r>
  <r>
    <n v="497"/>
    <s v="+998 247-862-3690"/>
    <s v="Валерьян Федосеевич Цветков"/>
    <x v="1"/>
    <d v="2022-09-22T00:00:00"/>
    <s v="+998"/>
    <x v="0"/>
    <d v="2025-05-31T00:00:00"/>
    <x v="164"/>
    <s v="Валерьян Федосеевич Цветков"/>
    <s v="Валерьян Федосеевич Цветков"/>
    <x v="96"/>
    <s v="Федосеевич"/>
    <s v="Цветков"/>
  </r>
  <r>
    <n v="191"/>
    <s v="+380 728-449-1745"/>
    <s v="Матвей Адамович Богданов"/>
    <x v="0"/>
    <d v="2022-11-01T00:00:00"/>
    <s v="+380"/>
    <x v="3"/>
    <d v="2025-05-31T00:00:00"/>
    <x v="165"/>
    <s v="Матвей Адамович Богданов"/>
    <s v="Матвей Адамович Богданов"/>
    <x v="167"/>
    <s v="Адамович"/>
    <s v="Богданов"/>
  </r>
  <r>
    <n v="58"/>
    <s v="+375 524-220-8374"/>
    <s v="Владимирова Алина Феликсовна"/>
    <x v="1"/>
    <d v="2022-03-08T00:00:00"/>
    <s v="+375"/>
    <x v="1"/>
    <d v="2025-05-31T00:00:00"/>
    <x v="166"/>
    <s v="Владимирова Алина Феликсовна"/>
    <s v="Алина Феликсовна Владимирова"/>
    <x v="50"/>
    <s v="Феликсовна"/>
    <s v="Владимирова"/>
  </r>
  <r>
    <n v="446"/>
    <s v="+992 028-876-8250"/>
    <s v="Лора Вадимовна Турова"/>
    <x v="0"/>
    <d v="2022-04-20T00:00:00"/>
    <s v="+992"/>
    <x v="4"/>
    <d v="2025-05-31T00:00:00"/>
    <x v="131"/>
    <s v="Лора Вадимовна Турова"/>
    <s v="Лора Вадимовна Турова"/>
    <x v="37"/>
    <s v="Вадимовна"/>
    <s v="Турова"/>
  </r>
  <r>
    <n v="117"/>
    <s v="+380 280-785-9631"/>
    <s v="Мирон Давидович Горбачев"/>
    <x v="0"/>
    <d v="2022-05-25T00:00:00"/>
    <s v="+380"/>
    <x v="3"/>
    <d v="2025-05-31T00:00:00"/>
    <x v="140"/>
    <s v="Мирон Давидович Горбачев"/>
    <s v="Мирон Давидович Горбачев"/>
    <x v="168"/>
    <s v="Давидович"/>
    <s v="Горбачев"/>
  </r>
  <r>
    <n v="187"/>
    <s v="+7 304-758-2488"/>
    <s v="Юлия Геннадиевна Белякова"/>
    <x v="0"/>
    <d v="2022-10-14T00:00:00"/>
    <s v="+7"/>
    <x v="2"/>
    <d v="2025-05-31T00:00:00"/>
    <x v="167"/>
    <s v="Юлия Геннадиевна Белякова"/>
    <s v="Юлия Геннадиевна Белякова"/>
    <x v="12"/>
    <s v="Геннадиевна"/>
    <s v="Белякова"/>
  </r>
  <r>
    <n v="231"/>
    <s v="+7 212-350-2928"/>
    <s v="Ермаков Ярослав Тихонович"/>
    <x v="1"/>
    <d v="2022-07-10T00:00:00"/>
    <s v="+7"/>
    <x v="2"/>
    <d v="2025-05-31T00:00:00"/>
    <x v="168"/>
    <s v="Ермаков Ярослав Тихонович"/>
    <s v="Ярослав Тихонович Ермаков"/>
    <x v="166"/>
    <s v="Тихонович"/>
    <s v="Ермаков"/>
  </r>
  <r>
    <n v="265"/>
    <s v="+998 438-329-1521"/>
    <s v="Баранов Эраст Терентьевич"/>
    <x v="1"/>
    <d v="2022-07-14T00:00:00"/>
    <s v="+998"/>
    <x v="0"/>
    <d v="2025-05-31T00:00:00"/>
    <x v="19"/>
    <s v="Баранов Эраст Терентьевич"/>
    <s v="Эраст Терентьевич Баранов"/>
    <x v="169"/>
    <s v="Терентьевич"/>
    <s v="Баранов"/>
  </r>
  <r>
    <n v="391"/>
    <s v="+992 638-653-7931"/>
    <s v="Вероника Геннадьевна Воронова"/>
    <x v="0"/>
    <d v="2022-04-24T00:00:00"/>
    <s v="+992"/>
    <x v="4"/>
    <d v="2025-05-31T00:00:00"/>
    <x v="20"/>
    <s v="Вероника Геннадьевна Воронова"/>
    <s v="Вероника Геннадьевна Воронова"/>
    <x v="16"/>
    <s v="Геннадьевна"/>
    <s v="Воронова"/>
  </r>
  <r>
    <n v="355"/>
    <s v="+7 181-999-1398"/>
    <s v="Назарова Ия Ивановна"/>
    <x v="1"/>
    <d v="2022-03-11T00:00:00"/>
    <s v="+7"/>
    <x v="2"/>
    <d v="2025-05-31T00:00:00"/>
    <x v="169"/>
    <s v="Назарова Ия Ивановна"/>
    <s v="Ия Ивановна Назарова"/>
    <x v="42"/>
    <s v="Ивановна"/>
    <s v="Назарова"/>
  </r>
  <r>
    <n v="277"/>
    <s v="+7 052-743-8708"/>
    <s v="Любомир Архипович Пономарев"/>
    <x v="0"/>
    <d v="2022-07-08T00:00:00"/>
    <s v="+7"/>
    <x v="2"/>
    <d v="2025-05-31T00:00:00"/>
    <x v="1"/>
    <s v="Любомир Архипович Пономарев"/>
    <s v="Любомир Архипович Пономарев"/>
    <x v="93"/>
    <s v="Архипович"/>
    <s v="Пономарев"/>
  </r>
  <r>
    <n v="104"/>
    <s v="+998 583-835-9258"/>
    <s v="Елизавета Яковлевна Лапина"/>
    <x v="1"/>
    <d v="2022-07-30T00:00:00"/>
    <s v="+998"/>
    <x v="0"/>
    <d v="2025-05-31T00:00:00"/>
    <x v="170"/>
    <s v="Елизавета Яковлевна Лапина"/>
    <s v="Елизавета Яковлевна Лапина"/>
    <x v="70"/>
    <s v="Яковлевна"/>
    <s v="Лапина"/>
  </r>
  <r>
    <n v="109"/>
    <s v="+380 249-840-3292"/>
    <s v="Гурьева Людмила Владимировна"/>
    <x v="0"/>
    <d v="2022-06-20T00:00:00"/>
    <s v="+380"/>
    <x v="3"/>
    <d v="2025-05-31T00:00:00"/>
    <x v="171"/>
    <s v="Гурьева Людмила Владимировна"/>
    <s v="Людмила Владимировна Гурьева"/>
    <x v="165"/>
    <s v="Владимировна"/>
    <s v="Гурьева"/>
  </r>
  <r>
    <n v="369"/>
    <s v="+7 894-629-6946"/>
    <s v="Фёкла Натановна Дементьева"/>
    <x v="0"/>
    <d v="2022-04-27T00:00:00"/>
    <s v="+7"/>
    <x v="2"/>
    <d v="2025-05-31T00:00:00"/>
    <x v="15"/>
    <s v="Фёкла Натановна Дементьева"/>
    <s v="Фёкла Натановна Дементьева"/>
    <x v="91"/>
    <s v="Натановна"/>
    <s v="Дементьева"/>
  </r>
  <r>
    <n v="78"/>
    <s v="+380 119-291-6424"/>
    <s v="Маслова Иванна Макаровна"/>
    <x v="0"/>
    <d v="2022-04-07T00:00:00"/>
    <s v="+380"/>
    <x v="3"/>
    <d v="2025-05-31T00:00:00"/>
    <x v="172"/>
    <s v="Маслова Иванна Макаровна"/>
    <s v="Иванна Макаровна Маслова"/>
    <x v="55"/>
    <s v="Макаровна"/>
    <s v="Маслова"/>
  </r>
  <r>
    <n v="66"/>
    <s v="+7 629-137-1639"/>
    <s v="Клавдия Богдановна Ковалева"/>
    <x v="1"/>
    <d v="2022-08-04T00:00:00"/>
    <s v="+7"/>
    <x v="2"/>
    <d v="2025-05-31T00:00:00"/>
    <x v="157"/>
    <s v="Клавдия Богдановна Ковалева"/>
    <s v="Клавдия Богдановна Ковалева"/>
    <x v="170"/>
    <s v="Богдановна"/>
    <s v="Ковалева"/>
  </r>
  <r>
    <n v="261"/>
    <s v="+7 560-711-8976"/>
    <s v="Евсеев Ратмир Артемьевич"/>
    <x v="0"/>
    <d v="2022-10-14T00:00:00"/>
    <s v="+7"/>
    <x v="2"/>
    <d v="2025-05-31T00:00:00"/>
    <x v="167"/>
    <s v="Евсеев Ратмир Артемьевич"/>
    <s v="Ратмир Артемьевич Евсеев"/>
    <x v="171"/>
    <s v="Артемьевич"/>
    <s v="Евсеев"/>
  </r>
  <r>
    <n v="307"/>
    <s v="+375 881-217-3017"/>
    <s v="Клавдия Константиновна Хохлова"/>
    <x v="0"/>
    <d v="2022-07-22T00:00:00"/>
    <s v="+375"/>
    <x v="1"/>
    <d v="2025-05-31T00:00:00"/>
    <x v="173"/>
    <s v="Клавдия Константиновна Хохлова"/>
    <s v="Клавдия Константиновна Хохлова"/>
    <x v="170"/>
    <s v="Константиновна"/>
    <s v="Хохлова"/>
  </r>
  <r>
    <n v="144"/>
    <s v="+380 960-351-2387"/>
    <s v="Анастасия Альбертовна Фролова"/>
    <x v="0"/>
    <d v="2022-05-24T00:00:00"/>
    <s v="+380"/>
    <x v="3"/>
    <d v="2025-05-31T00:00:00"/>
    <x v="174"/>
    <s v="Анастасия Альбертовна Фролова"/>
    <s v="Анастасия Альбертовна Фролова"/>
    <x v="97"/>
    <s v="Альбертовна"/>
    <s v="Фролова"/>
  </r>
  <r>
    <n v="76"/>
    <s v="+375 081-974-3402"/>
    <s v="Федосеева Василиса Аскольдовна"/>
    <x v="0"/>
    <d v="2022-01-14T00:00:00"/>
    <s v="+375"/>
    <x v="1"/>
    <d v="2025-05-31T00:00:00"/>
    <x v="175"/>
    <s v="Федосеева Василиса Аскольдовна"/>
    <s v="Василиса Аскольдовна Федосеева"/>
    <x v="48"/>
    <s v="Аскольдовна"/>
    <s v="Федосеева"/>
  </r>
  <r>
    <n v="84"/>
    <s v="+992 046-188-5111"/>
    <s v="Евгения Георгиевна Рожкова"/>
    <x v="1"/>
    <d v="2022-09-01T00:00:00"/>
    <s v="+992"/>
    <x v="4"/>
    <d v="2025-05-31T00:00:00"/>
    <x v="176"/>
    <s v="Евгения Георгиевна Рожкова"/>
    <s v="Евгения Георгиевна Рожкова"/>
    <x v="51"/>
    <s v="Георгиевна"/>
    <s v="Рожкова"/>
  </r>
  <r>
    <n v="81"/>
    <s v="+7 219-084-6295"/>
    <s v="Ксения Кузьминична Авдеева"/>
    <x v="0"/>
    <d v="2022-09-21T00:00:00"/>
    <s v="+7"/>
    <x v="2"/>
    <d v="2025-05-31T00:00:00"/>
    <x v="177"/>
    <s v="Ксения Кузьминична Авдеева"/>
    <s v="Ксения Кузьминична Авдеева"/>
    <x v="172"/>
    <s v="Кузьминична"/>
    <s v="Авдеева"/>
  </r>
  <r>
    <n v="157"/>
    <s v="+7 502-802-5787"/>
    <s v="Елена Эдуардовна Кудряшова"/>
    <x v="1"/>
    <d v="2022-08-10T00:00:00"/>
    <s v="+7"/>
    <x v="2"/>
    <d v="2025-05-31T00:00:00"/>
    <x v="61"/>
    <s v="Елена Эдуардовна Кудряшова"/>
    <s v="Елена Эдуардовна Кудряшова"/>
    <x v="159"/>
    <s v="Эдуардовна"/>
    <s v="Кудряшова"/>
  </r>
  <r>
    <n v="57"/>
    <s v="+7 269-195-3186"/>
    <s v="Константин Ефимьевич Колесников"/>
    <x v="1"/>
    <d v="2022-04-18T00:00:00"/>
    <s v="+7"/>
    <x v="2"/>
    <d v="2025-05-31T00:00:00"/>
    <x v="178"/>
    <s v="Константин Ефимьевич Колесников"/>
    <s v="Константин Ефимьевич Колесников"/>
    <x v="173"/>
    <s v="Ефимьевич"/>
    <s v="Колесников"/>
  </r>
  <r>
    <n v="479"/>
    <s v="+7 836-233-8115"/>
    <s v="Евпраксия Федоровна Фомина"/>
    <x v="0"/>
    <d v="2022-08-20T00:00:00"/>
    <s v="+7"/>
    <x v="2"/>
    <d v="2025-05-31T00:00:00"/>
    <x v="124"/>
    <s v="Евпраксия Федоровна Фомина"/>
    <s v="Евпраксия Федоровна Фомина"/>
    <x v="102"/>
    <s v="Федоровна"/>
    <s v="Фомина"/>
  </r>
  <r>
    <n v="406"/>
    <s v="+380 469-601-0972"/>
    <s v="Дмитрий Трифонович Денисов"/>
    <x v="0"/>
    <d v="2022-11-30T00:00:00"/>
    <s v="+380"/>
    <x v="3"/>
    <d v="2025-05-31T00:00:00"/>
    <x v="179"/>
    <s v="Дмитрий Трифонович Денисов"/>
    <s v="Дмитрий Трифонович Денисов"/>
    <x v="174"/>
    <s v="Трифонович"/>
    <s v="Денисов"/>
  </r>
  <r>
    <n v="56"/>
    <s v="+992 555-207-4186"/>
    <s v="Пелагея Антоновна Цветкова"/>
    <x v="1"/>
    <d v="2022-04-11T00:00:00"/>
    <s v="+992"/>
    <x v="4"/>
    <d v="2025-05-31T00:00:00"/>
    <x v="180"/>
    <s v="Пелагея Антоновна Цветкова"/>
    <s v="Пелагея Антоновна Цветкова"/>
    <x v="175"/>
    <s v="Антоновна"/>
    <s v="Цветкова"/>
  </r>
  <r>
    <n v="10"/>
    <s v="+380 937-173-7394"/>
    <s v="Давыдов Амос Владиславович"/>
    <x v="1"/>
    <d v="2022-11-16T00:00:00"/>
    <s v="+380"/>
    <x v="3"/>
    <d v="2025-05-31T00:00:00"/>
    <x v="40"/>
    <s v="Давыдов Амос Владиславович"/>
    <s v="Амос Владиславович Давыдов"/>
    <x v="176"/>
    <s v="Владиславович"/>
    <s v="Давыдов"/>
  </r>
  <r>
    <n v="174"/>
    <s v="+992 059-483-3104"/>
    <s v="Лазарев Аникей Венедиктович"/>
    <x v="0"/>
    <d v="2022-08-06T00:00:00"/>
    <s v="+992"/>
    <x v="4"/>
    <d v="2025-05-31T00:00:00"/>
    <x v="181"/>
    <s v="Лазарев Аникей Венедиктович"/>
    <s v="Аникей Венедиктович Лазарев"/>
    <x v="177"/>
    <s v="Венедиктович"/>
    <s v="Лазарев"/>
  </r>
  <r>
    <n v="72"/>
    <s v="+992 226-423-7263"/>
    <s v="Фомина Антонина Павловна"/>
    <x v="0"/>
    <d v="2022-12-11T00:00:00"/>
    <s v="+992"/>
    <x v="4"/>
    <d v="2025-05-31T00:00:00"/>
    <x v="182"/>
    <s v="Фомина Антонина Павловна"/>
    <s v="Антонина Павловна Фомина"/>
    <x v="178"/>
    <s v="Павловна"/>
    <s v="Фомина"/>
  </r>
  <r>
    <n v="38"/>
    <s v="+992 964-689-9206"/>
    <s v="Ираида Феликсовна Белоусова"/>
    <x v="1"/>
    <d v="2022-09-15T00:00:00"/>
    <s v="+992"/>
    <x v="4"/>
    <d v="2025-05-31T00:00:00"/>
    <x v="183"/>
    <s v="Ираида Феликсовна Белоусова"/>
    <s v="Ираида Феликсовна Белоусова"/>
    <x v="179"/>
    <s v="Феликсовна"/>
    <s v="Белоусова"/>
  </r>
  <r>
    <n v="18"/>
    <s v="+380 671-809-3559"/>
    <s v="Кира Степановна Рогова"/>
    <x v="1"/>
    <d v="2022-01-17T00:00:00"/>
    <s v="+380"/>
    <x v="3"/>
    <d v="2025-05-31T00:00:00"/>
    <x v="184"/>
    <s v="Кира Степановна Рогова"/>
    <s v="Кира Степановна Рогова"/>
    <x v="180"/>
    <s v="Степановна"/>
    <s v="Рогова"/>
  </r>
  <r>
    <n v="88"/>
    <s v="+380 611-258-8704"/>
    <s v="Кузнецов Севастьян Валерьевич"/>
    <x v="0"/>
    <d v="2022-03-10T00:00:00"/>
    <s v="+380"/>
    <x v="3"/>
    <d v="2025-05-31T00:00:00"/>
    <x v="185"/>
    <s v="Кузнецов Севастьян Валерьевич"/>
    <s v="Севастьян Валерьевич Кузнецов"/>
    <x v="181"/>
    <s v="Валерьевич"/>
    <s v="Кузнецов"/>
  </r>
  <r>
    <n v="129"/>
    <s v="+375 242-923-3569"/>
    <s v="Ираида Егоровна Родионова"/>
    <x v="1"/>
    <d v="2022-11-03T00:00:00"/>
    <s v="+375"/>
    <x v="1"/>
    <d v="2025-05-31T00:00:00"/>
    <x v="186"/>
    <s v="Ираида Егоровна Родионова"/>
    <s v="Ираида Егоровна Родионова"/>
    <x v="179"/>
    <s v="Егоровна"/>
    <s v="Родионова"/>
  </r>
  <r>
    <n v="19"/>
    <s v="+7 069-852-7793"/>
    <s v="Шубин Орест Августович"/>
    <x v="0"/>
    <d v="2022-12-07T00:00:00"/>
    <s v="+7"/>
    <x v="2"/>
    <d v="2025-05-31T00:00:00"/>
    <x v="187"/>
    <s v="Шубин Орест Августович"/>
    <s v="Орест Августович Шубин"/>
    <x v="182"/>
    <s v="Августович"/>
    <s v="Шубин"/>
  </r>
  <r>
    <n v="304"/>
    <s v="+7 891-832-3772"/>
    <s v="Сорокина Марфа Викторовна"/>
    <x v="1"/>
    <d v="2022-11-21T00:00:00"/>
    <s v="+7"/>
    <x v="2"/>
    <d v="2025-05-31T00:00:00"/>
    <x v="130"/>
    <s v="Сорокина Марфа Викторовна"/>
    <s v="Марфа Викторовна Сорокина"/>
    <x v="88"/>
    <s v="Викторовна"/>
    <s v="Сорокина"/>
  </r>
  <r>
    <n v="285"/>
    <s v="+992 852-358-1111"/>
    <s v="Лариса Степановна Гурьева"/>
    <x v="1"/>
    <d v="2022-12-27T00:00:00"/>
    <s v="+992"/>
    <x v="4"/>
    <d v="2025-05-31T00:00:00"/>
    <x v="109"/>
    <s v="Лариса Степановна Гурьева"/>
    <s v="Лариса Степановна Гурьева"/>
    <x v="183"/>
    <s v="Степановна"/>
    <s v="Гурьева"/>
  </r>
  <r>
    <n v="461"/>
    <s v="+998 087-023-3754"/>
    <s v="Олимпиада Львовна Михайлова"/>
    <x v="0"/>
    <d v="2022-04-16T00:00:00"/>
    <s v="+998"/>
    <x v="0"/>
    <d v="2025-05-31T00:00:00"/>
    <x v="188"/>
    <s v="Олимпиада Львовна Михайлова"/>
    <s v="Олимпиада Львовна Михайлова"/>
    <x v="184"/>
    <s v="Львовна"/>
    <s v="Михайлова"/>
  </r>
  <r>
    <n v="278"/>
    <s v="+998 276-111-5039"/>
    <s v="Савватий Богданович Фролов"/>
    <x v="1"/>
    <d v="2022-12-25T00:00:00"/>
    <s v="+998"/>
    <x v="0"/>
    <d v="2025-05-31T00:00:00"/>
    <x v="189"/>
    <s v="Савватий Богданович Фролов"/>
    <s v="Савватий Богданович Фролов"/>
    <x v="185"/>
    <s v="Богданович"/>
    <s v="Фролов"/>
  </r>
  <r>
    <n v="246"/>
    <s v="+998 455-040-0995"/>
    <s v="Евфросиния Тимофеевна Миронова"/>
    <x v="1"/>
    <d v="2022-09-01T00:00:00"/>
    <s v="+998"/>
    <x v="0"/>
    <d v="2025-05-31T00:00:00"/>
    <x v="176"/>
    <s v="Евфросиния Тимофеевна Миронова"/>
    <s v="Евфросиния Тимофеевна Миронова"/>
    <x v="115"/>
    <s v="Тимофеевна"/>
    <s v="Миронова"/>
  </r>
  <r>
    <n v="205"/>
    <s v="+7 689-265-9126"/>
    <s v="Назаров Пантелеймон Трофимович"/>
    <x v="0"/>
    <d v="2022-12-23T00:00:00"/>
    <s v="+7"/>
    <x v="2"/>
    <d v="2025-05-31T00:00:00"/>
    <x v="190"/>
    <s v="Назаров Пантелеймон Трофимович"/>
    <s v="Пантелеймон Трофимович Назаров"/>
    <x v="186"/>
    <s v="Трофимович"/>
    <s v="Назаров"/>
  </r>
  <r>
    <n v="357"/>
    <s v="+998 523-421-5092"/>
    <s v="Любим Зиновьевич Брагин"/>
    <x v="0"/>
    <d v="2022-12-18T00:00:00"/>
    <s v="+998"/>
    <x v="0"/>
    <d v="2025-05-31T00:00:00"/>
    <x v="191"/>
    <s v="Любим Зиновьевич Брагин"/>
    <s v="Любим Зиновьевич Брагин"/>
    <x v="187"/>
    <s v="Зиновьевич"/>
    <s v="Брагин"/>
  </r>
  <r>
    <n v="152"/>
    <s v="+375 678-304-0891"/>
    <s v="Вероника Сергеевна Блинова"/>
    <x v="1"/>
    <d v="2022-08-18T00:00:00"/>
    <s v="+375"/>
    <x v="1"/>
    <d v="2025-05-31T00:00:00"/>
    <x v="192"/>
    <s v="Вероника Сергеевна Блинова"/>
    <s v="Вероника Сергеевна Блинова"/>
    <x v="16"/>
    <s v="Сергеевна"/>
    <s v="Блинова"/>
  </r>
  <r>
    <n v="323"/>
    <s v="+992 647-315-8824"/>
    <s v="Прасковья Яковлевна Белоусова"/>
    <x v="0"/>
    <d v="2022-09-17T00:00:00"/>
    <s v="+992"/>
    <x v="4"/>
    <d v="2025-05-31T00:00:00"/>
    <x v="85"/>
    <s v="Прасковья Яковлевна Белоусова"/>
    <s v="Прасковья Яковлевна Белоусова"/>
    <x v="188"/>
    <s v="Яковлевна"/>
    <s v="Белоусова"/>
  </r>
  <r>
    <n v="185"/>
    <s v="+998 737-854-0193"/>
    <s v="Родион Яковлевич Коновалов"/>
    <x v="1"/>
    <d v="2022-05-02T00:00:00"/>
    <s v="+998"/>
    <x v="0"/>
    <d v="2025-05-31T00:00:00"/>
    <x v="52"/>
    <s v="Родион Яковлевич Коновалов"/>
    <s v="Родион Яковлевич Коновалов"/>
    <x v="79"/>
    <s v="Яковлевич"/>
    <s v="Коновалов"/>
  </r>
  <r>
    <n v="314"/>
    <s v="+7 772-932-9839"/>
    <s v="Артемьева София Ильинична"/>
    <x v="1"/>
    <d v="2022-12-04T00:00:00"/>
    <s v="+7"/>
    <x v="2"/>
    <d v="2025-05-31T00:00:00"/>
    <x v="193"/>
    <s v="Артемьева София Ильинична"/>
    <s v="София Ильинична Артемьева"/>
    <x v="189"/>
    <s v="Ильинична"/>
    <s v="Артемьева"/>
  </r>
  <r>
    <n v="476"/>
    <s v="+380 737-667-7208"/>
    <s v="Дьячков Серафим Дорофеевич"/>
    <x v="0"/>
    <d v="2022-05-22T00:00:00"/>
    <s v="+380"/>
    <x v="3"/>
    <d v="2025-05-31T00:00:00"/>
    <x v="119"/>
    <s v="Дьячков Серафим Дорофеевич"/>
    <s v="Серафим Дорофеевич Дьячков"/>
    <x v="190"/>
    <s v="Дорофеевич"/>
    <s v="Дьячков"/>
  </r>
  <r>
    <n v="375"/>
    <s v="+7 231-022-9731"/>
    <s v="Боян Дорофеевич Калашников"/>
    <x v="0"/>
    <d v="2022-04-23T00:00:00"/>
    <s v="+7"/>
    <x v="2"/>
    <d v="2025-05-31T00:00:00"/>
    <x v="156"/>
    <s v="Боян Дорофеевич Калашников"/>
    <s v="Боян Дорофеевич Калашников"/>
    <x v="34"/>
    <s v="Дорофеевич"/>
    <s v="Калашников"/>
  </r>
  <r>
    <n v="233"/>
    <s v="+992 013-075-6493"/>
    <s v="Синклитикия Никифоровна Овчинникова"/>
    <x v="0"/>
    <d v="2022-02-24T00:00:00"/>
    <s v="+992"/>
    <x v="4"/>
    <d v="2025-05-31T00:00:00"/>
    <x v="120"/>
    <s v="Синклитикия Никифоровна Овчинникова"/>
    <s v="Синклитикия Никифоровна Овчинникова"/>
    <x v="191"/>
    <s v="Никифоровна"/>
    <s v="Овчинникова"/>
  </r>
  <r>
    <n v="69"/>
    <s v="+992 403-485-6889"/>
    <s v="Елизар Архипович Щербаков"/>
    <x v="1"/>
    <d v="2022-01-26T00:00:00"/>
    <s v="+992"/>
    <x v="4"/>
    <d v="2025-05-31T00:00:00"/>
    <x v="143"/>
    <s v="Елизар Архипович Щербаков"/>
    <s v="Елизар Архипович Щербаков"/>
    <x v="192"/>
    <s v="Архипович"/>
    <s v="Щербаков"/>
  </r>
  <r>
    <n v="254"/>
    <s v="+375 342-835-7024"/>
    <s v="Любовь Павловна Капустина"/>
    <x v="0"/>
    <d v="2022-10-28T00:00:00"/>
    <s v="+375"/>
    <x v="1"/>
    <d v="2025-05-31T00:00:00"/>
    <x v="194"/>
    <s v="Любовь Павловна Капустина"/>
    <s v="Любовь Павловна Капустина"/>
    <x v="7"/>
    <s v="Павловна"/>
    <s v="Капустина"/>
  </r>
  <r>
    <n v="219"/>
    <s v="+992 412-286-2797"/>
    <s v="Арсений Ермолаевич Емельянов"/>
    <x v="0"/>
    <d v="2022-01-24T00:00:00"/>
    <s v="+992"/>
    <x v="4"/>
    <d v="2025-05-31T00:00:00"/>
    <x v="73"/>
    <s v="Арсений Ермолаевич Емельянов"/>
    <s v="Арсений Ермолаевич Емельянов"/>
    <x v="101"/>
    <s v="Ермолаевич"/>
    <s v="Емельянов"/>
  </r>
  <r>
    <n v="232"/>
    <s v="+992 878-995-1603"/>
    <s v="Мария Анатольевна Смирнова"/>
    <x v="0"/>
    <d v="2022-12-28T00:00:00"/>
    <s v="+992"/>
    <x v="4"/>
    <d v="2025-05-31T00:00:00"/>
    <x v="195"/>
    <s v="Мария Анатольевна Смирнова"/>
    <s v="Мария Анатольевна Смирнова"/>
    <x v="98"/>
    <s v="Анатольевна"/>
    <s v="Смирнова"/>
  </r>
  <r>
    <n v="372"/>
    <s v="+992 841-082-9227"/>
    <s v="Эдуард Фадеевич Сергеев"/>
    <x v="1"/>
    <d v="2022-07-30T00:00:00"/>
    <s v="+992"/>
    <x v="4"/>
    <d v="2025-05-31T00:00:00"/>
    <x v="170"/>
    <s v="Эдуард Фадеевич Сергеев"/>
    <s v="Эдуард Фадеевич Сергеев"/>
    <x v="193"/>
    <s v="Фадеевич"/>
    <s v="Сергеев"/>
  </r>
  <r>
    <n v="432"/>
    <s v="+992 976-290-1474"/>
    <s v="Анастасия Игоревна Белова"/>
    <x v="1"/>
    <d v="2022-06-06T00:00:00"/>
    <s v="+992"/>
    <x v="4"/>
    <d v="2025-05-31T00:00:00"/>
    <x v="196"/>
    <s v="Анастасия Игоревна Белова"/>
    <s v="Анастасия Игоревна Белова"/>
    <x v="97"/>
    <s v="Игоревна"/>
    <s v="Белова"/>
  </r>
  <r>
    <n v="221"/>
    <s v="+992 520-869-0598"/>
    <s v="Демид Антонович Мясников"/>
    <x v="0"/>
    <d v="2022-09-16T00:00:00"/>
    <s v="+992"/>
    <x v="4"/>
    <d v="2025-05-31T00:00:00"/>
    <x v="14"/>
    <s v="Демид Антонович Мясников"/>
    <s v="Демид Антонович Мясников"/>
    <x v="15"/>
    <s v="Антонович"/>
    <s v="Мясников"/>
  </r>
  <r>
    <n v="148"/>
    <s v="+7 730-745-5768"/>
    <s v="Феврония Антоновна Кулагина"/>
    <x v="0"/>
    <d v="2022-05-19T00:00:00"/>
    <s v="+7"/>
    <x v="2"/>
    <d v="2025-05-31T00:00:00"/>
    <x v="197"/>
    <s v="Феврония Антоновна Кулагина"/>
    <s v="Феврония Антоновна Кулагина"/>
    <x v="19"/>
    <s v="Антоновна"/>
    <s v="Кулагина"/>
  </r>
  <r>
    <n v="209"/>
    <s v="+7 816-795-8885"/>
    <s v="Ермакова Дарья Алексеевна"/>
    <x v="1"/>
    <d v="2022-03-08T00:00:00"/>
    <s v="+7"/>
    <x v="2"/>
    <d v="2025-05-31T00:00:00"/>
    <x v="166"/>
    <s v="Ермакова Дарья Алексеевна"/>
    <s v="Дарья Алексеевна Ермакова"/>
    <x v="194"/>
    <s v="Алексеевна"/>
    <s v="Ермакова"/>
  </r>
  <r>
    <n v="263"/>
    <s v="+992 980-571-8150"/>
    <s v="Шестакова Элеонора Дмитриевна"/>
    <x v="0"/>
    <d v="2022-02-20T00:00:00"/>
    <s v="+992"/>
    <x v="4"/>
    <d v="2025-05-31T00:00:00"/>
    <x v="198"/>
    <s v="Шестакова Элеонора Дмитриевна"/>
    <s v="Элеонора Дмитриевна Шестакова"/>
    <x v="29"/>
    <s v="Дмитриевна"/>
    <s v="Шестакова"/>
  </r>
  <r>
    <n v="101"/>
    <s v="+7 173-514-9301"/>
    <s v="Михей Феликсович Лихачев"/>
    <x v="1"/>
    <d v="2022-06-15T00:00:00"/>
    <s v="+7"/>
    <x v="2"/>
    <d v="2025-05-31T00:00:00"/>
    <x v="199"/>
    <s v="Михей Феликсович Лихачев"/>
    <s v="Михей Феликсович Лихачев"/>
    <x v="195"/>
    <s v="Феликсович"/>
    <s v="Лихачев"/>
  </r>
  <r>
    <n v="124"/>
    <s v="+7 559-899-4463"/>
    <s v="Ираклий Изотович Авдеев"/>
    <x v="0"/>
    <d v="2022-08-22T00:00:00"/>
    <s v="+7"/>
    <x v="2"/>
    <d v="2025-05-31T00:00:00"/>
    <x v="49"/>
    <s v="Ираклий Изотович Авдеев"/>
    <s v="Ираклий Изотович Авдеев"/>
    <x v="196"/>
    <s v="Изотович"/>
    <s v="Авдеев"/>
  </r>
  <r>
    <n v="257"/>
    <s v="+7 747-866-6152"/>
    <s v="Кононова Прасковья Павловна"/>
    <x v="1"/>
    <d v="2022-05-20T00:00:00"/>
    <s v="+7"/>
    <x v="2"/>
    <d v="2025-05-31T00:00:00"/>
    <x v="118"/>
    <s v="Кононова Прасковья Павловна"/>
    <s v="Прасковья Павловна Кононова"/>
    <x v="188"/>
    <s v="Павловна"/>
    <s v="Кононова"/>
  </r>
  <r>
    <n v="309"/>
    <s v="+7 524-548-9435"/>
    <s v="Любомир Валерианович Туров"/>
    <x v="1"/>
    <d v="2022-05-30T00:00:00"/>
    <s v="+7"/>
    <x v="2"/>
    <d v="2025-05-31T00:00:00"/>
    <x v="91"/>
    <s v="Любомир Валерианович Туров"/>
    <s v="Любомир Валерианович Туров"/>
    <x v="93"/>
    <s v="Валерианович"/>
    <s v="Туров"/>
  </r>
  <r>
    <n v="103"/>
    <s v="+998 833-068-3629"/>
    <s v="Сергеев Панкратий Теймуразович"/>
    <x v="0"/>
    <d v="2022-08-14T00:00:00"/>
    <s v="+998"/>
    <x v="0"/>
    <d v="2025-05-31T00:00:00"/>
    <x v="129"/>
    <s v="Сергеев Панкратий Теймуразович"/>
    <s v="Панкратий Теймуразович Сергеев"/>
    <x v="197"/>
    <s v="Теймуразович"/>
    <s v="Сергеев"/>
  </r>
  <r>
    <n v="31"/>
    <s v="+380 250-699-1873"/>
    <s v="Татьяна Павловна Павлова"/>
    <x v="1"/>
    <d v="2022-01-19T00:00:00"/>
    <s v="+380"/>
    <x v="3"/>
    <d v="2025-05-31T00:00:00"/>
    <x v="146"/>
    <s v="Татьяна Павловна Павлова"/>
    <s v="Татьяна Павловна Павлова"/>
    <x v="43"/>
    <s v="Павловна"/>
    <s v="Павлова"/>
  </r>
  <r>
    <n v="306"/>
    <s v="+380 672-066-4140"/>
    <s v="Поляков Силантий Адамович"/>
    <x v="0"/>
    <d v="2022-11-07T00:00:00"/>
    <s v="+380"/>
    <x v="3"/>
    <d v="2025-05-31T00:00:00"/>
    <x v="200"/>
    <s v="Поляков Силантий Адамович"/>
    <s v="Силантий Адамович Поляков"/>
    <x v="198"/>
    <s v="Адамович"/>
    <s v="Поляков"/>
  </r>
  <r>
    <n v="383"/>
    <s v="+380 959-961-5281"/>
    <s v="Герасимов Родион Харитонович"/>
    <x v="1"/>
    <d v="2022-11-11T00:00:00"/>
    <s v="+380"/>
    <x v="3"/>
    <d v="2025-05-31T00:00:00"/>
    <x v="138"/>
    <s v="Герасимов Родион Харитонович"/>
    <s v="Родион Харитонович Герасимов"/>
    <x v="79"/>
    <s v="Харитонович"/>
    <s v="Герасимов"/>
  </r>
  <r>
    <n v="367"/>
    <s v="+992 353-055-1290"/>
    <s v="Эмилия Вадимовна Александрова"/>
    <x v="1"/>
    <d v="2022-11-02T00:00:00"/>
    <s v="+992"/>
    <x v="4"/>
    <d v="2025-05-31T00:00:00"/>
    <x v="18"/>
    <s v="Эмилия Вадимовна Александрова"/>
    <s v="Эмилия Вадимовна Александрова"/>
    <x v="49"/>
    <s v="Вадимовна"/>
    <s v="Александрова"/>
  </r>
  <r>
    <n v="138"/>
    <s v="+380 229-176-0124"/>
    <s v="Нинель Кузьминична Журавлева"/>
    <x v="0"/>
    <d v="2022-06-11T00:00:00"/>
    <s v="+380"/>
    <x v="3"/>
    <d v="2025-05-31T00:00:00"/>
    <x v="201"/>
    <s v="Нинель Кузьминична Журавлева"/>
    <s v="Нинель Кузьминична Журавлева"/>
    <x v="20"/>
    <s v="Кузьминична"/>
    <s v="Журавлева"/>
  </r>
  <r>
    <n v="158"/>
    <s v="+998 941-560-7307"/>
    <s v="Маркова Ксения Максимовна"/>
    <x v="1"/>
    <d v="2022-07-10T00:00:00"/>
    <s v="+998"/>
    <x v="0"/>
    <d v="2025-05-31T00:00:00"/>
    <x v="168"/>
    <s v="Маркова Ксения Максимовна"/>
    <s v="Ксения Максимовна Маркова"/>
    <x v="172"/>
    <s v="Максимовна"/>
    <s v="Маркова"/>
  </r>
  <r>
    <n v="217"/>
    <s v="+7 322-163-7549"/>
    <s v="Фомичев Ипполит Артурович"/>
    <x v="1"/>
    <d v="2022-09-22T00:00:00"/>
    <s v="+7"/>
    <x v="2"/>
    <d v="2025-05-31T00:00:00"/>
    <x v="164"/>
    <s v="Фомичев Ипполит Артурович"/>
    <s v="Ипполит Артурович Фомичев"/>
    <x v="113"/>
    <s v="Артурович"/>
    <s v="Фомичев"/>
  </r>
  <r>
    <n v="102"/>
    <s v="+998 087-830-4222"/>
    <s v="Галактион Жанович Новиков"/>
    <x v="1"/>
    <d v="2022-06-11T00:00:00"/>
    <s v="+998"/>
    <x v="0"/>
    <d v="2025-05-31T00:00:00"/>
    <x v="201"/>
    <s v="Галактион Жанович Новиков"/>
    <s v="Галактион Жанович Новиков"/>
    <x v="199"/>
    <s v="Жанович"/>
    <s v="Новиков"/>
  </r>
  <r>
    <n v="425"/>
    <s v="+998 965-511-3258"/>
    <s v="Алевтина Ефимовна Белякова"/>
    <x v="1"/>
    <d v="2022-08-09T00:00:00"/>
    <s v="+998"/>
    <x v="0"/>
    <d v="2025-05-31T00:00:00"/>
    <x v="202"/>
    <s v="Алевтина Ефимовна Белякова"/>
    <s v="Алевтина Ефимовна Белякова"/>
    <x v="129"/>
    <s v="Ефимовна"/>
    <s v="Белякова"/>
  </r>
  <r>
    <n v="43"/>
    <s v="+7 120-273-0435"/>
    <s v="Куликова Евгения Григорьевна"/>
    <x v="0"/>
    <d v="2022-12-17T00:00:00"/>
    <s v="+7"/>
    <x v="2"/>
    <d v="2025-05-31T00:00:00"/>
    <x v="203"/>
    <s v="Куликова Евгения Григорьевна"/>
    <s v="Евгения Григорьевна Куликова"/>
    <x v="51"/>
    <s v="Григорьевна"/>
    <s v="Куликова"/>
  </r>
  <r>
    <n v="326"/>
    <s v="+7 529-529-9415"/>
    <s v="Кошелева Марина Рудольфовна"/>
    <x v="1"/>
    <d v="2022-04-04T00:00:00"/>
    <s v="+7"/>
    <x v="2"/>
    <d v="2025-05-31T00:00:00"/>
    <x v="147"/>
    <s v="Кошелева Марина Рудольфовна"/>
    <s v="Марина Рудольфовна Кошелева"/>
    <x v="200"/>
    <s v="Рудольфовна"/>
    <s v="Кошелева"/>
  </r>
  <r>
    <n v="402"/>
    <s v="+998 999-821-3025"/>
    <s v="Пахом Даниилович Кузьмин"/>
    <x v="0"/>
    <d v="2022-06-30T00:00:00"/>
    <s v="+998"/>
    <x v="0"/>
    <d v="2025-05-31T00:00:00"/>
    <x v="204"/>
    <s v="Пахом Даниилович Кузьмин"/>
    <s v="Пахом Даниилович Кузьмин"/>
    <x v="201"/>
    <s v="Даниилович"/>
    <s v="Кузьмин"/>
  </r>
  <r>
    <n v="23"/>
    <s v="+7 142-825-3773"/>
    <s v="Морозова Феврония Николаевна"/>
    <x v="1"/>
    <d v="2022-05-25T00:00:00"/>
    <s v="+7"/>
    <x v="2"/>
    <d v="2025-05-31T00:00:00"/>
    <x v="140"/>
    <s v="Морозова Феврония Николаевна"/>
    <s v="Феврония Николаевна Морозова"/>
    <x v="19"/>
    <s v="Николаевна"/>
    <s v="Морозова"/>
  </r>
  <r>
    <n v="468"/>
    <s v="+998 783-609-3463"/>
    <s v="Дарья Степановна Потапова"/>
    <x v="0"/>
    <d v="2022-02-27T00:00:00"/>
    <s v="+998"/>
    <x v="0"/>
    <d v="2025-05-31T00:00:00"/>
    <x v="7"/>
    <s v="Дарья Степановна Потапова"/>
    <s v="Дарья Степановна Потапова"/>
    <x v="194"/>
    <s v="Степановна"/>
    <s v="Потапова"/>
  </r>
  <r>
    <n v="141"/>
    <s v="+7 731-326-3751"/>
    <s v="Владимиров Орест Артемьевич"/>
    <x v="0"/>
    <d v="2022-07-01T00:00:00"/>
    <s v="+7"/>
    <x v="2"/>
    <d v="2025-05-31T00:00:00"/>
    <x v="83"/>
    <s v="Владимиров Орест Артемьевич"/>
    <s v="Орест Артемьевич Владимиров"/>
    <x v="182"/>
    <s v="Артемьевич"/>
    <s v="Владимиров"/>
  </r>
  <r>
    <n v="182"/>
    <s v="+998 271-883-9995"/>
    <s v="Калинин Никита Артурович"/>
    <x v="0"/>
    <d v="2022-10-22T00:00:00"/>
    <s v="+998"/>
    <x v="0"/>
    <d v="2025-05-31T00:00:00"/>
    <x v="107"/>
    <s v="Калинин Никита Артурович"/>
    <s v="Никита Артурович Калинин"/>
    <x v="157"/>
    <s v="Артурович"/>
    <s v="Калинин"/>
  </r>
  <r>
    <n v="225"/>
    <s v="+375 563-314-3708"/>
    <s v="Зоя Вячеславовна Панова"/>
    <x v="0"/>
    <d v="2022-09-23T00:00:00"/>
    <s v="+375"/>
    <x v="1"/>
    <d v="2025-05-31T00:00:00"/>
    <x v="42"/>
    <s v="Зоя Вячеславовна Панова"/>
    <s v="Зоя Вячеславовна Панова"/>
    <x v="5"/>
    <s v="Вячеславовна"/>
    <s v="Панова"/>
  </r>
  <r>
    <n v="151"/>
    <s v="+375 280-614-3764"/>
    <s v="Лука Игнатьевич Власов"/>
    <x v="1"/>
    <d v="2022-12-28T00:00:00"/>
    <s v="+375"/>
    <x v="1"/>
    <d v="2025-05-31T00:00:00"/>
    <x v="195"/>
    <s v="Лука Игнатьевич Власов"/>
    <s v="Лука Игнатьевич Власов"/>
    <x v="86"/>
    <s v="Игнатьевич"/>
    <s v="Власов"/>
  </r>
  <r>
    <n v="428"/>
    <s v="+375 844-419-2850"/>
    <s v="Лавр Харлампович Беляков"/>
    <x v="1"/>
    <d v="2022-10-14T00:00:00"/>
    <s v="+375"/>
    <x v="1"/>
    <d v="2025-05-31T00:00:00"/>
    <x v="167"/>
    <s v="Лавр Харлампович Беляков"/>
    <s v="Лавр Харлампович Беляков"/>
    <x v="202"/>
    <s v="Харлампович"/>
    <s v="Беляков"/>
  </r>
  <r>
    <n v="438"/>
    <s v="+998 225-019-2493"/>
    <s v="Прасковья Петровна Дементьева"/>
    <x v="0"/>
    <d v="2022-05-12T00:00:00"/>
    <s v="+998"/>
    <x v="0"/>
    <d v="2025-05-31T00:00:00"/>
    <x v="29"/>
    <s v="Прасковья Петровна Дементьева"/>
    <s v="Прасковья Петровна Дементьева"/>
    <x v="188"/>
    <s v="Петровна"/>
    <s v="Дементьева"/>
  </r>
  <r>
    <n v="465"/>
    <s v="+998 955-643-6256"/>
    <s v="Евдокия Ефимовна Карпова"/>
    <x v="1"/>
    <d v="2022-04-20T00:00:00"/>
    <s v="+998"/>
    <x v="0"/>
    <d v="2025-05-31T00:00:00"/>
    <x v="131"/>
    <s v="Евдокия Ефимовна Карпова"/>
    <s v="Евдокия Ефимовна Карпова"/>
    <x v="47"/>
    <s v="Ефимовна"/>
    <s v="Карпова"/>
  </r>
  <r>
    <n v="215"/>
    <s v="+7 191-068-2694"/>
    <s v="Корнил Адрианович Комиссаров"/>
    <x v="1"/>
    <d v="2022-08-26T00:00:00"/>
    <s v="+7"/>
    <x v="2"/>
    <d v="2025-05-31T00:00:00"/>
    <x v="205"/>
    <s v="Корнил Адрианович Комиссаров"/>
    <s v="Корнил Адрианович Комиссаров"/>
    <x v="203"/>
    <s v="Адрианович"/>
    <s v="Комиссаров"/>
  </r>
  <r>
    <n v="15"/>
    <s v="+380 001-347-5456"/>
    <s v="Алексей Трифонович Блинов"/>
    <x v="1"/>
    <d v="2022-05-30T00:00:00"/>
    <s v="+380"/>
    <x v="3"/>
    <d v="2025-05-31T00:00:00"/>
    <x v="91"/>
    <s v="Алексей Трифонович Блинов"/>
    <s v="Алексей Трифонович Блинов"/>
    <x v="204"/>
    <s v="Трифонович"/>
    <s v="Блинов"/>
  </r>
  <r>
    <n v="370"/>
    <s v="+992 902-872-9763"/>
    <s v="Орехова Кира Натановна"/>
    <x v="0"/>
    <d v="2022-06-14T00:00:00"/>
    <s v="+992"/>
    <x v="4"/>
    <d v="2025-05-31T00:00:00"/>
    <x v="136"/>
    <s v="Орехова Кира Натановна"/>
    <s v="Кира Натановна Орехова"/>
    <x v="180"/>
    <s v="Натановна"/>
    <s v="Орехова"/>
  </r>
  <r>
    <n v="80"/>
    <s v="+375 515-558-2884"/>
    <s v="Рубен Димитриевич Веселов"/>
    <x v="1"/>
    <d v="2022-03-03T00:00:00"/>
    <s v="+375"/>
    <x v="1"/>
    <d v="2025-05-31T00:00:00"/>
    <x v="122"/>
    <s v="Рубен Димитриевич Веселов"/>
    <s v="Рубен Димитриевич Веселов"/>
    <x v="205"/>
    <s v="Димитриевич"/>
    <s v="Веселов"/>
  </r>
  <r>
    <n v="17"/>
    <s v="+992 124-441-2478"/>
    <s v="Валентина Кирилловна Семенова"/>
    <x v="1"/>
    <d v="2022-11-12T00:00:00"/>
    <s v="+992"/>
    <x v="4"/>
    <d v="2025-05-31T00:00:00"/>
    <x v="206"/>
    <s v="Валентина Кирилловна Семенова"/>
    <s v="Валентина Кирилловна Семенова"/>
    <x v="46"/>
    <s v="Кирилловна"/>
    <s v="Семенова"/>
  </r>
  <r>
    <n v="127"/>
    <s v="+380 266-548-4802"/>
    <s v="Журавлев Аристарх Евсеевич"/>
    <x v="1"/>
    <d v="2022-12-19T00:00:00"/>
    <s v="+380"/>
    <x v="3"/>
    <d v="2025-05-31T00:00:00"/>
    <x v="128"/>
    <s v="Журавлев Аристарх Евсеевич"/>
    <s v="Аристарх Евсеевич Журавлев"/>
    <x v="206"/>
    <s v="Евсеевич"/>
    <s v="Журавлев"/>
  </r>
  <r>
    <n v="441"/>
    <s v="+998 286-143-0624"/>
    <s v="Силина Татьяна Аркадьевна"/>
    <x v="1"/>
    <d v="2022-11-02T00:00:00"/>
    <s v="+998"/>
    <x v="0"/>
    <d v="2025-05-31T00:00:00"/>
    <x v="18"/>
    <s v="Силина Татьяна Аркадьевна"/>
    <s v="Татьяна Аркадьевна Силина"/>
    <x v="43"/>
    <s v="Аркадьевна"/>
    <s v="Силина"/>
  </r>
  <r>
    <n v="220"/>
    <s v="+380 169-087-4183"/>
    <s v="Николай Феоктистович Дроздов"/>
    <x v="1"/>
    <d v="2022-01-09T00:00:00"/>
    <s v="+380"/>
    <x v="3"/>
    <d v="2025-05-31T00:00:00"/>
    <x v="81"/>
    <s v="Николай Феоктистович Дроздов"/>
    <s v="Николай Феоктистович Дроздов"/>
    <x v="158"/>
    <s v="Феоктистович"/>
    <s v="Дроздов"/>
  </r>
  <r>
    <n v="206"/>
    <s v="+7 916-678-5714"/>
    <s v="Радислав Герасимович Колобов"/>
    <x v="1"/>
    <d v="2022-01-07T00:00:00"/>
    <s v="+7"/>
    <x v="2"/>
    <d v="2025-05-31T00:00:00"/>
    <x v="55"/>
    <s v="Радислав Герасимович Колобов"/>
    <s v="Радислав Герасимович Колобов"/>
    <x v="38"/>
    <s v="Герасимович"/>
    <s v="Колобов"/>
  </r>
  <r>
    <n v="210"/>
    <s v="+998 936-440-2703"/>
    <s v="Мартын Августович Баранов"/>
    <x v="1"/>
    <d v="2022-02-10T00:00:00"/>
    <s v="+998"/>
    <x v="0"/>
    <d v="2025-05-31T00:00:00"/>
    <x v="207"/>
    <s v="Мартын Августович Баранов"/>
    <s v="Мартын Августович Баранов"/>
    <x v="207"/>
    <s v="Августович"/>
    <s v="Баранов"/>
  </r>
  <r>
    <n v="67"/>
    <s v="+998 090-420-2619"/>
    <s v="Алла Геннадьевна Фомина"/>
    <x v="0"/>
    <d v="2022-06-19T00:00:00"/>
    <s v="+998"/>
    <x v="0"/>
    <d v="2025-05-31T00:00:00"/>
    <x v="208"/>
    <s v="Алла Геннадьевна Фомина"/>
    <s v="Алла Геннадьевна Фомина"/>
    <x v="134"/>
    <s v="Геннадьевна"/>
    <s v="Фомина"/>
  </r>
  <r>
    <n v="125"/>
    <s v="+7 722-155-8660"/>
    <s v="Копылова Эмилия Тарасовна"/>
    <x v="1"/>
    <d v="2022-05-20T00:00:00"/>
    <s v="+7"/>
    <x v="2"/>
    <d v="2025-05-31T00:00:00"/>
    <x v="118"/>
    <s v="Копылова Эмилия Тарасовна"/>
    <s v="Эмилия Тарасовна Копылова"/>
    <x v="49"/>
    <s v="Тарасовна"/>
    <s v="Копылова"/>
  </r>
  <r>
    <n v="213"/>
    <s v="+998 437-737-9329"/>
    <s v="Власов Адриан Чеславович"/>
    <x v="1"/>
    <d v="2022-06-21T00:00:00"/>
    <s v="+998"/>
    <x v="0"/>
    <d v="2025-05-31T00:00:00"/>
    <x v="209"/>
    <s v="Власов Адриан Чеславович"/>
    <s v="Адриан Чеславович Власов"/>
    <x v="145"/>
    <s v="Чеславович"/>
    <s v="Власов"/>
  </r>
  <r>
    <n v="336"/>
    <s v="+998 773-281-1360"/>
    <s v="Григорьева Ульяна Артемовна"/>
    <x v="1"/>
    <d v="2022-10-22T00:00:00"/>
    <s v="+998"/>
    <x v="0"/>
    <d v="2025-05-31T00:00:00"/>
    <x v="107"/>
    <s v="Григорьева Ульяна Артемовна"/>
    <s v="Ульяна Артемовна Григорьева"/>
    <x v="25"/>
    <s v="Артемовна"/>
    <s v="Григорьева"/>
  </r>
  <r>
    <n v="294"/>
    <s v="+380 363-690-1507"/>
    <s v="Давыд Филатович Мухин"/>
    <x v="0"/>
    <d v="2022-11-14T00:00:00"/>
    <s v="+380"/>
    <x v="3"/>
    <d v="2025-05-31T00:00:00"/>
    <x v="210"/>
    <s v="Давыд Филатович Мухин"/>
    <s v="Давыд Филатович Мухин"/>
    <x v="152"/>
    <s v="Филатович"/>
    <s v="Мухин"/>
  </r>
  <r>
    <n v="27"/>
    <s v="+380 922-338-1312"/>
    <s v="Аггей Валентинович Артемьев"/>
    <x v="1"/>
    <d v="2022-01-25T00:00:00"/>
    <s v="+380"/>
    <x v="3"/>
    <d v="2025-05-31T00:00:00"/>
    <x v="211"/>
    <s v="Аггей Валентинович Артемьев"/>
    <s v="Аггей Валентинович Артемьев"/>
    <x v="62"/>
    <s v="Валентинович"/>
    <s v="Артемьев"/>
  </r>
  <r>
    <n v="53"/>
    <s v="+7 189-378-6167"/>
    <s v="Антонина Борисовна Жданова"/>
    <x v="1"/>
    <d v="2022-02-01T00:00:00"/>
    <s v="+7"/>
    <x v="2"/>
    <d v="2025-05-31T00:00:00"/>
    <x v="212"/>
    <s v="Антонина Борисовна Жданова"/>
    <s v="Антонина Борисовна Жданова"/>
    <x v="178"/>
    <s v="Борисовна"/>
    <s v="Жданова"/>
  </r>
  <r>
    <n v="143"/>
    <s v="+7 747-226-1755"/>
    <s v="Маслов Захар Феофанович"/>
    <x v="1"/>
    <d v="2022-02-09T00:00:00"/>
    <s v="+7"/>
    <x v="2"/>
    <d v="2025-05-31T00:00:00"/>
    <x v="84"/>
    <s v="Маслов Захар Феофанович"/>
    <s v="Захар Феофанович Маслов"/>
    <x v="208"/>
    <s v="Феофанович"/>
    <s v="Маслов"/>
  </r>
  <r>
    <n v="135"/>
    <s v="+7 402-873-2919"/>
    <s v="Станислав Ильясович Ширяев"/>
    <x v="0"/>
    <d v="2022-02-10T00:00:00"/>
    <s v="+7"/>
    <x v="2"/>
    <d v="2025-05-31T00:00:00"/>
    <x v="207"/>
    <s v="Станислав Ильясович Ширяев"/>
    <s v="Станислав Ильясович Ширяев"/>
    <x v="156"/>
    <s v="Ильясович"/>
    <s v="Ширяев"/>
  </r>
  <r>
    <n v="279"/>
    <s v="+998 661-487-5525"/>
    <s v="Наталья Геннадьевна Колесникова"/>
    <x v="0"/>
    <d v="2022-08-13T00:00:00"/>
    <s v="+998"/>
    <x v="0"/>
    <d v="2025-05-31T00:00:00"/>
    <x v="213"/>
    <s v="Наталья Геннадьевна Колесникова"/>
    <s v="Наталья Геннадьевна Колесникова"/>
    <x v="209"/>
    <s v="Геннадьевна"/>
    <s v="Колесникова"/>
  </r>
  <r>
    <n v="271"/>
    <s v="+375 972-832-7690"/>
    <s v="Ермаков Степан Егорович"/>
    <x v="1"/>
    <d v="2022-11-27T00:00:00"/>
    <s v="+375"/>
    <x v="1"/>
    <d v="2025-05-31T00:00:00"/>
    <x v="36"/>
    <s v="Ермаков Степан Егорович"/>
    <s v="Степан Егорович Ермаков"/>
    <x v="210"/>
    <s v="Егорович"/>
    <s v="Ермаков"/>
  </r>
  <r>
    <n v="444"/>
    <s v="+7 729-805-4220"/>
    <s v="Маслова Анастасия Станиславовна"/>
    <x v="0"/>
    <d v="2022-05-07T00:00:00"/>
    <s v="+7"/>
    <x v="2"/>
    <d v="2025-05-31T00:00:00"/>
    <x v="214"/>
    <s v="Маслова Анастасия Станиславовна"/>
    <s v="Анастасия Станиславовна Маслова"/>
    <x v="97"/>
    <s v="Станиславовна"/>
    <s v="Маслова"/>
  </r>
  <r>
    <n v="133"/>
    <s v="+998 035-761-6314"/>
    <s v="Марфа Георгиевна Титова"/>
    <x v="1"/>
    <d v="2022-01-27T00:00:00"/>
    <s v="+998"/>
    <x v="0"/>
    <d v="2025-05-31T00:00:00"/>
    <x v="132"/>
    <s v="Марфа Георгиевна Титова"/>
    <s v="Марфа Георгиевна Титова"/>
    <x v="88"/>
    <s v="Георгиевна"/>
    <s v="Титова"/>
  </r>
  <r>
    <n v="300"/>
    <s v="+380 329-195-8747"/>
    <s v="Копылов Мартьян Августович"/>
    <x v="0"/>
    <d v="2022-09-20T00:00:00"/>
    <s v="+380"/>
    <x v="3"/>
    <d v="2025-05-31T00:00:00"/>
    <x v="215"/>
    <s v="Копылов Мартьян Августович"/>
    <s v="Мартьян Августович Копылов"/>
    <x v="211"/>
    <s v="Августович"/>
    <s v="Копылов"/>
  </r>
  <r>
    <n v="54"/>
    <s v="+375 824-010-1358"/>
    <s v="Рогов Сила Гордеевич"/>
    <x v="1"/>
    <d v="2022-10-13T00:00:00"/>
    <s v="+375"/>
    <x v="1"/>
    <d v="2025-05-31T00:00:00"/>
    <x v="216"/>
    <s v="Рогов Сила Гордеевич"/>
    <s v="Сила Гордеевич Рогов"/>
    <x v="36"/>
    <s v="Гордеевич"/>
    <s v="Рогов"/>
  </r>
  <r>
    <n v="340"/>
    <s v="+7 091-838-5158"/>
    <s v="Леон Аверьянович Захаров"/>
    <x v="1"/>
    <d v="2022-12-01T00:00:00"/>
    <s v="+7"/>
    <x v="2"/>
    <d v="2025-05-31T00:00:00"/>
    <x v="76"/>
    <s v="Леон Аверьянович Захаров"/>
    <s v="Леон Аверьянович Захаров"/>
    <x v="212"/>
    <s v="Аверьянович"/>
    <s v="Захаров"/>
  </r>
  <r>
    <n v="272"/>
    <s v="+992 852-094-1088"/>
    <s v="Захар Артемьевич Воробьев"/>
    <x v="1"/>
    <d v="2022-04-17T00:00:00"/>
    <s v="+992"/>
    <x v="4"/>
    <d v="2025-05-31T00:00:00"/>
    <x v="217"/>
    <s v="Захар Артемьевич Воробьев"/>
    <s v="Захар Артемьевич Воробьев"/>
    <x v="208"/>
    <s v="Артемьевич"/>
    <s v="Воробьев"/>
  </r>
  <r>
    <n v="165"/>
    <s v="+992 204-182-8433"/>
    <s v="Вадим Артёмович Анисимов"/>
    <x v="0"/>
    <d v="2022-02-07T00:00:00"/>
    <s v="+992"/>
    <x v="4"/>
    <d v="2025-05-31T00:00:00"/>
    <x v="86"/>
    <s v="Вадим Артёмович Анисимов"/>
    <s v="Вадим Артёмович Анисимов"/>
    <x v="85"/>
    <s v="Артёмович"/>
    <s v="Анисимов"/>
  </r>
  <r>
    <n v="214"/>
    <s v="+7 147-975-5645"/>
    <s v="Михеев Андроник Ефимьевич"/>
    <x v="0"/>
    <d v="2022-02-09T00:00:00"/>
    <s v="+7"/>
    <x v="2"/>
    <d v="2025-05-31T00:00:00"/>
    <x v="84"/>
    <s v="Михеев Андроник Ефимьевич"/>
    <s v="Андроник Ефимьевич Михеев"/>
    <x v="213"/>
    <s v="Ефимьевич"/>
    <s v="Михеев"/>
  </r>
  <r>
    <n v="409"/>
    <s v="+380 916-341-6028"/>
    <s v="Лаврентьева Маргарита Артемовна"/>
    <x v="1"/>
    <d v="2022-11-04T00:00:00"/>
    <s v="+380"/>
    <x v="3"/>
    <d v="2025-05-31T00:00:00"/>
    <x v="101"/>
    <s v="Лаврентьева Маргарита Артемовна"/>
    <s v="Маргарита Артемовна Лаврентьева"/>
    <x v="94"/>
    <s v="Артемовна"/>
    <s v="Лаврентьева"/>
  </r>
  <r>
    <n v="348"/>
    <s v="+380 809-127-8060"/>
    <s v="Измаил Глебович Зыков"/>
    <x v="0"/>
    <d v="2022-01-08T00:00:00"/>
    <s v="+380"/>
    <x v="3"/>
    <d v="2025-05-31T00:00:00"/>
    <x v="218"/>
    <s v="Измаил Глебович Зыков"/>
    <s v="Измаил Глебович Зыков"/>
    <x v="60"/>
    <s v="Глебович"/>
    <s v="Зыков"/>
  </r>
  <r>
    <n v="351"/>
    <s v="+7 885-064-8776"/>
    <s v="Щукина Элеонора Робертовна"/>
    <x v="0"/>
    <d v="2022-10-29T00:00:00"/>
    <s v="+7"/>
    <x v="2"/>
    <d v="2025-05-31T00:00:00"/>
    <x v="69"/>
    <s v="Щукина Элеонора Робертовна"/>
    <s v="Элеонора Робертовна Щукина"/>
    <x v="29"/>
    <s v="Робертовна"/>
    <s v="Щукина"/>
  </r>
  <r>
    <n v="40"/>
    <s v="+7 875-362-2366"/>
    <s v="Амвросий Артемьевич Гаврилов"/>
    <x v="1"/>
    <d v="2022-10-21T00:00:00"/>
    <s v="+7"/>
    <x v="2"/>
    <d v="2025-05-31T00:00:00"/>
    <x v="48"/>
    <s v="Амвросий Артемьевич Гаврилов"/>
    <s v="Амвросий Артемьевич Гаврилов"/>
    <x v="214"/>
    <s v="Артемьевич"/>
    <s v="Гаврилов"/>
  </r>
  <r>
    <n v="245"/>
    <s v="+998 301-225-3693"/>
    <s v="Феврония Юрьевна Шубина"/>
    <x v="1"/>
    <d v="2022-05-14T00:00:00"/>
    <s v="+998"/>
    <x v="0"/>
    <d v="2025-05-31T00:00:00"/>
    <x v="219"/>
    <s v="Феврония Юрьевна Шубина"/>
    <s v="Феврония Юрьевна Шубина"/>
    <x v="19"/>
    <s v="Юрьевна"/>
    <s v="Шубина"/>
  </r>
  <r>
    <n v="466"/>
    <s v="+375 956-020-3484"/>
    <s v="Никитина Лора Георгиевна"/>
    <x v="0"/>
    <d v="2022-07-30T00:00:00"/>
    <s v="+375"/>
    <x v="1"/>
    <d v="2025-05-31T00:00:00"/>
    <x v="170"/>
    <s v="Никитина Лора Георгиевна"/>
    <s v="Лора Георгиевна Никитина"/>
    <x v="37"/>
    <s v="Георгиевна"/>
    <s v="Никитина"/>
  </r>
  <r>
    <n v="122"/>
    <s v="+375 165-356-7542"/>
    <s v="Максим Анатольевич Семенов"/>
    <x v="1"/>
    <d v="2022-05-02T00:00:00"/>
    <s v="+375"/>
    <x v="1"/>
    <d v="2025-05-31T00:00:00"/>
    <x v="52"/>
    <s v="Максим Анатольевич Семенов"/>
    <s v="Максим Анатольевич Семенов"/>
    <x v="215"/>
    <s v="Анатольевич"/>
    <s v="Семенов"/>
  </r>
  <r>
    <n v="199"/>
    <s v="+998 455-746-0633"/>
    <s v="Горбунова Алевтина Максимовна"/>
    <x v="0"/>
    <d v="2022-06-03T00:00:00"/>
    <s v="+998"/>
    <x v="0"/>
    <d v="2025-05-31T00:00:00"/>
    <x v="220"/>
    <s v="Горбунова Алевтина Максимовна"/>
    <s v="Алевтина Максимовна Горбунова"/>
    <x v="129"/>
    <s v="Максимовна"/>
    <s v="Горбунова"/>
  </r>
  <r>
    <n v="447"/>
    <s v="+992 443-164-9246"/>
    <s v="Жанна Станиславовна Семенова"/>
    <x v="0"/>
    <d v="2022-12-03T00:00:00"/>
    <s v="+992"/>
    <x v="4"/>
    <d v="2025-05-31T00:00:00"/>
    <x v="221"/>
    <s v="Жанна Станиславовна Семенова"/>
    <s v="Жанна Станиславовна Семенова"/>
    <x v="123"/>
    <s v="Станиславовна"/>
    <s v="Семенова"/>
  </r>
  <r>
    <n v="163"/>
    <s v="+998 436-367-6830"/>
    <s v="Виктория Ильинична Соколова"/>
    <x v="0"/>
    <d v="2022-01-10T00:00:00"/>
    <s v="+998"/>
    <x v="0"/>
    <d v="2025-05-31T00:00:00"/>
    <x v="222"/>
    <s v="Виктория Ильинична Соколова"/>
    <s v="Виктория Ильинична Соколова"/>
    <x v="133"/>
    <s v="Ильинична"/>
    <s v="Соколова"/>
  </r>
  <r>
    <n v="320"/>
    <s v="+375 529-351-9731"/>
    <s v="Новикова Ия Рубеновна"/>
    <x v="1"/>
    <d v="2022-11-04T00:00:00"/>
    <s v="+375"/>
    <x v="1"/>
    <d v="2025-05-31T00:00:00"/>
    <x v="101"/>
    <s v="Новикова Ия Рубеновна"/>
    <s v="Ия Рубеновна Новикова"/>
    <x v="42"/>
    <s v="Рубеновна"/>
    <s v="Новикова"/>
  </r>
  <r>
    <n v="173"/>
    <s v="+7 914-597-1350"/>
    <s v="Гаврилов Матвей Трифонович"/>
    <x v="1"/>
    <d v="2022-04-22T00:00:00"/>
    <s v="+7"/>
    <x v="2"/>
    <d v="2025-05-31T00:00:00"/>
    <x v="105"/>
    <s v="Гаврилов Матвей Трифонович"/>
    <s v="Матвей Трифонович Гаврилов"/>
    <x v="167"/>
    <s v="Трифонович"/>
    <s v="Гаврилов"/>
  </r>
  <r>
    <n v="485"/>
    <s v="+7 927-005-2176"/>
    <s v="Пономарев Творимир Демидович"/>
    <x v="1"/>
    <d v="2022-06-11T00:00:00"/>
    <s v="+7"/>
    <x v="2"/>
    <d v="2025-05-31T00:00:00"/>
    <x v="201"/>
    <s v="Пономарев Творимир Демидович"/>
    <s v="Творимир Демидович Пономарев"/>
    <x v="216"/>
    <s v="Демидович"/>
    <s v="Пономарев"/>
  </r>
  <r>
    <n v="401"/>
    <s v="+7 411-180-0061"/>
    <s v="Екатерина Рудольфовна Кулакова"/>
    <x v="1"/>
    <d v="2022-10-22T00:00:00"/>
    <s v="+7"/>
    <x v="2"/>
    <d v="2025-05-31T00:00:00"/>
    <x v="107"/>
    <s v="Екатерина Рудольфовна Кулакова"/>
    <s v="Екатерина Рудольфовна Кулакова"/>
    <x v="141"/>
    <s v="Рудольфовна"/>
    <s v="Кулакова"/>
  </r>
  <r>
    <n v="379"/>
    <s v="+992 471-072-5643"/>
    <s v="Соколова Кира Дмитриевна"/>
    <x v="1"/>
    <d v="2022-01-20T00:00:00"/>
    <s v="+992"/>
    <x v="4"/>
    <d v="2025-05-31T00:00:00"/>
    <x v="97"/>
    <s v="Соколова Кира Дмитриевна"/>
    <s v="Кира Дмитриевна Соколова"/>
    <x v="180"/>
    <s v="Дмитриевна"/>
    <s v="Соколова"/>
  </r>
  <r>
    <n v="201"/>
    <s v="+992 994-189-2821"/>
    <s v="Новиков Ростислав Августович"/>
    <x v="0"/>
    <d v="2022-10-09T00:00:00"/>
    <s v="+992"/>
    <x v="4"/>
    <d v="2025-05-31T00:00:00"/>
    <x v="223"/>
    <s v="Новиков Ростислав Августович"/>
    <s v="Ростислав Августович Новиков"/>
    <x v="217"/>
    <s v="Августович"/>
    <s v="Новиков"/>
  </r>
  <r>
    <n v="498"/>
    <s v="+380 971-032-0139"/>
    <s v="Моисеев Евстафий Чеславович"/>
    <x v="0"/>
    <d v="2022-06-09T00:00:00"/>
    <s v="+380"/>
    <x v="3"/>
    <d v="2025-05-31T00:00:00"/>
    <x v="224"/>
    <s v="Моисеев Евстафий Чеславович"/>
    <s v="Евстафий Чеславович Моисеев"/>
    <x v="218"/>
    <s v="Чеславович"/>
    <s v="Моисеев"/>
  </r>
  <r>
    <n v="237"/>
    <s v="+7 085-149-7713"/>
    <s v="Елизавета Артемовна Данилова"/>
    <x v="0"/>
    <d v="2022-11-21T00:00:00"/>
    <s v="+7"/>
    <x v="2"/>
    <d v="2025-05-31T00:00:00"/>
    <x v="130"/>
    <s v="Елизавета Артемовна Данилова"/>
    <s v="Елизавета Артемовна Данилова"/>
    <x v="70"/>
    <s v="Артемовна"/>
    <s v="Данилова"/>
  </r>
  <r>
    <n v="403"/>
    <s v="+7 762-296-2673"/>
    <s v="Фаина Аркадьевна Веселова"/>
    <x v="1"/>
    <d v="2022-02-02T00:00:00"/>
    <s v="+7"/>
    <x v="2"/>
    <d v="2025-05-31T00:00:00"/>
    <x v="225"/>
    <s v="Фаина Аркадьевна Веселова"/>
    <s v="Фаина Аркадьевна Веселова"/>
    <x v="219"/>
    <s v="Аркадьевна"/>
    <s v="Веселова"/>
  </r>
  <r>
    <n v="460"/>
    <s v="+7 981-245-0102"/>
    <s v="Алевтина Егоровна Кузнецова"/>
    <x v="1"/>
    <d v="2022-09-17T00:00:00"/>
    <s v="+7"/>
    <x v="2"/>
    <d v="2025-05-31T00:00:00"/>
    <x v="85"/>
    <s v="Алевтина Егоровна Кузнецова"/>
    <s v="Алевтина Егоровна Кузнецова"/>
    <x v="129"/>
    <s v="Егоровна"/>
    <s v="Кузнецова"/>
  </r>
  <r>
    <n v="50"/>
    <s v="+998 220-798-0143"/>
    <s v="Гостомысл Фомич Одинцов"/>
    <x v="0"/>
    <d v="2022-01-15T00:00:00"/>
    <s v="+998"/>
    <x v="0"/>
    <d v="2025-05-31T00:00:00"/>
    <x v="98"/>
    <s v="Гостомысл Фомич Одинцов"/>
    <s v="Гостомысл Фомич Одинцов"/>
    <x v="125"/>
    <s v="Фомич"/>
    <s v="Одинцов"/>
  </r>
  <r>
    <n v="197"/>
    <s v="+380 255-745-0289"/>
    <s v="г-жа Миронова Клавдия Феликсовна"/>
    <x v="1"/>
    <d v="2022-08-12T00:00:00"/>
    <s v="+380"/>
    <x v="3"/>
    <d v="2025-05-31T00:00:00"/>
    <x v="226"/>
    <s v="Миронова Клавдия Феликсовна"/>
    <s v="Миронова Клавдия Феликсовна г-жа"/>
    <x v="220"/>
    <s v="Клавдия"/>
    <s v="Феликсовна г-жа"/>
  </r>
  <r>
    <n v="243"/>
    <s v="+7 354-672-8947"/>
    <s v="Марфа Эдуардовна Макарова"/>
    <x v="1"/>
    <d v="2022-04-30T00:00:00"/>
    <s v="+7"/>
    <x v="2"/>
    <d v="2025-05-31T00:00:00"/>
    <x v="227"/>
    <s v="Марфа Эдуардовна Макарова"/>
    <s v="Марфа Эдуардовна Макарова"/>
    <x v="88"/>
    <s v="Эдуардовна"/>
    <s v="Макарова"/>
  </r>
  <r>
    <n v="45"/>
    <s v="+998 714-433-6940"/>
    <s v="Елизар Харлампьевич Мамонтов"/>
    <x v="0"/>
    <d v="2022-04-11T00:00:00"/>
    <s v="+998"/>
    <x v="0"/>
    <d v="2025-05-31T00:00:00"/>
    <x v="180"/>
    <s v="Елизар Харлампьевич Мамонтов"/>
    <s v="Елизар Харлампьевич Мамонтов"/>
    <x v="192"/>
    <s v="Харлампьевич"/>
    <s v="Мамонтов"/>
  </r>
  <r>
    <n v="242"/>
    <s v="+7 352-652-3977"/>
    <s v="Октябрина Павловна Зимина"/>
    <x v="1"/>
    <d v="2022-07-05T00:00:00"/>
    <s v="+7"/>
    <x v="2"/>
    <d v="2025-05-31T00:00:00"/>
    <x v="0"/>
    <s v="Октябрина Павловна Зимина"/>
    <s v="Октябрина Павловна Зимина"/>
    <x v="221"/>
    <s v="Павловна"/>
    <s v="Зимина"/>
  </r>
  <r>
    <n v="79"/>
    <s v="+992 654-311-2893"/>
    <s v="Васильева Анжелика Наумовна"/>
    <x v="1"/>
    <d v="2022-06-04T00:00:00"/>
    <s v="+992"/>
    <x v="4"/>
    <d v="2025-05-31T00:00:00"/>
    <x v="228"/>
    <s v="Васильева Анжелика Наумовна"/>
    <s v="Анжелика Наумовна Васильева"/>
    <x v="132"/>
    <s v="Наумовна"/>
    <s v="Васильева"/>
  </r>
  <r>
    <n v="70"/>
    <s v="+380 350-189-8989"/>
    <s v="Эммануил Валерьевич Королев"/>
    <x v="0"/>
    <d v="2022-01-30T00:00:00"/>
    <s v="+380"/>
    <x v="3"/>
    <d v="2025-05-31T00:00:00"/>
    <x v="229"/>
    <s v="Эммануил Валерьевич Королев"/>
    <s v="Эммануил Валерьевич Королев"/>
    <x v="65"/>
    <s v="Валерьевич"/>
    <s v="Королев"/>
  </r>
  <r>
    <n v="345"/>
    <s v="+375 869-843-0628"/>
    <s v="Лыткина Ираида Александровна"/>
    <x v="0"/>
    <d v="2022-05-24T00:00:00"/>
    <s v="+375"/>
    <x v="1"/>
    <d v="2025-05-31T00:00:00"/>
    <x v="174"/>
    <s v="Лыткина Ираида Александровна"/>
    <s v="Ираида Александровна Лыткина"/>
    <x v="179"/>
    <s v="Александровна"/>
    <s v="Лыткина"/>
  </r>
  <r>
    <n v="33"/>
    <s v="+7 724-347-2918"/>
    <s v="Фомичева Феврония Даниловна"/>
    <x v="1"/>
    <d v="2022-06-18T00:00:00"/>
    <s v="+7"/>
    <x v="2"/>
    <d v="2025-05-31T00:00:00"/>
    <x v="112"/>
    <s v="Фомичева Феврония Даниловна"/>
    <s v="Феврония Даниловна Фомичева"/>
    <x v="19"/>
    <s v="Даниловна"/>
    <s v="Фомичева"/>
  </r>
  <r>
    <n v="7"/>
    <s v="+7 022-690-6735"/>
    <s v="Баранова Раиса Эльдаровна"/>
    <x v="0"/>
    <d v="2022-11-28T00:00:00"/>
    <s v="+7"/>
    <x v="2"/>
    <d v="2025-05-31T00:00:00"/>
    <x v="17"/>
    <s v="Баранова Раиса Эльдаровна"/>
    <s v="Раиса Эльдаровна Баранова"/>
    <x v="90"/>
    <s v="Эльдаровна"/>
    <s v="Баранова"/>
  </r>
  <r>
    <n v="494"/>
    <s v="+375 268-005-4917"/>
    <s v="г-жа Ефимова Анна Филипповна"/>
    <x v="1"/>
    <d v="2022-06-26T00:00:00"/>
    <s v="+375"/>
    <x v="1"/>
    <d v="2025-05-31T00:00:00"/>
    <x v="6"/>
    <s v="Ефимова Анна Филипповна"/>
    <s v="Ефимова Анна Филипповна г-жа"/>
    <x v="222"/>
    <s v="Анна"/>
    <s v="Филипповна г-жа"/>
  </r>
  <r>
    <n v="83"/>
    <s v="+992 377-961-6550"/>
    <s v="г-н Зуев Трифон Зиновьевич"/>
    <x v="0"/>
    <d v="2022-06-27T00:00:00"/>
    <s v="+992"/>
    <x v="4"/>
    <d v="2025-05-31T00:00:00"/>
    <x v="230"/>
    <s v="Зуев Трифон Зиновьевич"/>
    <s v="Зуев Трифон Зиновьевич г-н"/>
    <x v="223"/>
    <s v="Трифон"/>
    <s v="Зиновьевич г-н"/>
  </r>
  <r>
    <n v="352"/>
    <s v="+7 414-973-8213"/>
    <s v="Нестерова Таисия Яковлевна"/>
    <x v="1"/>
    <d v="2022-01-12T00:00:00"/>
    <s v="+7"/>
    <x v="2"/>
    <d v="2025-05-31T00:00:00"/>
    <x v="94"/>
    <s v="Нестерова Таисия Яковлевна"/>
    <s v="Таисия Яковлевна Нестерова"/>
    <x v="108"/>
    <s v="Яковлевна"/>
    <s v="Нестерова"/>
  </r>
  <r>
    <n v="8"/>
    <s v="+375 841-273-5425"/>
    <s v="Ирина Макаровна Шарова"/>
    <x v="0"/>
    <d v="2022-11-18T00:00:00"/>
    <s v="+375"/>
    <x v="1"/>
    <d v="2025-05-31T00:00:00"/>
    <x v="100"/>
    <s v="Ирина Макаровна Шарова"/>
    <s v="Ирина Макаровна Шарова"/>
    <x v="4"/>
    <s v="Макаровна"/>
    <s v="Шарова"/>
  </r>
  <r>
    <n v="291"/>
    <s v="+992 550-001-8470"/>
    <s v="Кононова Элеонора Юрьевна"/>
    <x v="0"/>
    <d v="2022-05-29T00:00:00"/>
    <s v="+992"/>
    <x v="4"/>
    <d v="2025-05-31T00:00:00"/>
    <x v="56"/>
    <s v="Кононова Элеонора Юрьевна"/>
    <s v="Элеонора Юрьевна Кононова"/>
    <x v="29"/>
    <s v="Юрьевна"/>
    <s v="Кононова"/>
  </r>
  <r>
    <n v="418"/>
    <s v="+375 253-379-5656"/>
    <s v="Любовь Богдановна Новикова"/>
    <x v="0"/>
    <d v="2022-05-19T00:00:00"/>
    <s v="+375"/>
    <x v="1"/>
    <d v="2025-05-31T00:00:00"/>
    <x v="197"/>
    <s v="Любовь Богдановна Новикова"/>
    <s v="Любовь Богдановна Новикова"/>
    <x v="7"/>
    <s v="Богдановна"/>
    <s v="Новикова"/>
  </r>
  <r>
    <n v="470"/>
    <s v="+992 544-936-8109"/>
    <s v="Русакова Полина Михайловна"/>
    <x v="0"/>
    <d v="2022-05-09T00:00:00"/>
    <s v="+992"/>
    <x v="4"/>
    <d v="2025-05-31T00:00:00"/>
    <x v="68"/>
    <s v="Русакова Полина Михайловна"/>
    <s v="Полина Михайловна Русакова"/>
    <x v="28"/>
    <s v="Михайловна"/>
    <s v="Русакова"/>
  </r>
  <r>
    <n v="123"/>
    <s v="+7 755-098-2625"/>
    <s v="Ермаков Всеслав Эдуардович"/>
    <x v="1"/>
    <d v="2022-02-08T00:00:00"/>
    <s v="+7"/>
    <x v="2"/>
    <d v="2025-05-31T00:00:00"/>
    <x v="231"/>
    <s v="Ермаков Всеслав Эдуардович"/>
    <s v="Всеслав Эдуардович Ермаков"/>
    <x v="224"/>
    <s v="Эдуардович"/>
    <s v="Ермаков"/>
  </r>
  <r>
    <n v="442"/>
    <s v="+992 774-047-4624"/>
    <s v="Гордей Матвеевич Медведев"/>
    <x v="1"/>
    <d v="2022-07-04T00:00:00"/>
    <s v="+992"/>
    <x v="4"/>
    <d v="2025-05-31T00:00:00"/>
    <x v="232"/>
    <s v="Гордей Матвеевич Медведев"/>
    <s v="Гордей Матвеевич Медведев"/>
    <x v="225"/>
    <s v="Матвеевич"/>
    <s v="Медведев"/>
  </r>
  <r>
    <n v="218"/>
    <s v="+998 692-163-4083"/>
    <s v="Алевтина Алексеевна Исакова"/>
    <x v="1"/>
    <d v="2022-06-09T00:00:00"/>
    <s v="+998"/>
    <x v="0"/>
    <d v="2025-05-31T00:00:00"/>
    <x v="224"/>
    <s v="Алевтина Алексеевна Исакова"/>
    <s v="Алевтина Алексеевна Исакова"/>
    <x v="129"/>
    <s v="Алексеевна"/>
    <s v="Исакова"/>
  </r>
  <r>
    <n v="331"/>
    <s v="+998 856-058-2613"/>
    <s v="Мартынов Фома Гордеевич"/>
    <x v="1"/>
    <d v="2022-09-09T00:00:00"/>
    <s v="+998"/>
    <x v="0"/>
    <d v="2025-05-31T00:00:00"/>
    <x v="233"/>
    <s v="Мартынов Фома Гордеевич"/>
    <s v="Фома Гордеевич Мартынов"/>
    <x v="103"/>
    <s v="Гордеевич"/>
    <s v="Мартынов"/>
  </r>
  <r>
    <n v="196"/>
    <s v="+7 352-977-7374"/>
    <s v="Петрова Майя Богдановна"/>
    <x v="0"/>
    <d v="2022-10-01T00:00:00"/>
    <s v="+7"/>
    <x v="2"/>
    <d v="2025-05-31T00:00:00"/>
    <x v="234"/>
    <s v="Петрова Майя Богдановна"/>
    <s v="Майя Богдановна Петрова"/>
    <x v="26"/>
    <s v="Богдановна"/>
    <s v="Петрова"/>
  </r>
  <r>
    <n v="36"/>
    <s v="+7 894-636-1225"/>
    <s v="Бобылева Анна Мироновна"/>
    <x v="1"/>
    <d v="2022-05-19T00:00:00"/>
    <s v="+7"/>
    <x v="2"/>
    <d v="2025-05-31T00:00:00"/>
    <x v="197"/>
    <s v="Бобылева Анна Мироновна"/>
    <s v="Анна Мироновна Бобылева"/>
    <x v="118"/>
    <s v="Мироновна"/>
    <s v="Бобылева"/>
  </r>
  <r>
    <n v="22"/>
    <s v="+375 173-908-3215"/>
    <s v="Кудряшов Влас Алексеевич"/>
    <x v="0"/>
    <d v="2022-11-05T00:00:00"/>
    <s v="+375"/>
    <x v="1"/>
    <d v="2025-05-31T00:00:00"/>
    <x v="235"/>
    <s v="Кудряшов Влас Алексеевич"/>
    <s v="Влас Алексеевич Кудряшов"/>
    <x v="10"/>
    <s v="Алексеевич"/>
    <s v="Кудряшов"/>
  </r>
  <r>
    <n v="360"/>
    <s v="+375 427-098-5558"/>
    <s v="Миронов Фома Вилорович"/>
    <x v="1"/>
    <d v="2022-06-16T00:00:00"/>
    <s v="+375"/>
    <x v="1"/>
    <d v="2025-05-31T00:00:00"/>
    <x v="21"/>
    <s v="Миронов Фома Вилорович"/>
    <s v="Фома Вилорович Миронов"/>
    <x v="103"/>
    <s v="Вилорович"/>
    <s v="Миронов"/>
  </r>
  <r>
    <n v="188"/>
    <s v="+992 000-000-7415"/>
    <s v="Харлампий Демьянович Алексеев"/>
    <x v="1"/>
    <d v="2022-08-28T00:00:00"/>
    <s v="+992"/>
    <x v="4"/>
    <d v="2025-05-31T00:00:00"/>
    <x v="236"/>
    <s v="Харлампий Демьянович Алексеев"/>
    <s v="Харлампий Демьянович Алексеев"/>
    <x v="39"/>
    <s v="Демьянович"/>
    <s v="Алексеев"/>
  </r>
  <r>
    <n v="63"/>
    <s v="+380 668-055-3546"/>
    <s v="Горшкова Клавдия Борисовна"/>
    <x v="0"/>
    <d v="2022-05-03T00:00:00"/>
    <s v="+380"/>
    <x v="3"/>
    <d v="2025-05-31T00:00:00"/>
    <x v="8"/>
    <s v="Горшкова Клавдия Борисовна"/>
    <s v="Клавдия Борисовна Горшкова"/>
    <x v="170"/>
    <s v="Борисовна"/>
    <s v="Горшкова"/>
  </r>
  <r>
    <n v="238"/>
    <s v="+380 245-175-6131"/>
    <s v="Григорьев Сократ Ануфриевич"/>
    <x v="0"/>
    <d v="2022-12-14T00:00:00"/>
    <s v="+380"/>
    <x v="3"/>
    <d v="2025-05-31T00:00:00"/>
    <x v="237"/>
    <s v="Григорьев Сократ Ануфриевич"/>
    <s v="Сократ Ануфриевич Григорьев"/>
    <x v="59"/>
    <s v="Ануфриевич"/>
    <s v="Григорьев"/>
  </r>
  <r>
    <n v="105"/>
    <s v="+998 284-687-3096"/>
    <s v="Овчинникова Зоя Вячеславовна"/>
    <x v="0"/>
    <d v="2022-12-23T00:00:00"/>
    <s v="+998"/>
    <x v="0"/>
    <d v="2025-05-31T00:00:00"/>
    <x v="190"/>
    <s v="Овчинникова Зоя Вячеславовна"/>
    <s v="Зоя Вячеславовна Овчинникова"/>
    <x v="5"/>
    <s v="Вячеславовна"/>
    <s v="Овчинникова"/>
  </r>
  <r>
    <n v="260"/>
    <s v="+380 533-078-8885"/>
    <s v="Титова Ксения Дмитриевна"/>
    <x v="0"/>
    <d v="2022-06-17T00:00:00"/>
    <s v="+380"/>
    <x v="3"/>
    <d v="2025-05-31T00:00:00"/>
    <x v="238"/>
    <s v="Титова Ксения Дмитриевна"/>
    <s v="Ксения Дмитриевна Титова"/>
    <x v="172"/>
    <s v="Дмитриевна"/>
    <s v="Титова"/>
  </r>
  <r>
    <n v="394"/>
    <s v="+7 450-475-2540"/>
    <s v="Князев Платон Андреевич"/>
    <x v="0"/>
    <d v="2022-05-27T00:00:00"/>
    <s v="+7"/>
    <x v="2"/>
    <d v="2025-05-31T00:00:00"/>
    <x v="239"/>
    <s v="Князев Платон Андреевич"/>
    <s v="Платон Андреевич Князев"/>
    <x v="226"/>
    <s v="Андреевич"/>
    <s v="Князев"/>
  </r>
  <r>
    <n v="248"/>
    <s v="+7 592-632-8448"/>
    <s v="Меркушева Марина Наумовна"/>
    <x v="1"/>
    <d v="2022-05-13T00:00:00"/>
    <s v="+7"/>
    <x v="2"/>
    <d v="2025-05-31T00:00:00"/>
    <x v="50"/>
    <s v="Меркушева Марина Наумовна"/>
    <s v="Марина Наумовна Меркушева"/>
    <x v="200"/>
    <s v="Наумовна"/>
    <s v="Меркушева"/>
  </r>
  <r>
    <n v="3"/>
    <s v="+380 143-562-6602"/>
    <s v="Якушева Светлана Даниловна"/>
    <x v="1"/>
    <d v="2022-04-15T00:00:00"/>
    <s v="+380"/>
    <x v="3"/>
    <d v="2025-05-31T00:00:00"/>
    <x v="163"/>
    <s v="Якушева Светлана Даниловна"/>
    <s v="Светлана Даниловна Якушева"/>
    <x v="147"/>
    <s v="Даниловна"/>
    <s v="Якушева"/>
  </r>
  <r>
    <n v="435"/>
    <s v="+998 946-408-1930"/>
    <s v="Тихонова Ираида Ефимовна"/>
    <x v="1"/>
    <d v="2022-02-26T00:00:00"/>
    <s v="+998"/>
    <x v="0"/>
    <d v="2025-05-31T00:00:00"/>
    <x v="145"/>
    <s v="Тихонова Ираида Ефимовна"/>
    <s v="Ираида Ефимовна Тихонова"/>
    <x v="179"/>
    <s v="Ефимовна"/>
    <s v="Тихонова"/>
  </r>
  <r>
    <n v="262"/>
    <s v="+992 756-085-4605"/>
    <s v="г-жа Воробьева Иванна Юрьевна"/>
    <x v="0"/>
    <d v="2022-08-05T00:00:00"/>
    <s v="+992"/>
    <x v="4"/>
    <d v="2025-05-31T00:00:00"/>
    <x v="240"/>
    <s v="Воробьева Иванна Юрьевна"/>
    <s v="Воробьева Иванна Юрьевна г-жа"/>
    <x v="227"/>
    <s v="Иванна"/>
    <s v="Юрьевна г-жа"/>
  </r>
  <r>
    <n v="264"/>
    <s v="+375 722-671-7064"/>
    <s v="Любомир Ермолаевич Стрелков"/>
    <x v="1"/>
    <d v="2022-12-12T00:00:00"/>
    <s v="+375"/>
    <x v="1"/>
    <d v="2025-05-31T00:00:00"/>
    <x v="241"/>
    <s v="Любомир Ермолаевич Стрелков"/>
    <s v="Любомир Ермолаевич Стрелков"/>
    <x v="93"/>
    <s v="Ермолаевич"/>
    <s v="Стрелков"/>
  </r>
  <r>
    <n v="99"/>
    <s v="+7 542-005-0327"/>
    <s v="Галина Семеновна Петухова"/>
    <x v="1"/>
    <d v="2022-11-21T00:00:00"/>
    <s v="+7"/>
    <x v="2"/>
    <d v="2025-05-31T00:00:00"/>
    <x v="130"/>
    <s v="Галина Семеновна Петухова"/>
    <s v="Галина Семеновна Петухова"/>
    <x v="57"/>
    <s v="Семеновна"/>
    <s v="Петухова"/>
  </r>
  <r>
    <n v="404"/>
    <s v="+380 265-102-2104"/>
    <s v="Кириллова Пелагея Юльевна"/>
    <x v="1"/>
    <d v="2022-12-18T00:00:00"/>
    <s v="+380"/>
    <x v="3"/>
    <d v="2025-05-31T00:00:00"/>
    <x v="191"/>
    <s v="Кириллова Пелагея Юльевна"/>
    <s v="Пелагея Юльевна Кириллова"/>
    <x v="175"/>
    <s v="Юльевна"/>
    <s v="Кириллова"/>
  </r>
  <r>
    <n v="146"/>
    <s v="+375 986-655-6691"/>
    <s v="Еремей Бориславович Воронов"/>
    <x v="1"/>
    <d v="2022-02-25T00:00:00"/>
    <s v="+375"/>
    <x v="1"/>
    <d v="2025-05-31T00:00:00"/>
    <x v="242"/>
    <s v="Еремей Бориславович Воронов"/>
    <s v="Еремей Бориславович Воронов"/>
    <x v="17"/>
    <s v="Бориславович"/>
    <s v="Воронов"/>
  </r>
  <r>
    <n v="338"/>
    <s v="+992 869-966-7816"/>
    <s v="Александра Геннадиевна Филатова"/>
    <x v="1"/>
    <d v="2022-01-16T00:00:00"/>
    <s v="+992"/>
    <x v="4"/>
    <d v="2025-05-31T00:00:00"/>
    <x v="4"/>
    <s v="Александра Геннадиевна Филатова"/>
    <s v="Александра Геннадиевна Филатова"/>
    <x v="3"/>
    <s v="Геннадиевна"/>
    <s v="Филатова"/>
  </r>
  <r>
    <n v="445"/>
    <s v="+7 975-515-1931"/>
    <s v="Марфа Архиповна Белоусова"/>
    <x v="1"/>
    <d v="2022-04-25T00:00:00"/>
    <s v="+7"/>
    <x v="2"/>
    <d v="2025-05-31T00:00:00"/>
    <x v="243"/>
    <s v="Марфа Архиповна Белоусова"/>
    <s v="Марфа Архиповна Белоусова"/>
    <x v="88"/>
    <s v="Архиповна"/>
    <s v="Белоусова"/>
  </r>
  <r>
    <n v="208"/>
    <s v="+380 004-121-0383"/>
    <s v="Эммануил Филимонович Захаров"/>
    <x v="1"/>
    <d v="2022-06-24T00:00:00"/>
    <s v="+380"/>
    <x v="3"/>
    <d v="2025-05-31T00:00:00"/>
    <x v="244"/>
    <s v="Эммануил Филимонович Захаров"/>
    <s v="Эммануил Филимонович Захаров"/>
    <x v="65"/>
    <s v="Филимонович"/>
    <s v="Захаров"/>
  </r>
  <r>
    <n v="343"/>
    <s v="+380 606-168-8976"/>
    <s v="Абрамов Амвросий Богданович"/>
    <x v="1"/>
    <d v="2022-11-09T00:00:00"/>
    <s v="+380"/>
    <x v="3"/>
    <d v="2025-05-31T00:00:00"/>
    <x v="245"/>
    <s v="Абрамов Амвросий Богданович"/>
    <s v="Амвросий Богданович Абрамов"/>
    <x v="214"/>
    <s v="Богданович"/>
    <s v="Абрамов"/>
  </r>
  <r>
    <n v="486"/>
    <s v="+7 056-712-2591"/>
    <s v="Волков Викентий Герасимович"/>
    <x v="0"/>
    <d v="2022-06-11T00:00:00"/>
    <s v="+7"/>
    <x v="2"/>
    <d v="2025-05-31T00:00:00"/>
    <x v="201"/>
    <s v="Волков Викентий Герасимович"/>
    <s v="Викентий Герасимович Волков"/>
    <x v="228"/>
    <s v="Герасимович"/>
    <s v="Волков"/>
  </r>
  <r>
    <n v="299"/>
    <s v="+380 254-333-6466"/>
    <s v="Одинцов Анисим Евсеевич"/>
    <x v="1"/>
    <d v="2022-04-15T00:00:00"/>
    <s v="+380"/>
    <x v="3"/>
    <d v="2025-05-31T00:00:00"/>
    <x v="163"/>
    <s v="Одинцов Анисим Евсеевич"/>
    <s v="Анисим Евсеевич Одинцов"/>
    <x v="229"/>
    <s v="Евсеевич"/>
    <s v="Одинцов"/>
  </r>
  <r>
    <n v="368"/>
    <s v="+998 481-371-2630"/>
    <s v="Никодим Арсенович Потапов"/>
    <x v="0"/>
    <d v="2022-11-07T00:00:00"/>
    <s v="+998"/>
    <x v="0"/>
    <d v="2025-05-31T00:00:00"/>
    <x v="200"/>
    <s v="Никодим Арсенович Потапов"/>
    <s v="Никодим Арсенович Потапов"/>
    <x v="2"/>
    <s v="Арсенович"/>
    <s v="Потапов"/>
  </r>
  <r>
    <n v="108"/>
    <s v="+998 313-336-2516"/>
    <s v="Алла Рудольфовна Сидорова"/>
    <x v="0"/>
    <d v="2022-10-01T00:00:00"/>
    <s v="+998"/>
    <x v="0"/>
    <d v="2025-05-31T00:00:00"/>
    <x v="234"/>
    <s v="Алла Рудольфовна Сидорова"/>
    <s v="Алла Рудольфовна Сидорова"/>
    <x v="134"/>
    <s v="Рудольфовна"/>
    <s v="Сидорова"/>
  </r>
  <r>
    <n v="443"/>
    <s v="+7 210-575-0459"/>
    <s v="Агата Олеговна Мартынова"/>
    <x v="0"/>
    <d v="2022-03-29T00:00:00"/>
    <s v="+7"/>
    <x v="2"/>
    <d v="2025-05-31T00:00:00"/>
    <x v="30"/>
    <s v="Агата Олеговна Мартынова"/>
    <s v="Агата Олеговна Мартынова"/>
    <x v="11"/>
    <s v="Олеговна"/>
    <s v="Мартынова"/>
  </r>
  <r>
    <n v="91"/>
    <s v="+7 289-019-1718"/>
    <s v="Стрелкова Наина Эдуардовна"/>
    <x v="1"/>
    <d v="2022-05-06T00:00:00"/>
    <s v="+7"/>
    <x v="2"/>
    <d v="2025-05-31T00:00:00"/>
    <x v="246"/>
    <s v="Стрелкова Наина Эдуардовна"/>
    <s v="Наина Эдуардовна Стрелкова"/>
    <x v="82"/>
    <s v="Эдуардовна"/>
    <s v="Стрелкова"/>
  </r>
  <r>
    <n v="473"/>
    <s v="+7 571-938-4741"/>
    <s v="Ипат Дмитриевич Панов"/>
    <x v="0"/>
    <d v="2022-08-26T00:00:00"/>
    <s v="+7"/>
    <x v="2"/>
    <d v="2025-05-31T00:00:00"/>
    <x v="205"/>
    <s v="Ипат Дмитриевич Панов"/>
    <s v="Ипат Дмитриевич Панов"/>
    <x v="230"/>
    <s v="Дмитриевич"/>
    <s v="Панов"/>
  </r>
  <r>
    <n v="482"/>
    <s v="+380 958-231-6305"/>
    <s v="Творимир Артурович Гришин"/>
    <x v="1"/>
    <d v="2022-04-28T00:00:00"/>
    <s v="+380"/>
    <x v="3"/>
    <d v="2025-05-31T00:00:00"/>
    <x v="247"/>
    <s v="Творимир Артурович Гришин"/>
    <s v="Творимир Артурович Гришин"/>
    <x v="216"/>
    <s v="Артурович"/>
    <s v="Гришин"/>
  </r>
  <r>
    <n v="48"/>
    <s v="+998 849-649-9045"/>
    <s v="Лаврентьева Вера Владиславовна"/>
    <x v="1"/>
    <d v="2022-10-22T00:00:00"/>
    <s v="+998"/>
    <x v="0"/>
    <d v="2025-05-31T00:00:00"/>
    <x v="107"/>
    <s v="Лаврентьева Вера Владиславовна"/>
    <s v="Вера Владиславовна Лаврентьева"/>
    <x v="1"/>
    <s v="Владиславовна"/>
    <s v="Лаврентьева"/>
  </r>
  <r>
    <n v="26"/>
    <s v="+992 666-298-7733"/>
    <s v="Корнилов Леон Иосипович"/>
    <x v="0"/>
    <d v="2022-09-15T00:00:00"/>
    <s v="+992"/>
    <x v="4"/>
    <d v="2025-05-31T00:00:00"/>
    <x v="183"/>
    <s v="Корнилов Леон Иосипович"/>
    <s v="Леон Иосипович Корнилов"/>
    <x v="212"/>
    <s v="Иосипович"/>
    <s v="Корнилов"/>
  </r>
  <r>
    <n v="417"/>
    <s v="+992 772-470-1976"/>
    <s v="Игнатова Вера Вячеславовна"/>
    <x v="1"/>
    <d v="2022-02-16T00:00:00"/>
    <s v="+992"/>
    <x v="4"/>
    <d v="2025-05-31T00:00:00"/>
    <x v="41"/>
    <s v="Игнатова Вера Вячеславовна"/>
    <s v="Вера Вячеславовна Игнатова"/>
    <x v="1"/>
    <s v="Вячеславовна"/>
    <s v="Игнатова"/>
  </r>
  <r>
    <n v="491"/>
    <s v="+7 411-977-9395"/>
    <s v="Михайлова Лора Наумовна"/>
    <x v="0"/>
    <d v="2022-07-10T00:00:00"/>
    <s v="+7"/>
    <x v="2"/>
    <d v="2025-05-31T00:00:00"/>
    <x v="168"/>
    <s v="Михайлова Лора Наумовна"/>
    <s v="Лора Наумовна Михайлова"/>
    <x v="37"/>
    <s v="Наумовна"/>
    <s v="Михайлова"/>
  </r>
  <r>
    <n v="492"/>
    <s v="+380 537-432-3099"/>
    <s v="Феликс Ааронович Яковлев"/>
    <x v="0"/>
    <d v="2022-05-07T00:00:00"/>
    <s v="+380"/>
    <x v="3"/>
    <d v="2025-05-31T00:00:00"/>
    <x v="214"/>
    <s v="Феликс Ааронович Яковлев"/>
    <s v="Феликс Ааронович Яковлев"/>
    <x v="231"/>
    <s v="Ааронович"/>
    <s v="Яковлев"/>
  </r>
  <r>
    <n v="155"/>
    <s v="+380 950-384-1472"/>
    <s v="Емельянов Игорь Андреевич"/>
    <x v="1"/>
    <d v="2022-01-03T00:00:00"/>
    <s v="+380"/>
    <x v="3"/>
    <d v="2025-05-31T00:00:00"/>
    <x v="248"/>
    <s v="Емельянов Игорь Андреевич"/>
    <s v="Игорь Андреевич Емельянов"/>
    <x v="232"/>
    <s v="Андреевич"/>
    <s v="Емельянов"/>
  </r>
  <r>
    <n v="430"/>
    <s v="+992 570-665-8734"/>
    <s v="Любосмысл Тихонович Веселов"/>
    <x v="1"/>
    <d v="2022-08-26T00:00:00"/>
    <s v="+992"/>
    <x v="4"/>
    <d v="2025-05-31T00:00:00"/>
    <x v="205"/>
    <s v="Любосмысл Тихонович Веселов"/>
    <s v="Любосмысл Тихонович Веселов"/>
    <x v="233"/>
    <s v="Тихонович"/>
    <s v="Веселов"/>
  </r>
  <r>
    <n v="488"/>
    <s v="+375 477-336-9780"/>
    <s v="Ольга Аскольдовна Данилова"/>
    <x v="0"/>
    <d v="2022-06-26T00:00:00"/>
    <s v="+375"/>
    <x v="1"/>
    <d v="2025-05-31T00:00:00"/>
    <x v="6"/>
    <s v="Ольга Аскольдовна Данилова"/>
    <s v="Ольга Аскольдовна Данилова"/>
    <x v="104"/>
    <s v="Аскольдовна"/>
    <s v="Данилова"/>
  </r>
  <r>
    <n v="6"/>
    <s v="+380 017-252-3368"/>
    <s v="Эмилия Болеславовна Цветкова"/>
    <x v="1"/>
    <d v="2022-05-29T00:00:00"/>
    <s v="+380"/>
    <x v="3"/>
    <d v="2025-05-31T00:00:00"/>
    <x v="56"/>
    <s v="Эмилия Болеславовна Цветкова"/>
    <s v="Эмилия Болеславовна Цветкова"/>
    <x v="49"/>
    <s v="Болеславовна"/>
    <s v="Цветкова"/>
  </r>
  <r>
    <n v="400"/>
    <s v="+375 933-846-4405"/>
    <s v="Константинов Милован Денисович"/>
    <x v="0"/>
    <d v="2022-07-23T00:00:00"/>
    <s v="+375"/>
    <x v="1"/>
    <d v="2025-05-31T00:00:00"/>
    <x v="249"/>
    <s v="Константинов Милован Денисович"/>
    <s v="Милован Денисович Константинов"/>
    <x v="110"/>
    <s v="Денисович"/>
    <s v="Константинов"/>
  </r>
  <r>
    <n v="282"/>
    <s v="+998 782-759-1031"/>
    <s v="Светлана Семеновна Николаева"/>
    <x v="0"/>
    <d v="2022-06-23T00:00:00"/>
    <s v="+998"/>
    <x v="0"/>
    <d v="2025-05-31T00:00:00"/>
    <x v="250"/>
    <s v="Светлана Семеновна Николаева"/>
    <s v="Светлана Семеновна Николаева"/>
    <x v="147"/>
    <s v="Семеновна"/>
    <s v="Николаева"/>
  </r>
  <r>
    <n v="433"/>
    <s v="+992 614-322-7161"/>
    <s v="Людмила Борисовна Иванова"/>
    <x v="0"/>
    <d v="2022-09-28T00:00:00"/>
    <s v="+992"/>
    <x v="4"/>
    <d v="2025-05-31T00:00:00"/>
    <x v="60"/>
    <s v="Людмила Борисовна Иванова"/>
    <s v="Людмила Борисовна Иванова"/>
    <x v="165"/>
    <s v="Борисовна"/>
    <s v="Иванова"/>
  </r>
  <r>
    <n v="212"/>
    <s v="+998 662-959-7800"/>
    <s v="Амос Гордеевич Евсеев"/>
    <x v="1"/>
    <d v="2022-09-11T00:00:00"/>
    <s v="+998"/>
    <x v="0"/>
    <d v="2025-05-31T00:00:00"/>
    <x v="67"/>
    <s v="Амос Гордеевич Евсеев"/>
    <s v="Амос Гордеевич Евсеев"/>
    <x v="176"/>
    <s v="Гордеевич"/>
    <s v="Евсеев"/>
  </r>
  <r>
    <n v="499"/>
    <s v="+375 877-885-2826"/>
    <s v="Якуб Филатович Молчанов"/>
    <x v="0"/>
    <d v="2022-08-25T00:00:00"/>
    <s v="+375"/>
    <x v="1"/>
    <d v="2025-05-31T00:00:00"/>
    <x v="142"/>
    <s v="Якуб Филатович Молчанов"/>
    <s v="Якуб Филатович Молчанов"/>
    <x v="234"/>
    <s v="Филатович"/>
    <s v="Молчанов"/>
  </r>
  <r>
    <n v="347"/>
    <s v="+992 145-030-4792"/>
    <s v="Афанасьев Кузьма Исидорович"/>
    <x v="0"/>
    <d v="2022-01-27T00:00:00"/>
    <s v="+992"/>
    <x v="4"/>
    <d v="2025-05-31T00:00:00"/>
    <x v="132"/>
    <s v="Афанасьев Кузьма Исидорович"/>
    <s v="Кузьма Исидорович Афанасьев"/>
    <x v="235"/>
    <s v="Исидорович"/>
    <s v="Афанасьев"/>
  </r>
  <r>
    <n v="469"/>
    <s v="+7 997-792-5112"/>
    <s v="Лариса Романовна Крюкова"/>
    <x v="0"/>
    <d v="2022-04-08T00:00:00"/>
    <s v="+7"/>
    <x v="2"/>
    <d v="2025-05-31T00:00:00"/>
    <x v="251"/>
    <s v="Лариса Романовна Крюкова"/>
    <s v="Лариса Романовна Крюкова"/>
    <x v="183"/>
    <s v="Романовна"/>
    <s v="Крюкова"/>
  </r>
  <r>
    <n v="93"/>
    <s v="+380 686-730-6702"/>
    <s v="Авдеев Олимпий Жанович"/>
    <x v="1"/>
    <d v="2022-12-10T00:00:00"/>
    <s v="+380"/>
    <x v="3"/>
    <d v="2025-05-31T00:00:00"/>
    <x v="134"/>
    <s v="Авдеев Олимпий Жанович"/>
    <s v="Олимпий Жанович Авдеев"/>
    <x v="22"/>
    <s v="Жанович"/>
    <s v="Авдеев"/>
  </r>
  <r>
    <n v="200"/>
    <s v="+998 342-700-2159"/>
    <s v="Воробьева Анжела Аскольдовна"/>
    <x v="0"/>
    <d v="2022-08-10T00:00:00"/>
    <s v="+998"/>
    <x v="0"/>
    <d v="2025-05-31T00:00:00"/>
    <x v="61"/>
    <s v="Воробьева Анжела Аскольдовна"/>
    <s v="Анжела Аскольдовна Воробьева"/>
    <x v="40"/>
    <s v="Аскольдовна"/>
    <s v="Воробьева"/>
  </r>
  <r>
    <n v="95"/>
    <s v="+998 662-556-3959"/>
    <s v="Белоусова Жанна Кузьминична"/>
    <x v="1"/>
    <d v="2022-05-23T00:00:00"/>
    <s v="+998"/>
    <x v="0"/>
    <d v="2025-05-31T00:00:00"/>
    <x v="162"/>
    <s v="Белоусова Жанна Кузьминична"/>
    <s v="Жанна Кузьминична Белоусова"/>
    <x v="123"/>
    <s v="Кузьминична"/>
    <s v="Белоусова"/>
  </r>
  <r>
    <n v="20"/>
    <s v="+998 678-480-0704"/>
    <s v="Амвросий Игнатович Юдин"/>
    <x v="1"/>
    <d v="2022-05-10T00:00:00"/>
    <s v="+998"/>
    <x v="0"/>
    <d v="2025-05-31T00:00:00"/>
    <x v="158"/>
    <s v="Амвросий Игнатович Юдин"/>
    <s v="Амвросий Игнатович Юдин"/>
    <x v="214"/>
    <s v="Игнатович"/>
    <s v="Юдин"/>
  </r>
  <r>
    <n v="94"/>
    <s v="+380 293-011-4872"/>
    <s v="Евдокия Эдуардовна Соловьева"/>
    <x v="0"/>
    <d v="2022-06-11T00:00:00"/>
    <s v="+380"/>
    <x v="3"/>
    <d v="2025-05-31T00:00:00"/>
    <x v="201"/>
    <s v="Евдокия Эдуардовна Соловьева"/>
    <s v="Евдокия Эдуардовна Соловьева"/>
    <x v="47"/>
    <s v="Эдуардовна"/>
    <s v="Соловьева"/>
  </r>
  <r>
    <n v="427"/>
    <s v="+7 630-011-3417"/>
    <s v="Лидия Андреевна Крюкова"/>
    <x v="1"/>
    <d v="2022-09-30T00:00:00"/>
    <s v="+7"/>
    <x v="2"/>
    <d v="2025-05-31T00:00:00"/>
    <x v="252"/>
    <s v="Лидия Андреевна Крюкова"/>
    <s v="Лидия Андреевна Крюкова"/>
    <x v="18"/>
    <s v="Андреевна"/>
    <s v="Крюкова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300"/>
    <n v="103"/>
    <n v="4"/>
    <n v="2060"/>
    <x v="0"/>
    <x v="0"/>
    <n v="315"/>
    <x v="0"/>
    <n v="252.76271186440678"/>
    <n v="-0.59250318514048139"/>
    <x v="0"/>
    <n v="240.5"/>
    <n v="-0.5717255717255717"/>
    <d v="2022-07-05T00:00:00"/>
    <x v="0"/>
    <x v="0"/>
    <x v="0"/>
    <x v="0"/>
    <x v="0"/>
  </r>
  <r>
    <n v="2"/>
    <n v="486"/>
    <n v="296"/>
    <n v="3"/>
    <n v="4440"/>
    <x v="1"/>
    <x v="1"/>
    <n v="253"/>
    <x v="1"/>
    <n v="264.8679245283019"/>
    <n v="0.11753811084200017"/>
    <x v="1"/>
    <n v="238.16666666666666"/>
    <n v="0.24282715185444381"/>
    <d v="2022-07-08T00:00:00"/>
    <x v="1"/>
    <x v="1"/>
    <x v="0"/>
    <x v="0"/>
    <x v="1"/>
  </r>
  <r>
    <n v="3"/>
    <n v="76"/>
    <n v="139"/>
    <n v="5"/>
    <n v="3475"/>
    <x v="2"/>
    <x v="2"/>
    <n v="12"/>
    <x v="2"/>
    <n v="283.468085106383"/>
    <n v="-0.50964497485551308"/>
    <x v="2"/>
    <n v="232.44444444444446"/>
    <n v="-0.40200764818355639"/>
    <d v="2022-10-08T00:00:00"/>
    <x v="2"/>
    <x v="1"/>
    <x v="0"/>
    <x v="0"/>
    <x v="2"/>
  </r>
  <r>
    <n v="4"/>
    <n v="240"/>
    <n v="141"/>
    <n v="5"/>
    <n v="3525"/>
    <x v="3"/>
    <x v="3"/>
    <n v="116"/>
    <x v="3"/>
    <n v="265.47674418604652"/>
    <n v="-0.46888003153606939"/>
    <x v="3"/>
    <n v="236.27586206896552"/>
    <n v="-0.40323992994746061"/>
    <d v="2022-03-23T00:00:00"/>
    <x v="3"/>
    <x v="2"/>
    <x v="0"/>
    <x v="1"/>
    <x v="3"/>
  </r>
  <r>
    <n v="5"/>
    <n v="32"/>
    <n v="123"/>
    <n v="2"/>
    <n v="1230"/>
    <x v="4"/>
    <x v="4"/>
    <n v="471"/>
    <x v="4"/>
    <n v="250.48780487804879"/>
    <n v="-0.5089581304771178"/>
    <x v="4"/>
    <n v="159.19999999999999"/>
    <n v="-0.22738693467336679"/>
    <d v="2022-01-16T00:00:00"/>
    <x v="4"/>
    <x v="3"/>
    <x v="0"/>
    <x v="0"/>
    <x v="4"/>
  </r>
  <r>
    <n v="6"/>
    <n v="162"/>
    <n v="452"/>
    <n v="2"/>
    <n v="4520"/>
    <x v="5"/>
    <x v="0"/>
    <n v="374"/>
    <x v="5"/>
    <n v="268.60344827586209"/>
    <n v="0.68277809872263928"/>
    <x v="5"/>
    <n v="281.96875"/>
    <n v="0.60301451845284282"/>
    <d v="2022-01-21T00:00:00"/>
    <x v="5"/>
    <x v="3"/>
    <x v="0"/>
    <x v="1"/>
    <x v="5"/>
  </r>
  <r>
    <n v="7"/>
    <n v="323"/>
    <n v="149"/>
    <n v="5"/>
    <n v="3725"/>
    <x v="6"/>
    <x v="5"/>
    <n v="477"/>
    <x v="6"/>
    <n v="258.5128205128205"/>
    <n v="-0.42362626463003372"/>
    <x v="6"/>
    <n v="260.64705882352939"/>
    <n v="-0.42834574588129082"/>
    <d v="2022-06-26T00:00:00"/>
    <x v="6"/>
    <x v="0"/>
    <x v="0"/>
    <x v="0"/>
    <x v="6"/>
  </r>
  <r>
    <n v="8"/>
    <n v="60"/>
    <n v="489"/>
    <n v="4"/>
    <n v="9780"/>
    <x v="7"/>
    <x v="6"/>
    <n v="335"/>
    <x v="7"/>
    <n v="249.02380952380952"/>
    <n v="0.9636676546514964"/>
    <x v="7"/>
    <n v="276.21052631578948"/>
    <n v="0.77038871951219501"/>
    <d v="2022-02-27T00:00:00"/>
    <x v="7"/>
    <x v="0"/>
    <x v="0"/>
    <x v="1"/>
    <x v="7"/>
  </r>
  <r>
    <n v="9"/>
    <n v="401"/>
    <n v="416"/>
    <n v="5"/>
    <n v="10400"/>
    <x v="8"/>
    <x v="7"/>
    <n v="350"/>
    <x v="8"/>
    <n v="271.18181818181819"/>
    <n v="0.53402614817298022"/>
    <x v="8"/>
    <n v="291.45454545454544"/>
    <n v="0.42732376793512161"/>
    <d v="2022-05-03T00:00:00"/>
    <x v="8"/>
    <x v="3"/>
    <x v="0"/>
    <x v="1"/>
    <x v="8"/>
  </r>
  <r>
    <n v="10"/>
    <n v="100"/>
    <n v="449"/>
    <n v="2"/>
    <n v="4490"/>
    <x v="9"/>
    <x v="5"/>
    <n v="413"/>
    <x v="9"/>
    <n v="263.25423728813558"/>
    <n v="0.7055755858872006"/>
    <x v="9"/>
    <n v="257.78260869565219"/>
    <n v="0.74177770281666366"/>
    <d v="2022-05-18T00:00:00"/>
    <x v="1"/>
    <x v="2"/>
    <x v="0"/>
    <x v="1"/>
    <x v="9"/>
  </r>
  <r>
    <n v="11"/>
    <n v="217"/>
    <n v="296"/>
    <n v="2"/>
    <n v="2960"/>
    <x v="10"/>
    <x v="5"/>
    <n v="495"/>
    <x v="10"/>
    <n v="271.74545454545455"/>
    <n v="8.925465007359823E-2"/>
    <x v="10"/>
    <n v="311.2"/>
    <n v="-4.8843187660668308E-2"/>
    <d v="2022-04-03T00:00:00"/>
    <x v="9"/>
    <x v="0"/>
    <x v="0"/>
    <x v="0"/>
    <x v="10"/>
  </r>
  <r>
    <n v="12"/>
    <n v="445"/>
    <n v="109"/>
    <n v="5"/>
    <n v="2725"/>
    <x v="11"/>
    <x v="6"/>
    <n v="353"/>
    <x v="0"/>
    <n v="252.76271186440678"/>
    <n v="-0.56876550660497549"/>
    <x v="11"/>
    <n v="240.26666666666668"/>
    <n v="-0.54633740288568267"/>
    <d v="2022-04-05T00:00:00"/>
    <x v="10"/>
    <x v="4"/>
    <x v="0"/>
    <x v="0"/>
    <x v="11"/>
  </r>
  <r>
    <n v="13"/>
    <n v="284"/>
    <n v="213"/>
    <n v="3"/>
    <n v="3195"/>
    <x v="12"/>
    <x v="2"/>
    <n v="332"/>
    <x v="10"/>
    <n v="271.74545454545455"/>
    <n v="-0.21617824167001209"/>
    <x v="12"/>
    <n v="212.8125"/>
    <n v="8.8105726872256263E-4"/>
    <d v="2022-10-24T00:00:00"/>
    <x v="11"/>
    <x v="0"/>
    <x v="0"/>
    <x v="1"/>
    <x v="12"/>
  </r>
  <r>
    <n v="14"/>
    <n v="116"/>
    <n v="190"/>
    <n v="4"/>
    <n v="3800"/>
    <x v="13"/>
    <x v="3"/>
    <n v="414"/>
    <x v="1"/>
    <n v="264.8679245283019"/>
    <n v="-0.28266134777033769"/>
    <x v="13"/>
    <n v="320.84615384615387"/>
    <n v="-0.40781587149364662"/>
    <d v="2022-08-21T00:00:00"/>
    <x v="12"/>
    <x v="1"/>
    <x v="0"/>
    <x v="1"/>
    <x v="13"/>
  </r>
  <r>
    <n v="15"/>
    <n v="378"/>
    <n v="237"/>
    <n v="1"/>
    <n v="1185"/>
    <x v="14"/>
    <x v="5"/>
    <n v="236"/>
    <x v="5"/>
    <n v="268.60344827586209"/>
    <n v="-0.11765838628923564"/>
    <x v="5"/>
    <n v="281.96875"/>
    <n v="-0.15948132550149619"/>
    <d v="2022-09-16T00:00:00"/>
    <x v="13"/>
    <x v="0"/>
    <x v="0"/>
    <x v="0"/>
    <x v="14"/>
  </r>
  <r>
    <n v="16"/>
    <n v="299"/>
    <n v="178"/>
    <n v="3"/>
    <n v="2670"/>
    <x v="15"/>
    <x v="6"/>
    <n v="164"/>
    <x v="8"/>
    <n v="271.18181818181819"/>
    <n v="-0.34361381159906135"/>
    <x v="14"/>
    <n v="260.15789473684208"/>
    <n v="-0.315800121383775"/>
    <d v="2022-04-27T00:00:00"/>
    <x v="14"/>
    <x v="2"/>
    <x v="0"/>
    <x v="1"/>
    <x v="15"/>
  </r>
  <r>
    <n v="17"/>
    <n v="359"/>
    <n v="320"/>
    <n v="5"/>
    <n v="8000"/>
    <x v="16"/>
    <x v="8"/>
    <n v="490"/>
    <x v="10"/>
    <n v="271.74545454545455"/>
    <n v="0.1775725946741602"/>
    <x v="15"/>
    <n v="316.58333333333331"/>
    <n v="1.0792313766780692E-2"/>
    <d v="2022-02-11T00:00:00"/>
    <x v="15"/>
    <x v="2"/>
    <x v="0"/>
    <x v="1"/>
    <x v="16"/>
  </r>
  <r>
    <n v="18"/>
    <n v="337"/>
    <n v="419"/>
    <n v="2"/>
    <n v="4190"/>
    <x v="17"/>
    <x v="2"/>
    <n v="223"/>
    <x v="3"/>
    <n v="265.47674418604652"/>
    <n v="0.57829267224387881"/>
    <x v="16"/>
    <n v="276.67567567567568"/>
    <n v="0.51440851812054311"/>
    <d v="2022-11-28T00:00:00"/>
    <x v="16"/>
    <x v="3"/>
    <x v="0"/>
    <x v="0"/>
    <x v="17"/>
  </r>
  <r>
    <n v="19"/>
    <n v="226"/>
    <n v="190"/>
    <n v="5"/>
    <n v="4750"/>
    <x v="18"/>
    <x v="9"/>
    <n v="204"/>
    <x v="11"/>
    <n v="262.63492063492066"/>
    <n v="-0.2765623111326001"/>
    <x v="17"/>
    <n v="311.33333333333331"/>
    <n v="-0.38972162740899352"/>
    <d v="2022-11-02T00:00:00"/>
    <x v="17"/>
    <x v="2"/>
    <x v="0"/>
    <x v="0"/>
    <x v="18"/>
  </r>
  <r>
    <n v="20"/>
    <n v="310"/>
    <n v="458"/>
    <n v="2"/>
    <n v="4580"/>
    <x v="19"/>
    <x v="9"/>
    <n v="481"/>
    <x v="3"/>
    <n v="265.47674418604652"/>
    <n v="0.72519819543603004"/>
    <x v="16"/>
    <n v="276.67567567567568"/>
    <n v="0.65536778353033109"/>
    <d v="2022-07-14T00:00:00"/>
    <x v="18"/>
    <x v="1"/>
    <x v="0"/>
    <x v="0"/>
    <x v="19"/>
  </r>
  <r>
    <n v="21"/>
    <n v="137"/>
    <n v="152"/>
    <n v="2"/>
    <n v="1520"/>
    <x v="20"/>
    <x v="0"/>
    <n v="363"/>
    <x v="12"/>
    <n v="274.16279069767444"/>
    <n v="-0.4455848672491306"/>
    <x v="18"/>
    <n v="253.6875"/>
    <n v="-0.40083764474008376"/>
    <d v="2022-04-24T00:00:00"/>
    <x v="19"/>
    <x v="0"/>
    <x v="0"/>
    <x v="1"/>
    <x v="20"/>
  </r>
  <r>
    <n v="22"/>
    <n v="385"/>
    <n v="352"/>
    <n v="2"/>
    <n v="3520"/>
    <x v="21"/>
    <x v="6"/>
    <n v="397"/>
    <x v="3"/>
    <n v="265.47674418604652"/>
    <n v="0.32591651701633739"/>
    <x v="19"/>
    <n v="329.27272727272725"/>
    <n v="6.9022639425731613E-2"/>
    <d v="2022-06-16T00:00:00"/>
    <x v="20"/>
    <x v="1"/>
    <x v="0"/>
    <x v="1"/>
    <x v="21"/>
  </r>
  <r>
    <n v="23"/>
    <n v="226"/>
    <n v="228"/>
    <n v="2"/>
    <n v="2280"/>
    <x v="22"/>
    <x v="10"/>
    <n v="280"/>
    <x v="11"/>
    <n v="262.63492063492066"/>
    <n v="-0.13187477335912012"/>
    <x v="17"/>
    <n v="311.33333333333331"/>
    <n v="-0.2676659528907922"/>
    <d v="2022-01-02T00:00:00"/>
    <x v="21"/>
    <x v="2"/>
    <x v="0"/>
    <x v="1"/>
    <x v="22"/>
  </r>
  <r>
    <n v="24"/>
    <n v="451"/>
    <n v="161"/>
    <n v="4"/>
    <n v="3220"/>
    <x v="23"/>
    <x v="7"/>
    <n v="39"/>
    <x v="13"/>
    <n v="258.375"/>
    <n v="-0.37687469762941461"/>
    <x v="20"/>
    <n v="269.70588235294116"/>
    <n v="-0.40305343511450376"/>
    <d v="2022-04-02T00:00:00"/>
    <x v="22"/>
    <x v="1"/>
    <x v="0"/>
    <x v="0"/>
    <x v="23"/>
  </r>
  <r>
    <n v="25"/>
    <n v="7"/>
    <n v="362"/>
    <n v="1"/>
    <n v="1810"/>
    <x v="24"/>
    <x v="4"/>
    <n v="303"/>
    <x v="11"/>
    <n v="262.63492063492066"/>
    <n v="0.37833917563157238"/>
    <x v="21"/>
    <n v="238.72222222222223"/>
    <n v="0.51640679543867818"/>
    <d v="2022-05-08T00:00:00"/>
    <x v="23"/>
    <x v="0"/>
    <x v="0"/>
    <x v="1"/>
    <x v="24"/>
  </r>
  <r>
    <n v="26"/>
    <n v="495"/>
    <n v="312"/>
    <n v="1"/>
    <n v="1560"/>
    <x v="25"/>
    <x v="8"/>
    <n v="422"/>
    <x v="8"/>
    <n v="271.18181818181819"/>
    <n v="0.15051961112973511"/>
    <x v="8"/>
    <n v="291.45454545454544"/>
    <n v="7.049282595134132E-2"/>
    <d v="2022-08-11T00:00:00"/>
    <x v="24"/>
    <x v="3"/>
    <x v="0"/>
    <x v="1"/>
    <x v="25"/>
  </r>
  <r>
    <n v="27"/>
    <n v="415"/>
    <n v="311"/>
    <n v="5"/>
    <n v="7775"/>
    <x v="26"/>
    <x v="11"/>
    <n v="24"/>
    <x v="14"/>
    <n v="273.72549019607845"/>
    <n v="0.13617478510028636"/>
    <x v="22"/>
    <n v="280.23809523809524"/>
    <n v="0.10977060322854704"/>
    <d v="2022-02-17T00:00:00"/>
    <x v="25"/>
    <x v="0"/>
    <x v="0"/>
    <x v="0"/>
    <x v="26"/>
  </r>
  <r>
    <n v="28"/>
    <n v="176"/>
    <n v="220"/>
    <n v="1"/>
    <n v="1100"/>
    <x v="27"/>
    <x v="0"/>
    <n v="112"/>
    <x v="0"/>
    <n v="252.76271186440678"/>
    <n v="-0.12961845369811575"/>
    <x v="0"/>
    <n v="240.5"/>
    <n v="-8.5239085239085188E-2"/>
    <d v="2022-04-01T00:00:00"/>
    <x v="26"/>
    <x v="2"/>
    <x v="0"/>
    <x v="1"/>
    <x v="27"/>
  </r>
  <r>
    <n v="29"/>
    <n v="181"/>
    <n v="476"/>
    <n v="4"/>
    <n v="9520"/>
    <x v="28"/>
    <x v="0"/>
    <n v="451"/>
    <x v="15"/>
    <n v="294.95238095238096"/>
    <n v="0.61381982563771387"/>
    <x v="23"/>
    <n v="318.81818181818181"/>
    <n v="0.49301397205588815"/>
    <d v="2022-01-23T00:00:00"/>
    <x v="27"/>
    <x v="2"/>
    <x v="0"/>
    <x v="0"/>
    <x v="28"/>
  </r>
  <r>
    <n v="30"/>
    <n v="399"/>
    <n v="190"/>
    <n v="1"/>
    <n v="950"/>
    <x v="29"/>
    <x v="2"/>
    <n v="131"/>
    <x v="16"/>
    <n v="300.31818181818181"/>
    <n v="-0.36733767216588464"/>
    <x v="24"/>
    <n v="281.73333333333335"/>
    <n v="-0.32560340747752015"/>
    <d v="2022-05-12T00:00:00"/>
    <x v="28"/>
    <x v="2"/>
    <x v="0"/>
    <x v="0"/>
    <x v="22"/>
  </r>
  <r>
    <n v="31"/>
    <n v="382"/>
    <n v="198"/>
    <n v="5"/>
    <n v="4950"/>
    <x v="30"/>
    <x v="12"/>
    <n v="160"/>
    <x v="4"/>
    <n v="250.48780487804879"/>
    <n v="-0.2095423563777995"/>
    <x v="25"/>
    <n v="303.8235294117647"/>
    <n v="-0.34830590513068727"/>
    <d v="2022-03-29T00:00:00"/>
    <x v="29"/>
    <x v="0"/>
    <x v="0"/>
    <x v="0"/>
    <x v="29"/>
  </r>
  <r>
    <n v="32"/>
    <n v="103"/>
    <n v="254"/>
    <n v="3"/>
    <n v="3810"/>
    <x v="31"/>
    <x v="13"/>
    <n v="408"/>
    <x v="6"/>
    <n v="258.5128205128205"/>
    <n v="-1.7456853798849425E-2"/>
    <x v="26"/>
    <n v="216.4"/>
    <n v="0.17375231053604434"/>
    <d v="2022-10-23T00:00:00"/>
    <x v="30"/>
    <x v="2"/>
    <x v="0"/>
    <x v="1"/>
    <x v="30"/>
  </r>
  <r>
    <n v="33"/>
    <n v="104"/>
    <n v="351"/>
    <n v="1"/>
    <n v="1755"/>
    <x v="32"/>
    <x v="12"/>
    <n v="324"/>
    <x v="9"/>
    <n v="263.25423728813558"/>
    <n v="0.33331187226371362"/>
    <x v="9"/>
    <n v="257.78260869565219"/>
    <n v="0.36161241356046547"/>
    <d v="2022-07-19T00:00:00"/>
    <x v="31"/>
    <x v="0"/>
    <x v="0"/>
    <x v="1"/>
    <x v="31"/>
  </r>
  <r>
    <n v="34"/>
    <n v="213"/>
    <n v="387"/>
    <n v="1"/>
    <n v="1935"/>
    <x v="33"/>
    <x v="5"/>
    <n v="310"/>
    <x v="0"/>
    <n v="252.76271186440678"/>
    <n v="0.53108026554013277"/>
    <x v="0"/>
    <n v="240.5"/>
    <n v="0.60914760914760913"/>
    <d v="2022-09-03T00:00:00"/>
    <x v="32"/>
    <x v="4"/>
    <x v="0"/>
    <x v="1"/>
    <x v="32"/>
  </r>
  <r>
    <n v="35"/>
    <n v="157"/>
    <n v="55"/>
    <n v="2"/>
    <n v="550"/>
    <x v="34"/>
    <x v="2"/>
    <n v="179"/>
    <x v="11"/>
    <n v="262.63492063492066"/>
    <n v="-0.79058382690680529"/>
    <x v="21"/>
    <n v="238.72222222222223"/>
    <n v="-0.76960670235047712"/>
    <d v="2022-09-29T00:00:00"/>
    <x v="33"/>
    <x v="2"/>
    <x v="0"/>
    <x v="0"/>
    <x v="33"/>
  </r>
  <r>
    <n v="36"/>
    <n v="237"/>
    <n v="336"/>
    <n v="1"/>
    <n v="1680"/>
    <x v="35"/>
    <x v="9"/>
    <n v="64"/>
    <x v="17"/>
    <n v="267.85483870967744"/>
    <n v="0.25441079063045691"/>
    <x v="27"/>
    <n v="288.23809523809524"/>
    <n v="0.16570295721130024"/>
    <d v="2022-05-26T00:00:00"/>
    <x v="34"/>
    <x v="0"/>
    <x v="0"/>
    <x v="0"/>
    <x v="10"/>
  </r>
  <r>
    <n v="37"/>
    <n v="8"/>
    <n v="480"/>
    <n v="4"/>
    <n v="9600"/>
    <x v="36"/>
    <x v="14"/>
    <n v="318"/>
    <x v="3"/>
    <n v="265.47674418604652"/>
    <n v="0.80806797774955097"/>
    <x v="16"/>
    <n v="276.67567567567568"/>
    <n v="0.73488326658200642"/>
    <d v="2022-11-27T00:00:00"/>
    <x v="35"/>
    <x v="0"/>
    <x v="0"/>
    <x v="0"/>
    <x v="34"/>
  </r>
  <r>
    <n v="38"/>
    <n v="65"/>
    <n v="214"/>
    <n v="3"/>
    <n v="3210"/>
    <x v="37"/>
    <x v="0"/>
    <n v="239"/>
    <x v="16"/>
    <n v="300.31818181818181"/>
    <n v="-0.28742243075525953"/>
    <x v="24"/>
    <n v="281.73333333333335"/>
    <n v="-0.24041646947468054"/>
    <d v="2022-07-25T00:00:00"/>
    <x v="36"/>
    <x v="0"/>
    <x v="0"/>
    <x v="1"/>
    <x v="35"/>
  </r>
  <r>
    <n v="39"/>
    <n v="45"/>
    <n v="60"/>
    <n v="2"/>
    <n v="600"/>
    <x v="38"/>
    <x v="15"/>
    <n v="194"/>
    <x v="5"/>
    <n v="268.60344827586209"/>
    <n v="-0.77662237627575581"/>
    <x v="28"/>
    <n v="242.81818181818181"/>
    <n v="-0.75290153500561585"/>
    <d v="2022-12-29T00:00:00"/>
    <x v="9"/>
    <x v="2"/>
    <x v="0"/>
    <x v="0"/>
    <x v="10"/>
  </r>
  <r>
    <n v="40"/>
    <n v="36"/>
    <n v="414"/>
    <n v="3"/>
    <n v="6210"/>
    <x v="39"/>
    <x v="6"/>
    <n v="267"/>
    <x v="3"/>
    <n v="265.47674418604652"/>
    <n v="0.55945863080898772"/>
    <x v="29"/>
    <n v="235.55555555555554"/>
    <n v="0.75754716981132075"/>
    <d v="2022-12-15T00:00:00"/>
    <x v="37"/>
    <x v="2"/>
    <x v="0"/>
    <x v="0"/>
    <x v="36"/>
  </r>
  <r>
    <n v="41"/>
    <n v="443"/>
    <n v="62"/>
    <n v="3"/>
    <n v="930"/>
    <x v="40"/>
    <x v="4"/>
    <n v="334"/>
    <x v="7"/>
    <n v="249.02380952380952"/>
    <n v="-0.75102782292762216"/>
    <x v="7"/>
    <n v="276.21052631578948"/>
    <n v="-0.77553353658536583"/>
    <d v="2022-11-16T00:00:00"/>
    <x v="22"/>
    <x v="3"/>
    <x v="0"/>
    <x v="1"/>
    <x v="37"/>
  </r>
  <r>
    <n v="42"/>
    <n v="384"/>
    <n v="357"/>
    <n v="1"/>
    <n v="1785"/>
    <x v="41"/>
    <x v="16"/>
    <n v="47"/>
    <x v="0"/>
    <n v="252.76271186440678"/>
    <n v="0.41239187286260304"/>
    <x v="11"/>
    <n v="240.26666666666668"/>
    <n v="0.48584905660377342"/>
    <d v="2022-05-12T00:00:00"/>
    <x v="38"/>
    <x v="1"/>
    <x v="0"/>
    <x v="1"/>
    <x v="38"/>
  </r>
  <r>
    <n v="43"/>
    <n v="41"/>
    <n v="493"/>
    <n v="3"/>
    <n v="7395"/>
    <x v="42"/>
    <x v="1"/>
    <n v="287"/>
    <x v="13"/>
    <n v="258.375"/>
    <n v="0.90807934204160623"/>
    <x v="30"/>
    <n v="317.85714285714283"/>
    <n v="0.5510112359550563"/>
    <d v="2022-02-16T00:00:00"/>
    <x v="39"/>
    <x v="2"/>
    <x v="0"/>
    <x v="0"/>
    <x v="39"/>
  </r>
  <r>
    <n v="44"/>
    <n v="484"/>
    <n v="305"/>
    <n v="2"/>
    <n v="3050"/>
    <x v="43"/>
    <x v="11"/>
    <n v="145"/>
    <x v="2"/>
    <n v="283.468085106383"/>
    <n v="7.5958868122795176E-2"/>
    <x v="31"/>
    <n v="323.07692307692309"/>
    <n v="-5.5952380952380976E-2"/>
    <d v="2022-04-02T00:00:00"/>
    <x v="40"/>
    <x v="3"/>
    <x v="0"/>
    <x v="1"/>
    <x v="40"/>
  </r>
  <r>
    <n v="45"/>
    <n v="7"/>
    <n v="162"/>
    <n v="4"/>
    <n v="3240"/>
    <x v="44"/>
    <x v="8"/>
    <n v="270"/>
    <x v="11"/>
    <n v="262.63492063492066"/>
    <n v="-0.3831741810709538"/>
    <x v="21"/>
    <n v="238.72222222222223"/>
    <n v="-0.32138701419595073"/>
    <d v="2022-09-23T00:00:00"/>
    <x v="41"/>
    <x v="4"/>
    <x v="0"/>
    <x v="0"/>
    <x v="41"/>
  </r>
  <r>
    <n v="46"/>
    <n v="390"/>
    <n v="78"/>
    <n v="1"/>
    <n v="390"/>
    <x v="45"/>
    <x v="7"/>
    <n v="64"/>
    <x v="5"/>
    <n v="268.60344827586209"/>
    <n v="-0.70960908915848253"/>
    <x v="32"/>
    <n v="254.18181818181819"/>
    <n v="-0.69313304721030045"/>
    <d v="2022-05-26T00:00:00"/>
    <x v="42"/>
    <x v="0"/>
    <x v="1"/>
    <x v="0"/>
    <x v="10"/>
  </r>
  <r>
    <n v="47"/>
    <n v="57"/>
    <n v="343"/>
    <n v="5"/>
    <n v="8575"/>
    <x v="46"/>
    <x v="1"/>
    <n v="183"/>
    <x v="2"/>
    <n v="283.468085106383"/>
    <n v="0.21001275988891388"/>
    <x v="2"/>
    <n v="232.44444444444446"/>
    <n v="0.47562141491395793"/>
    <d v="2022-12-05T00:00:00"/>
    <x v="43"/>
    <x v="4"/>
    <x v="0"/>
    <x v="0"/>
    <x v="42"/>
  </r>
  <r>
    <n v="48"/>
    <n v="285"/>
    <n v="498"/>
    <n v="4"/>
    <n v="9960"/>
    <x v="47"/>
    <x v="9"/>
    <n v="2"/>
    <x v="3"/>
    <n v="265.47674418604652"/>
    <n v="0.87587052691515921"/>
    <x v="16"/>
    <n v="276.67567567567568"/>
    <n v="0.79994138907883161"/>
    <d v="2022-08-02T00:00:00"/>
    <x v="44"/>
    <x v="0"/>
    <x v="0"/>
    <x v="1"/>
    <x v="43"/>
  </r>
  <r>
    <n v="49"/>
    <n v="299"/>
    <n v="133"/>
    <n v="1"/>
    <n v="665"/>
    <x v="42"/>
    <x v="8"/>
    <n v="204"/>
    <x v="8"/>
    <n v="271.18181818181819"/>
    <n v="-0.50955414012738853"/>
    <x v="14"/>
    <n v="260.15789473684208"/>
    <n v="-0.48877200080922512"/>
    <d v="2022-11-02T00:00:00"/>
    <x v="45"/>
    <x v="2"/>
    <x v="1"/>
    <x v="0"/>
    <x v="18"/>
  </r>
  <r>
    <n v="50"/>
    <n v="444"/>
    <n v="311"/>
    <n v="4"/>
    <n v="6220"/>
    <x v="48"/>
    <x v="15"/>
    <n v="229"/>
    <x v="9"/>
    <n v="263.25423728813558"/>
    <n v="0.18136749935616803"/>
    <x v="33"/>
    <n v="248.5"/>
    <n v="0.25150905432595572"/>
    <d v="2022-07-24T00:00:00"/>
    <x v="46"/>
    <x v="1"/>
    <x v="0"/>
    <x v="1"/>
    <x v="44"/>
  </r>
  <r>
    <n v="51"/>
    <n v="35"/>
    <n v="242"/>
    <n v="2"/>
    <n v="2420"/>
    <x v="49"/>
    <x v="14"/>
    <n v="385"/>
    <x v="18"/>
    <n v="255.11627906976744"/>
    <n v="-5.1412944393801285E-2"/>
    <x v="34"/>
    <n v="250.30769230769232"/>
    <n v="-3.3189920098340542E-2"/>
    <d v="2022-07-11T00:00:00"/>
    <x v="47"/>
    <x v="3"/>
    <x v="0"/>
    <x v="1"/>
    <x v="44"/>
  </r>
  <r>
    <n v="52"/>
    <n v="296"/>
    <n v="101"/>
    <n v="3"/>
    <n v="1515"/>
    <x v="50"/>
    <x v="11"/>
    <n v="407"/>
    <x v="18"/>
    <n v="255.11627906976744"/>
    <n v="-0.60410209662716507"/>
    <x v="34"/>
    <n v="250.30769230769232"/>
    <n v="-0.59649661954517519"/>
    <d v="2022-03-01T00:00:00"/>
    <x v="48"/>
    <x v="1"/>
    <x v="0"/>
    <x v="0"/>
    <x v="45"/>
  </r>
  <r>
    <n v="53"/>
    <n v="227"/>
    <n v="65"/>
    <n v="1"/>
    <n v="325"/>
    <x v="51"/>
    <x v="2"/>
    <n v="493"/>
    <x v="3"/>
    <n v="265.47674418604652"/>
    <n v="-0.75515746134641493"/>
    <x v="19"/>
    <n v="329.27272727272725"/>
    <n v="-0.80259525124240749"/>
    <d v="2022-10-21T00:00:00"/>
    <x v="49"/>
    <x v="3"/>
    <x v="0"/>
    <x v="0"/>
    <x v="46"/>
  </r>
  <r>
    <n v="54"/>
    <n v="167"/>
    <n v="143"/>
    <n v="3"/>
    <n v="2145"/>
    <x v="52"/>
    <x v="14"/>
    <n v="34"/>
    <x v="10"/>
    <n v="271.74545454545455"/>
    <n v="-0.47377224675498464"/>
    <x v="12"/>
    <n v="212.8125"/>
    <n v="-0.32804698972099855"/>
    <d v="2022-04-03T00:00:00"/>
    <x v="50"/>
    <x v="4"/>
    <x v="0"/>
    <x v="1"/>
    <x v="47"/>
  </r>
  <r>
    <n v="55"/>
    <n v="146"/>
    <n v="402"/>
    <n v="5"/>
    <n v="10050"/>
    <x v="53"/>
    <x v="5"/>
    <n v="190"/>
    <x v="5"/>
    <n v="268.60344827586209"/>
    <n v="0.49663007895243583"/>
    <x v="28"/>
    <n v="242.81818181818181"/>
    <n v="0.65555971546237357"/>
    <d v="2022-05-08T00:00:00"/>
    <x v="51"/>
    <x v="1"/>
    <x v="0"/>
    <x v="1"/>
    <x v="48"/>
  </r>
  <r>
    <n v="56"/>
    <n v="338"/>
    <n v="97"/>
    <n v="1"/>
    <n v="485"/>
    <x v="43"/>
    <x v="9"/>
    <n v="266"/>
    <x v="11"/>
    <n v="262.63492063492066"/>
    <n v="-0.6306660219992748"/>
    <x v="21"/>
    <n v="238.72222222222223"/>
    <n v="-0.59367000232720502"/>
    <d v="2022-08-22T00:00:00"/>
    <x v="52"/>
    <x v="2"/>
    <x v="0"/>
    <x v="1"/>
    <x v="49"/>
  </r>
  <r>
    <n v="57"/>
    <n v="155"/>
    <n v="482"/>
    <n v="1"/>
    <n v="2410"/>
    <x v="54"/>
    <x v="6"/>
    <n v="222"/>
    <x v="9"/>
    <n v="263.25423728813558"/>
    <n v="0.83092969353592583"/>
    <x v="33"/>
    <n v="248.5"/>
    <n v="0.93963782696177067"/>
    <d v="2022-05-13T00:00:00"/>
    <x v="53"/>
    <x v="3"/>
    <x v="0"/>
    <x v="0"/>
    <x v="50"/>
  </r>
  <r>
    <n v="58"/>
    <n v="239"/>
    <n v="59"/>
    <n v="1"/>
    <n v="295"/>
    <x v="55"/>
    <x v="17"/>
    <n v="382"/>
    <x v="9"/>
    <n v="263.25423728813558"/>
    <n v="-0.77588204996137011"/>
    <x v="33"/>
    <n v="248.5"/>
    <n v="-0.76257545271629779"/>
    <d v="2022-10-16T00:00:00"/>
    <x v="54"/>
    <x v="1"/>
    <x v="0"/>
    <x v="0"/>
    <x v="51"/>
  </r>
  <r>
    <n v="59"/>
    <n v="158"/>
    <n v="87"/>
    <n v="4"/>
    <n v="1740"/>
    <x v="56"/>
    <x v="8"/>
    <n v="142"/>
    <x v="0"/>
    <n v="252.76271186440678"/>
    <n v="-0.65580366123516398"/>
    <x v="11"/>
    <n v="240.26666666666668"/>
    <n v="-0.63790233074361824"/>
    <d v="2022-05-02T00:00:00"/>
    <x v="55"/>
    <x v="2"/>
    <x v="0"/>
    <x v="1"/>
    <x v="52"/>
  </r>
  <r>
    <n v="60"/>
    <n v="147"/>
    <n v="238"/>
    <n v="5"/>
    <n v="5950"/>
    <x v="57"/>
    <x v="7"/>
    <n v="270"/>
    <x v="17"/>
    <n v="267.85483870967744"/>
    <n v="-0.11145902330342627"/>
    <x v="35"/>
    <n v="250.25925925925927"/>
    <n v="-4.8986236495486168E-2"/>
    <d v="2022-09-23T00:00:00"/>
    <x v="56"/>
    <x v="4"/>
    <x v="1"/>
    <x v="0"/>
    <x v="41"/>
  </r>
  <r>
    <n v="61"/>
    <n v="311"/>
    <n v="238"/>
    <n v="5"/>
    <n v="5950"/>
    <x v="58"/>
    <x v="7"/>
    <n v="150"/>
    <x v="3"/>
    <n v="265.47674418604652"/>
    <n v="-0.10349962769918097"/>
    <x v="16"/>
    <n v="276.67567567567568"/>
    <n v="-0.13978704698642186"/>
    <d v="2022-03-02T00:00:00"/>
    <x v="57"/>
    <x v="0"/>
    <x v="0"/>
    <x v="1"/>
    <x v="53"/>
  </r>
  <r>
    <n v="62"/>
    <n v="465"/>
    <n v="311"/>
    <n v="2"/>
    <n v="3110"/>
    <x v="59"/>
    <x v="1"/>
    <n v="14"/>
    <x v="9"/>
    <n v="263.25423728813558"/>
    <n v="0.18136749935616803"/>
    <x v="9"/>
    <n v="257.78260869565219"/>
    <n v="0.20644290774160901"/>
    <d v="2022-08-02T00:00:00"/>
    <x v="58"/>
    <x v="4"/>
    <x v="0"/>
    <x v="0"/>
    <x v="54"/>
  </r>
  <r>
    <n v="63"/>
    <n v="449"/>
    <n v="392"/>
    <n v="3"/>
    <n v="5880"/>
    <x v="33"/>
    <x v="11"/>
    <n v="371"/>
    <x v="10"/>
    <n v="271.74545454545455"/>
    <n v="0.44252642847584633"/>
    <x v="10"/>
    <n v="311.2"/>
    <n v="0.25964010282776351"/>
    <d v="2022-10-10T00:00:00"/>
    <x v="59"/>
    <x v="3"/>
    <x v="0"/>
    <x v="1"/>
    <x v="55"/>
  </r>
  <r>
    <n v="64"/>
    <n v="144"/>
    <n v="473"/>
    <n v="5"/>
    <n v="11825"/>
    <x v="60"/>
    <x v="9"/>
    <n v="328"/>
    <x v="3"/>
    <n v="265.47674418604652"/>
    <n v="0.78170031974070331"/>
    <x v="29"/>
    <n v="235.55555555555554"/>
    <n v="1.0080188679245285"/>
    <d v="2022-01-07T00:00:00"/>
    <x v="60"/>
    <x v="2"/>
    <x v="0"/>
    <x v="0"/>
    <x v="56"/>
  </r>
  <r>
    <n v="65"/>
    <n v="375"/>
    <n v="231"/>
    <n v="2"/>
    <n v="2310"/>
    <x v="61"/>
    <x v="10"/>
    <n v="171"/>
    <x v="3"/>
    <n v="265.47674418604652"/>
    <n v="-0.12986728570802852"/>
    <x v="3"/>
    <n v="236.27586206896552"/>
    <n v="-2.2329246935201441E-2"/>
    <d v="2022-05-29T00:00:00"/>
    <x v="61"/>
    <x v="2"/>
    <x v="0"/>
    <x v="0"/>
    <x v="57"/>
  </r>
  <r>
    <n v="66"/>
    <n v="408"/>
    <n v="438"/>
    <n v="3"/>
    <n v="6570"/>
    <x v="62"/>
    <x v="11"/>
    <n v="68"/>
    <x v="9"/>
    <n v="263.25423728813558"/>
    <n v="0.66379088333762559"/>
    <x v="33"/>
    <n v="248.5"/>
    <n v="0.76257545271629779"/>
    <d v="2022-11-17T00:00:00"/>
    <x v="62"/>
    <x v="0"/>
    <x v="0"/>
    <x v="0"/>
    <x v="58"/>
  </r>
  <r>
    <n v="67"/>
    <n v="425"/>
    <n v="365"/>
    <n v="2"/>
    <n v="3650"/>
    <x v="63"/>
    <x v="13"/>
    <n v="346"/>
    <x v="1"/>
    <n v="264.8679245283019"/>
    <n v="0.37804530559908822"/>
    <x v="13"/>
    <n v="320.84615384615387"/>
    <n v="0.13761687844641557"/>
    <d v="2022-03-16T00:00:00"/>
    <x v="63"/>
    <x v="2"/>
    <x v="0"/>
    <x v="0"/>
    <x v="59"/>
  </r>
  <r>
    <n v="68"/>
    <n v="277"/>
    <n v="324"/>
    <n v="2"/>
    <n v="3240"/>
    <x v="64"/>
    <x v="13"/>
    <n v="415"/>
    <x v="8"/>
    <n v="271.18181818181819"/>
    <n v="0.19477036540395565"/>
    <x v="8"/>
    <n v="291.45454545454544"/>
    <n v="0.1116656269494698"/>
    <d v="2022-04-10T00:00:00"/>
    <x v="64"/>
    <x v="3"/>
    <x v="0"/>
    <x v="0"/>
    <x v="60"/>
  </r>
  <r>
    <n v="69"/>
    <n v="130"/>
    <n v="208"/>
    <n v="5"/>
    <n v="5200"/>
    <x v="65"/>
    <x v="7"/>
    <n v="115"/>
    <x v="1"/>
    <n v="264.8679245283019"/>
    <n v="-0.21470294913805388"/>
    <x v="1"/>
    <n v="238.16666666666666"/>
    <n v="-0.12666200139958006"/>
    <d v="2022-09-28T00:00:00"/>
    <x v="65"/>
    <x v="1"/>
    <x v="0"/>
    <x v="0"/>
    <x v="61"/>
  </r>
  <r>
    <n v="70"/>
    <n v="337"/>
    <n v="115"/>
    <n v="3"/>
    <n v="1725"/>
    <x v="66"/>
    <x v="0"/>
    <n v="42"/>
    <x v="3"/>
    <n v="265.47674418604652"/>
    <n v="-0.56681704699750335"/>
    <x v="16"/>
    <n v="276.67567567567568"/>
    <n v="-0.5843508840480609"/>
    <d v="2022-08-10T00:00:00"/>
    <x v="66"/>
    <x v="4"/>
    <x v="0"/>
    <x v="0"/>
    <x v="62"/>
  </r>
  <r>
    <n v="71"/>
    <n v="30"/>
    <n v="261"/>
    <n v="1"/>
    <n v="1305"/>
    <x v="67"/>
    <x v="14"/>
    <n v="378"/>
    <x v="14"/>
    <n v="273.72549019607845"/>
    <n v="-4.6489971346704961E-2"/>
    <x v="22"/>
    <n v="280.23809523809524"/>
    <n v="-6.8649107901444406E-2"/>
    <d v="2022-05-29T00:00:00"/>
    <x v="67"/>
    <x v="2"/>
    <x v="0"/>
    <x v="1"/>
    <x v="63"/>
  </r>
  <r>
    <n v="72"/>
    <n v="75"/>
    <n v="257"/>
    <n v="2"/>
    <n v="2570"/>
    <x v="68"/>
    <x v="17"/>
    <n v="449"/>
    <x v="2"/>
    <n v="283.468085106383"/>
    <n v="-9.3372363581775919E-2"/>
    <x v="36"/>
    <n v="249.5"/>
    <n v="3.0060120240480881E-2"/>
    <d v="2022-03-25T00:00:00"/>
    <x v="68"/>
    <x v="4"/>
    <x v="0"/>
    <x v="1"/>
    <x v="64"/>
  </r>
  <r>
    <n v="73"/>
    <n v="118"/>
    <n v="459"/>
    <n v="2"/>
    <n v="4590"/>
    <x v="69"/>
    <x v="9"/>
    <n v="318"/>
    <x v="0"/>
    <n v="252.76271186440678"/>
    <n v="0.81593240796620403"/>
    <x v="0"/>
    <n v="240.5"/>
    <n v="0.90852390852390852"/>
    <d v="2022-11-27T00:00:00"/>
    <x v="69"/>
    <x v="0"/>
    <x v="1"/>
    <x v="0"/>
    <x v="34"/>
  </r>
  <r>
    <n v="74"/>
    <n v="19"/>
    <n v="112"/>
    <n v="4"/>
    <n v="2240"/>
    <x v="70"/>
    <x v="9"/>
    <n v="317"/>
    <x v="10"/>
    <n v="271.74545454545455"/>
    <n v="-0.58784959186404384"/>
    <x v="37"/>
    <n v="272.35294117647061"/>
    <n v="-0.58876889848812097"/>
    <d v="2022-07-28T00:00:00"/>
    <x v="70"/>
    <x v="2"/>
    <x v="0"/>
    <x v="1"/>
    <x v="65"/>
  </r>
  <r>
    <n v="75"/>
    <n v="204"/>
    <n v="491"/>
    <n v="4"/>
    <n v="9820"/>
    <x v="71"/>
    <x v="10"/>
    <n v="426"/>
    <x v="2"/>
    <n v="283.468085106383"/>
    <n v="0.73211739097800788"/>
    <x v="2"/>
    <n v="232.44444444444446"/>
    <n v="1.1123326959847035"/>
    <d v="2022-07-26T00:00:00"/>
    <x v="71"/>
    <x v="4"/>
    <x v="0"/>
    <x v="0"/>
    <x v="66"/>
  </r>
  <r>
    <n v="76"/>
    <n v="304"/>
    <n v="162"/>
    <n v="1"/>
    <n v="810"/>
    <x v="72"/>
    <x v="7"/>
    <n v="25"/>
    <x v="17"/>
    <n v="267.85483870967744"/>
    <n v="-0.39519479737460106"/>
    <x v="27"/>
    <n v="288.23809523809524"/>
    <n v="-0.43796464563026594"/>
    <d v="2022-01-21T00:00:00"/>
    <x v="72"/>
    <x v="4"/>
    <x v="0"/>
    <x v="0"/>
    <x v="67"/>
  </r>
  <r>
    <n v="77"/>
    <n v="189"/>
    <n v="278"/>
    <n v="2"/>
    <n v="2780"/>
    <x v="73"/>
    <x v="15"/>
    <n v="462"/>
    <x v="16"/>
    <n v="300.31818181818181"/>
    <n v="-7.4315120326925999E-2"/>
    <x v="38"/>
    <n v="264"/>
    <n v="5.3030303030302983E-2"/>
    <d v="2022-07-09T00:00:00"/>
    <x v="73"/>
    <x v="2"/>
    <x v="0"/>
    <x v="0"/>
    <x v="68"/>
  </r>
  <r>
    <n v="78"/>
    <n v="392"/>
    <n v="484"/>
    <n v="4"/>
    <n v="9680"/>
    <x v="74"/>
    <x v="2"/>
    <n v="252"/>
    <x v="7"/>
    <n v="249.02380952380952"/>
    <n v="0.94358925327469167"/>
    <x v="39"/>
    <n v="222.2"/>
    <n v="1.1782178217821784"/>
    <d v="2022-03-23T00:00:00"/>
    <x v="74"/>
    <x v="2"/>
    <x v="0"/>
    <x v="1"/>
    <x v="22"/>
  </r>
  <r>
    <n v="79"/>
    <n v="10"/>
    <n v="53"/>
    <n v="1"/>
    <n v="265"/>
    <x v="75"/>
    <x v="17"/>
    <n v="392"/>
    <x v="5"/>
    <n v="268.60344827586209"/>
    <n v="-0.80268309904358437"/>
    <x v="5"/>
    <n v="281.96875"/>
    <n v="-0.81203590823451177"/>
    <d v="2022-12-24T00:00:00"/>
    <x v="75"/>
    <x v="2"/>
    <x v="0"/>
    <x v="1"/>
    <x v="69"/>
  </r>
  <r>
    <n v="80"/>
    <n v="64"/>
    <n v="131"/>
    <n v="5"/>
    <n v="3275"/>
    <x v="76"/>
    <x v="7"/>
    <n v="487"/>
    <x v="19"/>
    <n v="286.92307692307691"/>
    <n v="-0.54343163538873984"/>
    <x v="40"/>
    <n v="273.58333333333331"/>
    <n v="-0.52116966189460856"/>
    <d v="2022-09-11T00:00:00"/>
    <x v="76"/>
    <x v="2"/>
    <x v="0"/>
    <x v="0"/>
    <x v="70"/>
  </r>
  <r>
    <n v="81"/>
    <n v="116"/>
    <n v="120"/>
    <n v="2"/>
    <n v="1200"/>
    <x v="24"/>
    <x v="18"/>
    <n v="332"/>
    <x v="1"/>
    <n v="264.8679245283019"/>
    <n v="-0.54694400911810803"/>
    <x v="13"/>
    <n v="320.84615384615387"/>
    <n v="-0.62598897146967158"/>
    <d v="2022-10-24T00:00:00"/>
    <x v="77"/>
    <x v="0"/>
    <x v="1"/>
    <x v="1"/>
    <x v="12"/>
  </r>
  <r>
    <n v="82"/>
    <n v="334"/>
    <n v="396"/>
    <n v="4"/>
    <n v="7920"/>
    <x v="77"/>
    <x v="17"/>
    <n v="134"/>
    <x v="15"/>
    <n v="294.95238095238096"/>
    <n v="0.34258960284145945"/>
    <x v="41"/>
    <n v="274.77777777777777"/>
    <n v="0.44116457743631221"/>
    <d v="2022-07-11T00:00:00"/>
    <x v="78"/>
    <x v="2"/>
    <x v="0"/>
    <x v="0"/>
    <x v="71"/>
  </r>
  <r>
    <n v="83"/>
    <n v="345"/>
    <n v="267"/>
    <n v="5"/>
    <n v="6675"/>
    <x v="78"/>
    <x v="1"/>
    <n v="287"/>
    <x v="17"/>
    <n v="267.85483870967744"/>
    <n v="-3.1914253025833172E-3"/>
    <x v="27"/>
    <n v="288.23809523809524"/>
    <n v="-7.3682471501734681E-2"/>
    <d v="2022-02-16T00:00:00"/>
    <x v="79"/>
    <x v="2"/>
    <x v="1"/>
    <x v="0"/>
    <x v="39"/>
  </r>
  <r>
    <n v="84"/>
    <n v="281"/>
    <n v="371"/>
    <n v="1"/>
    <n v="1855"/>
    <x v="69"/>
    <x v="14"/>
    <n v="11"/>
    <x v="8"/>
    <n v="271.18181818181819"/>
    <n v="0.36808581964465303"/>
    <x v="14"/>
    <n v="260.15789473684208"/>
    <n v="0.42605705037426667"/>
    <d v="2022-05-09T00:00:00"/>
    <x v="80"/>
    <x v="4"/>
    <x v="0"/>
    <x v="1"/>
    <x v="72"/>
  </r>
  <r>
    <n v="85"/>
    <n v="276"/>
    <n v="295"/>
    <n v="1"/>
    <n v="1475"/>
    <x v="79"/>
    <x v="9"/>
    <n v="458"/>
    <x v="19"/>
    <n v="286.92307692307691"/>
    <n v="2.8150134048257502E-2"/>
    <x v="42"/>
    <n v="312.66666666666669"/>
    <n v="-5.6503198294243107E-2"/>
    <d v="2022-05-13T00:00:00"/>
    <x v="81"/>
    <x v="2"/>
    <x v="0"/>
    <x v="0"/>
    <x v="73"/>
  </r>
  <r>
    <n v="86"/>
    <n v="234"/>
    <n v="75"/>
    <n v="5"/>
    <n v="1875"/>
    <x v="80"/>
    <x v="15"/>
    <n v="130"/>
    <x v="8"/>
    <n v="271.18181818181819"/>
    <n v="-0.72343278578612136"/>
    <x v="8"/>
    <n v="291.45454545454544"/>
    <n v="-0.74266999376169673"/>
    <d v="2022-10-29T00:00:00"/>
    <x v="82"/>
    <x v="4"/>
    <x v="0"/>
    <x v="1"/>
    <x v="74"/>
  </r>
  <r>
    <n v="87"/>
    <n v="319"/>
    <n v="247"/>
    <n v="2"/>
    <n v="2470"/>
    <x v="81"/>
    <x v="0"/>
    <n v="330"/>
    <x v="9"/>
    <n v="263.25423728813558"/>
    <n v="-6.1743497295905225E-2"/>
    <x v="33"/>
    <n v="248.5"/>
    <n v="-6.0362173038229772E-3"/>
    <d v="2022-09-11T00:00:00"/>
    <x v="83"/>
    <x v="0"/>
    <x v="0"/>
    <x v="1"/>
    <x v="61"/>
  </r>
  <r>
    <n v="88"/>
    <n v="375"/>
    <n v="281"/>
    <n v="2"/>
    <n v="2810"/>
    <x v="82"/>
    <x v="9"/>
    <n v="167"/>
    <x v="3"/>
    <n v="265.47674418604652"/>
    <n v="5.8473128640883054E-2"/>
    <x v="3"/>
    <n v="236.27586206896552"/>
    <n v="0.18928779918272043"/>
    <d v="2022-01-02T00:00:00"/>
    <x v="84"/>
    <x v="0"/>
    <x v="0"/>
    <x v="0"/>
    <x v="75"/>
  </r>
  <r>
    <n v="89"/>
    <n v="443"/>
    <n v="136"/>
    <n v="2"/>
    <n v="1360"/>
    <x v="83"/>
    <x v="17"/>
    <n v="140"/>
    <x v="7"/>
    <n v="249.02380952380952"/>
    <n v="-0.45386748255091303"/>
    <x v="7"/>
    <n v="276.21052631578948"/>
    <n v="-0.50762195121951215"/>
    <d v="2022-03-07T00:00:00"/>
    <x v="85"/>
    <x v="2"/>
    <x v="0"/>
    <x v="0"/>
    <x v="76"/>
  </r>
  <r>
    <n v="90"/>
    <n v="30"/>
    <n v="142"/>
    <n v="5"/>
    <n v="3550"/>
    <x v="84"/>
    <x v="15"/>
    <n v="423"/>
    <x v="14"/>
    <n v="273.72549019607845"/>
    <n v="-0.48123209169054448"/>
    <x v="22"/>
    <n v="280.23809523809524"/>
    <n v="-0.49328802039082409"/>
    <d v="2022-10-07T00:00:00"/>
    <x v="86"/>
    <x v="1"/>
    <x v="0"/>
    <x v="1"/>
    <x v="77"/>
  </r>
  <r>
    <n v="91"/>
    <n v="24"/>
    <n v="414"/>
    <n v="1"/>
    <n v="2070"/>
    <x v="85"/>
    <x v="4"/>
    <n v="365"/>
    <x v="9"/>
    <n v="263.25423728813558"/>
    <n v="0.57262425959309815"/>
    <x v="43"/>
    <n v="287.10000000000002"/>
    <n v="0.44200626959247646"/>
    <d v="2022-10-07T00:00:00"/>
    <x v="87"/>
    <x v="1"/>
    <x v="0"/>
    <x v="1"/>
    <x v="78"/>
  </r>
  <r>
    <n v="92"/>
    <n v="357"/>
    <n v="206"/>
    <n v="2"/>
    <n v="2060"/>
    <x v="86"/>
    <x v="18"/>
    <n v="452"/>
    <x v="10"/>
    <n v="271.74545454545455"/>
    <n v="-0.24193764217850933"/>
    <x v="37"/>
    <n v="272.35294117647061"/>
    <n v="-0.24362850971922256"/>
    <d v="2022-07-27T00:00:00"/>
    <x v="88"/>
    <x v="2"/>
    <x v="0"/>
    <x v="0"/>
    <x v="79"/>
  </r>
  <r>
    <n v="93"/>
    <n v="265"/>
    <n v="66"/>
    <n v="1"/>
    <n v="330"/>
    <x v="87"/>
    <x v="16"/>
    <n v="424"/>
    <x v="10"/>
    <n v="271.74545454545455"/>
    <n v="-0.75712565234845441"/>
    <x v="15"/>
    <n v="316.58333333333331"/>
    <n v="-0.79152408528560148"/>
    <d v="2022-01-24T00:00:00"/>
    <x v="89"/>
    <x v="2"/>
    <x v="0"/>
    <x v="0"/>
    <x v="80"/>
  </r>
  <r>
    <n v="94"/>
    <n v="102"/>
    <n v="452"/>
    <n v="1"/>
    <n v="2260"/>
    <x v="88"/>
    <x v="13"/>
    <n v="75"/>
    <x v="2"/>
    <n v="283.468085106383"/>
    <n v="0.59453576521804385"/>
    <x v="36"/>
    <n v="249.5"/>
    <n v="0.81162324649298601"/>
    <d v="2022-08-23T00:00:00"/>
    <x v="90"/>
    <x v="3"/>
    <x v="0"/>
    <x v="1"/>
    <x v="81"/>
  </r>
  <r>
    <n v="95"/>
    <n v="212"/>
    <n v="175"/>
    <n v="1"/>
    <n v="875"/>
    <x v="89"/>
    <x v="19"/>
    <n v="385"/>
    <x v="14"/>
    <n v="273.72549019607845"/>
    <n v="-0.36067335243553011"/>
    <x v="44"/>
    <n v="320.57142857142856"/>
    <n v="-0.45409982174688057"/>
    <d v="2022-07-11T00:00:00"/>
    <x v="91"/>
    <x v="3"/>
    <x v="1"/>
    <x v="1"/>
    <x v="44"/>
  </r>
  <r>
    <n v="96"/>
    <n v="215"/>
    <n v="109"/>
    <n v="1"/>
    <n v="545"/>
    <x v="90"/>
    <x v="9"/>
    <n v="71"/>
    <x v="5"/>
    <n v="268.60344827586209"/>
    <n v="-0.59419731690095645"/>
    <x v="5"/>
    <n v="281.96875"/>
    <n v="-0.61343233957663745"/>
    <d v="2022-07-20T00:00:00"/>
    <x v="92"/>
    <x v="3"/>
    <x v="0"/>
    <x v="0"/>
    <x v="72"/>
  </r>
  <r>
    <n v="97"/>
    <n v="364"/>
    <n v="323"/>
    <n v="2"/>
    <n v="3230"/>
    <x v="91"/>
    <x v="17"/>
    <n v="313"/>
    <x v="0"/>
    <n v="252.76271186440678"/>
    <n v="0.27787836116140285"/>
    <x v="45"/>
    <n v="293.41176470588238"/>
    <n v="0.10084202085004002"/>
    <d v="2022-12-01T00:00:00"/>
    <x v="93"/>
    <x v="0"/>
    <x v="0"/>
    <x v="0"/>
    <x v="18"/>
  </r>
  <r>
    <n v="98"/>
    <n v="499"/>
    <n v="96"/>
    <n v="1"/>
    <n v="480"/>
    <x v="92"/>
    <x v="5"/>
    <n v="239"/>
    <x v="2"/>
    <n v="283.468085106383"/>
    <n v="-0.66133753659085792"/>
    <x v="46"/>
    <n v="321.63636363636363"/>
    <n v="-0.70152628603730927"/>
    <d v="2022-07-25T00:00:00"/>
    <x v="94"/>
    <x v="0"/>
    <x v="1"/>
    <x v="1"/>
    <x v="35"/>
  </r>
  <r>
    <n v="99"/>
    <n v="202"/>
    <n v="422"/>
    <n v="2"/>
    <n v="4220"/>
    <x v="93"/>
    <x v="5"/>
    <n v="301"/>
    <x v="4"/>
    <n v="250.48780487804879"/>
    <n v="0.68471275559883149"/>
    <x v="25"/>
    <n v="303.8235294117647"/>
    <n v="0.3889641819941918"/>
    <d v="2022-06-02T00:00:00"/>
    <x v="95"/>
    <x v="2"/>
    <x v="0"/>
    <x v="0"/>
    <x v="82"/>
  </r>
  <r>
    <n v="100"/>
    <n v="244"/>
    <n v="57"/>
    <n v="3"/>
    <n v="855"/>
    <x v="94"/>
    <x v="18"/>
    <n v="359"/>
    <x v="10"/>
    <n v="271.74545454545455"/>
    <n v="-0.79024488157366524"/>
    <x v="12"/>
    <n v="212.8125"/>
    <n v="-0.73215859030837005"/>
    <d v="2022-01-23T00:00:00"/>
    <x v="96"/>
    <x v="2"/>
    <x v="0"/>
    <x v="1"/>
    <x v="83"/>
  </r>
  <r>
    <n v="101"/>
    <n v="363"/>
    <n v="414"/>
    <n v="4"/>
    <n v="8280"/>
    <x v="95"/>
    <x v="17"/>
    <n v="474"/>
    <x v="16"/>
    <n v="300.31818181818181"/>
    <n v="0.37853791433328299"/>
    <x v="38"/>
    <n v="264"/>
    <n v="0.56818181818181812"/>
    <d v="2022-02-13T00:00:00"/>
    <x v="97"/>
    <x v="2"/>
    <x v="0"/>
    <x v="1"/>
    <x v="84"/>
  </r>
  <r>
    <n v="102"/>
    <n v="212"/>
    <n v="320"/>
    <n v="5"/>
    <n v="8000"/>
    <x v="96"/>
    <x v="2"/>
    <n v="111"/>
    <x v="14"/>
    <n v="273.72549019607845"/>
    <n v="0.16905444126074487"/>
    <x v="44"/>
    <n v="320.57142857142856"/>
    <n v="-1.7825311942958333E-3"/>
    <d v="2022-08-31T00:00:00"/>
    <x v="98"/>
    <x v="0"/>
    <x v="0"/>
    <x v="0"/>
    <x v="85"/>
  </r>
  <r>
    <n v="103"/>
    <n v="434"/>
    <n v="272"/>
    <n v="2"/>
    <n v="2720"/>
    <x v="25"/>
    <x v="5"/>
    <n v="126"/>
    <x v="11"/>
    <n v="262.63492063492066"/>
    <n v="3.5658165115435736E-2"/>
    <x v="47"/>
    <n v="271"/>
    <n v="3.6900369003689537E-3"/>
    <d v="2022-09-18T00:00:00"/>
    <x v="99"/>
    <x v="0"/>
    <x v="0"/>
    <x v="0"/>
    <x v="86"/>
  </r>
  <r>
    <n v="104"/>
    <n v="305"/>
    <n v="419"/>
    <n v="4"/>
    <n v="8380"/>
    <x v="97"/>
    <x v="19"/>
    <n v="356"/>
    <x v="2"/>
    <n v="283.468085106383"/>
    <n v="0.47812054342115129"/>
    <x v="46"/>
    <n v="321.63636363636363"/>
    <n v="0.30271339739966097"/>
    <d v="2022-01-09T00:00:00"/>
    <x v="100"/>
    <x v="4"/>
    <x v="0"/>
    <x v="1"/>
    <x v="87"/>
  </r>
  <r>
    <n v="105"/>
    <n v="37"/>
    <n v="478"/>
    <n v="4"/>
    <n v="9560"/>
    <x v="98"/>
    <x v="4"/>
    <n v="166"/>
    <x v="1"/>
    <n v="264.8679245283019"/>
    <n v="0.80467303034620308"/>
    <x v="1"/>
    <n v="238.16666666666666"/>
    <n v="1.0069979006298113"/>
    <d v="2022-08-23T00:00:00"/>
    <x v="101"/>
    <x v="0"/>
    <x v="0"/>
    <x v="0"/>
    <x v="88"/>
  </r>
  <r>
    <n v="106"/>
    <n v="242"/>
    <n v="333"/>
    <n v="3"/>
    <n v="4995"/>
    <x v="64"/>
    <x v="2"/>
    <n v="162"/>
    <x v="4"/>
    <n v="250.48780487804879"/>
    <n v="0.32940603700097371"/>
    <x v="25"/>
    <n v="303.8235294117647"/>
    <n v="9.603097773475322E-2"/>
    <d v="2022-03-19T00:00:00"/>
    <x v="102"/>
    <x v="4"/>
    <x v="0"/>
    <x v="1"/>
    <x v="89"/>
  </r>
  <r>
    <n v="107"/>
    <n v="332"/>
    <n v="327"/>
    <n v="2"/>
    <n v="3270"/>
    <x v="99"/>
    <x v="11"/>
    <n v="459"/>
    <x v="8"/>
    <n v="271.18181818181819"/>
    <n v="0.20583305397251084"/>
    <x v="48"/>
    <n v="281.75"/>
    <n v="0.16060337178349604"/>
    <d v="2022-07-01T00:00:00"/>
    <x v="99"/>
    <x v="2"/>
    <x v="0"/>
    <x v="0"/>
    <x v="72"/>
  </r>
  <r>
    <n v="108"/>
    <n v="452"/>
    <n v="89"/>
    <n v="3"/>
    <n v="1335"/>
    <x v="100"/>
    <x v="14"/>
    <n v="211"/>
    <x v="12"/>
    <n v="274.16279069767444"/>
    <n v="-0.67537534990245152"/>
    <x v="18"/>
    <n v="253.6875"/>
    <n v="-0.64917467356491754"/>
    <d v="2022-03-01T00:00:00"/>
    <x v="103"/>
    <x v="3"/>
    <x v="0"/>
    <x v="1"/>
    <x v="90"/>
  </r>
  <r>
    <n v="109"/>
    <n v="452"/>
    <n v="78"/>
    <n v="3"/>
    <n v="1170"/>
    <x v="101"/>
    <x v="2"/>
    <n v="132"/>
    <x v="12"/>
    <n v="274.16279069767444"/>
    <n v="-0.71549749766731696"/>
    <x v="18"/>
    <n v="253.6875"/>
    <n v="-0.69253510716925348"/>
    <d v="2022-02-09T00:00:00"/>
    <x v="104"/>
    <x v="3"/>
    <x v="0"/>
    <x v="0"/>
    <x v="91"/>
  </r>
  <r>
    <n v="110"/>
    <n v="132"/>
    <n v="278"/>
    <n v="3"/>
    <n v="4170"/>
    <x v="102"/>
    <x v="3"/>
    <n v="236"/>
    <x v="6"/>
    <n v="258.5128205128205"/>
    <n v="7.5381868676849928E-2"/>
    <x v="6"/>
    <n v="260.64705882352939"/>
    <n v="6.6576393590611627E-2"/>
    <d v="2022-09-16T00:00:00"/>
    <x v="105"/>
    <x v="0"/>
    <x v="1"/>
    <x v="0"/>
    <x v="14"/>
  </r>
  <r>
    <n v="111"/>
    <n v="457"/>
    <n v="211"/>
    <n v="4"/>
    <n v="4220"/>
    <x v="103"/>
    <x v="9"/>
    <n v="333"/>
    <x v="5"/>
    <n v="268.60344827586209"/>
    <n v="-0.21445535656974135"/>
    <x v="49"/>
    <n v="272.25"/>
    <n v="-0.22497704315886136"/>
    <d v="2022-10-23T00:00:00"/>
    <x v="106"/>
    <x v="2"/>
    <x v="0"/>
    <x v="0"/>
    <x v="92"/>
  </r>
  <r>
    <n v="112"/>
    <n v="250"/>
    <n v="97"/>
    <n v="5"/>
    <n v="2425"/>
    <x v="55"/>
    <x v="19"/>
    <n v="298"/>
    <x v="12"/>
    <n v="274.16279069767444"/>
    <n v="-0.64619560607345838"/>
    <x v="50"/>
    <n v="280.66666666666669"/>
    <n v="-0.654394299287411"/>
    <d v="2022-09-17T00:00:00"/>
    <x v="107"/>
    <x v="3"/>
    <x v="0"/>
    <x v="0"/>
    <x v="93"/>
  </r>
  <r>
    <n v="113"/>
    <n v="195"/>
    <n v="240"/>
    <n v="2"/>
    <n v="2400"/>
    <x v="104"/>
    <x v="6"/>
    <n v="273"/>
    <x v="16"/>
    <n v="300.31818181818181"/>
    <n v="-0.20084758589374907"/>
    <x v="51"/>
    <n v="331.16666666666669"/>
    <n v="-0.27528938097634625"/>
    <d v="2022-02-07T00:00:00"/>
    <x v="108"/>
    <x v="0"/>
    <x v="0"/>
    <x v="1"/>
    <x v="94"/>
  </r>
  <r>
    <n v="114"/>
    <n v="186"/>
    <n v="244"/>
    <n v="1"/>
    <n v="1220"/>
    <x v="105"/>
    <x v="9"/>
    <n v="321"/>
    <x v="11"/>
    <n v="262.63492063492066"/>
    <n v="-7.0953704822918073E-2"/>
    <x v="21"/>
    <n v="238.72222222222223"/>
    <n v="2.2108447754247029E-2"/>
    <d v="2022-07-14T00:00:00"/>
    <x v="78"/>
    <x v="4"/>
    <x v="0"/>
    <x v="1"/>
    <x v="95"/>
  </r>
  <r>
    <n v="115"/>
    <n v="490"/>
    <n v="219"/>
    <n v="1"/>
    <n v="1095"/>
    <x v="106"/>
    <x v="12"/>
    <n v="119"/>
    <x v="11"/>
    <n v="262.63492063492066"/>
    <n v="-0.16614287441073383"/>
    <x v="47"/>
    <n v="271"/>
    <n v="-0.19188191881918815"/>
    <d v="2022-05-09T00:00:00"/>
    <x v="109"/>
    <x v="2"/>
    <x v="0"/>
    <x v="1"/>
    <x v="96"/>
  </r>
  <r>
    <n v="116"/>
    <n v="72"/>
    <n v="162"/>
    <n v="1"/>
    <n v="810"/>
    <x v="107"/>
    <x v="9"/>
    <n v="472"/>
    <x v="17"/>
    <n v="267.85483870967744"/>
    <n v="-0.39519479737460106"/>
    <x v="35"/>
    <n v="250.25925925925927"/>
    <n v="-0.352671303833062"/>
    <d v="2022-12-06T00:00:00"/>
    <x v="110"/>
    <x v="3"/>
    <x v="0"/>
    <x v="1"/>
    <x v="97"/>
  </r>
  <r>
    <n v="117"/>
    <n v="430"/>
    <n v="119"/>
    <n v="3"/>
    <n v="1785"/>
    <x v="108"/>
    <x v="16"/>
    <n v="396"/>
    <x v="8"/>
    <n v="271.18181818181819"/>
    <n v="-0.56118002011397916"/>
    <x v="52"/>
    <n v="243.3"/>
    <n v="-0.5108919030004111"/>
    <d v="2022-11-06T00:00:00"/>
    <x v="111"/>
    <x v="3"/>
    <x v="0"/>
    <x v="1"/>
    <x v="98"/>
  </r>
  <r>
    <n v="118"/>
    <n v="223"/>
    <n v="174"/>
    <n v="2"/>
    <n v="1740"/>
    <x v="109"/>
    <x v="6"/>
    <n v="269"/>
    <x v="8"/>
    <n v="271.18181818181819"/>
    <n v="-0.35836406302380153"/>
    <x v="8"/>
    <n v="291.45454545454544"/>
    <n v="-0.40299438552713662"/>
    <d v="2022-06-08T00:00:00"/>
    <x v="112"/>
    <x v="2"/>
    <x v="0"/>
    <x v="1"/>
    <x v="99"/>
  </r>
  <r>
    <n v="119"/>
    <n v="164"/>
    <n v="229"/>
    <n v="3"/>
    <n v="3435"/>
    <x v="110"/>
    <x v="14"/>
    <n v="16"/>
    <x v="15"/>
    <n v="294.95238095238096"/>
    <n v="-0.22360348724572165"/>
    <x v="53"/>
    <n v="322.54545454545456"/>
    <n v="-0.29002254791431792"/>
    <d v="2022-06-01T00:00:00"/>
    <x v="113"/>
    <x v="3"/>
    <x v="0"/>
    <x v="1"/>
    <x v="100"/>
  </r>
  <r>
    <n v="120"/>
    <n v="223"/>
    <n v="411"/>
    <n v="5"/>
    <n v="10275"/>
    <x v="20"/>
    <x v="15"/>
    <n v="281"/>
    <x v="8"/>
    <n v="271.18181818181819"/>
    <n v="0.51558833389205505"/>
    <x v="8"/>
    <n v="291.45454545454544"/>
    <n v="0.41016843418590154"/>
    <d v="2022-05-30T00:00:00"/>
    <x v="114"/>
    <x v="0"/>
    <x v="0"/>
    <x v="1"/>
    <x v="101"/>
  </r>
  <r>
    <n v="121"/>
    <n v="244"/>
    <n v="245"/>
    <n v="4"/>
    <n v="4900"/>
    <x v="111"/>
    <x v="17"/>
    <n v="149"/>
    <x v="10"/>
    <n v="271.74545454545455"/>
    <n v="-9.8420982202595986E-2"/>
    <x v="12"/>
    <n v="212.8125"/>
    <n v="0.15124816446402356"/>
    <d v="2022-11-17T00:00:00"/>
    <x v="115"/>
    <x v="4"/>
    <x v="0"/>
    <x v="0"/>
    <x v="102"/>
  </r>
  <r>
    <n v="122"/>
    <n v="393"/>
    <n v="113"/>
    <n v="5"/>
    <n v="2825"/>
    <x v="112"/>
    <x v="11"/>
    <n v="71"/>
    <x v="6"/>
    <n v="258.5128205128205"/>
    <n v="-0.56288434834358259"/>
    <x v="54"/>
    <n v="292.66666666666669"/>
    <n v="-0.61389521640091127"/>
    <d v="2022-07-20T00:00:00"/>
    <x v="116"/>
    <x v="3"/>
    <x v="1"/>
    <x v="0"/>
    <x v="72"/>
  </r>
  <r>
    <n v="123"/>
    <n v="166"/>
    <n v="73"/>
    <n v="4"/>
    <n v="1460"/>
    <x v="72"/>
    <x v="16"/>
    <n v="126"/>
    <x v="5"/>
    <n v="268.60344827586209"/>
    <n v="-0.72822389113550301"/>
    <x v="28"/>
    <n v="242.81818181818181"/>
    <n v="-0.69936353425683262"/>
    <d v="2022-09-18T00:00:00"/>
    <x v="117"/>
    <x v="0"/>
    <x v="1"/>
    <x v="0"/>
    <x v="86"/>
  </r>
  <r>
    <n v="124"/>
    <n v="249"/>
    <n v="368"/>
    <n v="2"/>
    <n v="3680"/>
    <x v="113"/>
    <x v="14"/>
    <n v="380"/>
    <x v="8"/>
    <n v="271.18181818181819"/>
    <n v="0.35702313107609784"/>
    <x v="14"/>
    <n v="260.15789473684208"/>
    <n v="0.41452559174590342"/>
    <d v="2022-01-02T00:00:00"/>
    <x v="118"/>
    <x v="2"/>
    <x v="0"/>
    <x v="0"/>
    <x v="103"/>
  </r>
  <r>
    <n v="125"/>
    <n v="83"/>
    <n v="351"/>
    <n v="1"/>
    <n v="1755"/>
    <x v="114"/>
    <x v="7"/>
    <n v="11"/>
    <x v="5"/>
    <n v="268.60344827586209"/>
    <n v="0.30675909878682828"/>
    <x v="32"/>
    <n v="254.18181818181819"/>
    <n v="0.38090128755364794"/>
    <d v="2022-05-09T00:00:00"/>
    <x v="116"/>
    <x v="4"/>
    <x v="1"/>
    <x v="1"/>
    <x v="72"/>
  </r>
  <r>
    <n v="126"/>
    <n v="242"/>
    <n v="221"/>
    <n v="5"/>
    <n v="5525"/>
    <x v="115"/>
    <x v="12"/>
    <n v="114"/>
    <x v="4"/>
    <n v="250.48780487804879"/>
    <n v="-0.11772151898734184"/>
    <x v="25"/>
    <n v="303.8235294117647"/>
    <n v="-0.27260406582768637"/>
    <d v="2022-11-24T00:00:00"/>
    <x v="119"/>
    <x v="2"/>
    <x v="0"/>
    <x v="0"/>
    <x v="104"/>
  </r>
  <r>
    <n v="127"/>
    <n v="281"/>
    <n v="442"/>
    <n v="5"/>
    <n v="11050"/>
    <x v="116"/>
    <x v="2"/>
    <n v="381"/>
    <x v="8"/>
    <n v="271.18181818181819"/>
    <n v="0.6299027824337915"/>
    <x v="14"/>
    <n v="260.15789473684208"/>
    <n v="0.69896823791219931"/>
    <d v="2022-06-02T00:00:00"/>
    <x v="120"/>
    <x v="0"/>
    <x v="0"/>
    <x v="1"/>
    <x v="105"/>
  </r>
  <r>
    <n v="128"/>
    <n v="236"/>
    <n v="465"/>
    <n v="1"/>
    <n v="2325"/>
    <x v="105"/>
    <x v="18"/>
    <n v="342"/>
    <x v="2"/>
    <n v="283.468085106383"/>
    <n v="0.64039630713803186"/>
    <x v="46"/>
    <n v="321.63636363636363"/>
    <n v="0.44573205200678356"/>
    <d v="2022-01-09T00:00:00"/>
    <x v="121"/>
    <x v="4"/>
    <x v="0"/>
    <x v="0"/>
    <x v="106"/>
  </r>
  <r>
    <n v="129"/>
    <n v="379"/>
    <n v="380"/>
    <n v="1"/>
    <n v="1900"/>
    <x v="117"/>
    <x v="18"/>
    <n v="276"/>
    <x v="9"/>
    <n v="263.25423728813558"/>
    <n v="0.44347154262168442"/>
    <x v="55"/>
    <n v="293.66666666666669"/>
    <n v="0.29398410896708271"/>
    <d v="2022-03-12T00:00:00"/>
    <x v="122"/>
    <x v="4"/>
    <x v="0"/>
    <x v="1"/>
    <x v="80"/>
  </r>
  <r>
    <n v="130"/>
    <n v="37"/>
    <n v="313"/>
    <n v="1"/>
    <n v="1565"/>
    <x v="118"/>
    <x v="8"/>
    <n v="293"/>
    <x v="1"/>
    <n v="264.8679245283019"/>
    <n v="0.18172104288360158"/>
    <x v="1"/>
    <n v="238.16666666666666"/>
    <n v="0.31420573827851639"/>
    <d v="2022-01-12T00:00:00"/>
    <x v="123"/>
    <x v="1"/>
    <x v="0"/>
    <x v="0"/>
    <x v="107"/>
  </r>
  <r>
    <n v="131"/>
    <n v="431"/>
    <n v="141"/>
    <n v="5"/>
    <n v="3525"/>
    <x v="119"/>
    <x v="10"/>
    <n v="386"/>
    <x v="4"/>
    <n v="250.48780487804879"/>
    <n v="-0.43709834469328146"/>
    <x v="56"/>
    <n v="247.66666666666666"/>
    <n v="-0.4306864064602961"/>
    <d v="2022-06-22T00:00:00"/>
    <x v="124"/>
    <x v="0"/>
    <x v="0"/>
    <x v="0"/>
    <x v="108"/>
  </r>
  <r>
    <n v="132"/>
    <n v="237"/>
    <n v="348"/>
    <n v="2"/>
    <n v="3480"/>
    <x v="120"/>
    <x v="1"/>
    <n v="362"/>
    <x v="17"/>
    <n v="267.85483870967744"/>
    <n v="0.29921117601011615"/>
    <x v="27"/>
    <n v="288.23809523809524"/>
    <n v="0.20733520568313235"/>
    <d v="2022-12-21T00:00:00"/>
    <x v="77"/>
    <x v="2"/>
    <x v="0"/>
    <x v="1"/>
    <x v="109"/>
  </r>
  <r>
    <n v="133"/>
    <n v="452"/>
    <n v="349"/>
    <n v="1"/>
    <n v="1745"/>
    <x v="67"/>
    <x v="3"/>
    <n v="283"/>
    <x v="12"/>
    <n v="274.16279069767444"/>
    <n v="0.27296632453982528"/>
    <x v="18"/>
    <n v="253.6875"/>
    <n v="0.37570830253757093"/>
    <d v="2022-11-24T00:00:00"/>
    <x v="125"/>
    <x v="4"/>
    <x v="0"/>
    <x v="1"/>
    <x v="110"/>
  </r>
  <r>
    <n v="134"/>
    <n v="382"/>
    <n v="379"/>
    <n v="5"/>
    <n v="9475"/>
    <x v="121"/>
    <x v="8"/>
    <n v="388"/>
    <x v="4"/>
    <n v="250.48780487804879"/>
    <n v="0.51304771178188902"/>
    <x v="25"/>
    <n v="303.8235294117647"/>
    <n v="0.24743465634075523"/>
    <d v="2022-01-20T00:00:00"/>
    <x v="126"/>
    <x v="2"/>
    <x v="0"/>
    <x v="0"/>
    <x v="111"/>
  </r>
  <r>
    <n v="135"/>
    <n v="452"/>
    <n v="448"/>
    <n v="4"/>
    <n v="8960"/>
    <x v="122"/>
    <x v="18"/>
    <n v="437"/>
    <x v="12"/>
    <n v="274.16279069767444"/>
    <n v="0.63406565442361518"/>
    <x v="18"/>
    <n v="253.6875"/>
    <n v="0.76595220497659522"/>
    <d v="2022-01-15T00:00:00"/>
    <x v="127"/>
    <x v="0"/>
    <x v="0"/>
    <x v="1"/>
    <x v="112"/>
  </r>
  <r>
    <n v="136"/>
    <n v="463"/>
    <n v="173"/>
    <n v="2"/>
    <n v="1730"/>
    <x v="123"/>
    <x v="14"/>
    <n v="450"/>
    <x v="7"/>
    <n v="249.02380952380952"/>
    <n v="-0.30528731236255857"/>
    <x v="39"/>
    <n v="222.2"/>
    <n v="-0.22142214221422141"/>
    <d v="2022-02-27T00:00:00"/>
    <x v="128"/>
    <x v="2"/>
    <x v="0"/>
    <x v="0"/>
    <x v="80"/>
  </r>
  <r>
    <n v="137"/>
    <n v="494"/>
    <n v="304"/>
    <n v="3"/>
    <n v="4560"/>
    <x v="124"/>
    <x v="6"/>
    <n v="136"/>
    <x v="11"/>
    <n v="262.63492063492066"/>
    <n v="0.15750030218783984"/>
    <x v="47"/>
    <n v="271"/>
    <n v="0.12177121771217703"/>
    <d v="2022-10-26T00:00:00"/>
    <x v="129"/>
    <x v="3"/>
    <x v="0"/>
    <x v="0"/>
    <x v="93"/>
  </r>
  <r>
    <n v="138"/>
    <n v="394"/>
    <n v="493"/>
    <n v="3"/>
    <n v="7395"/>
    <x v="9"/>
    <x v="4"/>
    <n v="61"/>
    <x v="7"/>
    <n v="249.02380952380952"/>
    <n v="0.97973037575294009"/>
    <x v="39"/>
    <n v="222.2"/>
    <n v="1.2187218721872188"/>
    <d v="2022-07-27T00:00:00"/>
    <x v="66"/>
    <x v="4"/>
    <x v="0"/>
    <x v="1"/>
    <x v="113"/>
  </r>
  <r>
    <n v="139"/>
    <n v="380"/>
    <n v="344"/>
    <n v="5"/>
    <n v="8600"/>
    <x v="81"/>
    <x v="4"/>
    <n v="364"/>
    <x v="17"/>
    <n v="267.85483870967744"/>
    <n v="0.2842777142168964"/>
    <x v="35"/>
    <n v="250.25925925925927"/>
    <n v="0.37457451531744845"/>
    <d v="2022-11-18T00:00:00"/>
    <x v="130"/>
    <x v="2"/>
    <x v="0"/>
    <x v="0"/>
    <x v="114"/>
  </r>
  <r>
    <n v="140"/>
    <n v="449"/>
    <n v="470"/>
    <n v="4"/>
    <n v="9400"/>
    <x v="125"/>
    <x v="10"/>
    <n v="496"/>
    <x v="10"/>
    <n v="271.74545454545455"/>
    <n v="0.72955974842767302"/>
    <x v="10"/>
    <n v="311.2"/>
    <n v="0.5102827763496145"/>
    <d v="2022-11-02T00:00:00"/>
    <x v="131"/>
    <x v="3"/>
    <x v="0"/>
    <x v="0"/>
    <x v="115"/>
  </r>
  <r>
    <n v="141"/>
    <n v="309"/>
    <n v="498"/>
    <n v="1"/>
    <n v="2490"/>
    <x v="126"/>
    <x v="10"/>
    <n v="464"/>
    <x v="17"/>
    <n v="267.85483870967744"/>
    <n v="0.85921599325585585"/>
    <x v="27"/>
    <n v="288.23809523809524"/>
    <n v="0.72773831158103408"/>
    <d v="2022-09-23T00:00:00"/>
    <x v="132"/>
    <x v="2"/>
    <x v="0"/>
    <x v="1"/>
    <x v="116"/>
  </r>
  <r>
    <n v="142"/>
    <n v="112"/>
    <n v="351"/>
    <n v="3"/>
    <n v="5265"/>
    <x v="27"/>
    <x v="10"/>
    <n v="419"/>
    <x v="15"/>
    <n v="294.95238095238096"/>
    <n v="0.19002260251856629"/>
    <x v="53"/>
    <n v="322.54545454545456"/>
    <n v="8.8218714768883766E-2"/>
    <d v="2022-11-04T00:00:00"/>
    <x v="133"/>
    <x v="4"/>
    <x v="0"/>
    <x v="0"/>
    <x v="117"/>
  </r>
  <r>
    <n v="143"/>
    <n v="81"/>
    <n v="116"/>
    <n v="1"/>
    <n v="580"/>
    <x v="53"/>
    <x v="19"/>
    <n v="247"/>
    <x v="8"/>
    <n v="271.18181818181819"/>
    <n v="-0.57224270868253435"/>
    <x v="48"/>
    <n v="281.75"/>
    <n v="-0.58828748890860694"/>
    <d v="2022-07-20T00:00:00"/>
    <x v="134"/>
    <x v="0"/>
    <x v="0"/>
    <x v="0"/>
    <x v="118"/>
  </r>
  <r>
    <n v="144"/>
    <n v="4"/>
    <n v="314"/>
    <n v="4"/>
    <n v="6280"/>
    <x v="127"/>
    <x v="6"/>
    <n v="380"/>
    <x v="13"/>
    <n v="258.375"/>
    <n v="0.21528785679729068"/>
    <x v="20"/>
    <n v="269.70588235294116"/>
    <n v="0.16423118865866959"/>
    <d v="2022-01-02T00:00:00"/>
    <x v="135"/>
    <x v="2"/>
    <x v="1"/>
    <x v="0"/>
    <x v="103"/>
  </r>
  <r>
    <n v="145"/>
    <n v="209"/>
    <n v="284"/>
    <n v="5"/>
    <n v="7100"/>
    <x v="128"/>
    <x v="4"/>
    <n v="75"/>
    <x v="16"/>
    <n v="300.31818181818181"/>
    <n v="-5.4336309974269748E-2"/>
    <x v="57"/>
    <n v="316.60000000000002"/>
    <n v="-0.1029690461149716"/>
    <d v="2022-08-23T00:00:00"/>
    <x v="136"/>
    <x v="3"/>
    <x v="1"/>
    <x v="1"/>
    <x v="81"/>
  </r>
  <r>
    <n v="146"/>
    <n v="156"/>
    <n v="332"/>
    <n v="1"/>
    <n v="1660"/>
    <x v="129"/>
    <x v="9"/>
    <n v="356"/>
    <x v="12"/>
    <n v="274.16279069767444"/>
    <n v="0.21095936890321476"/>
    <x v="50"/>
    <n v="280.66666666666669"/>
    <n v="0.18289786223277904"/>
    <d v="2022-01-09T00:00:00"/>
    <x v="133"/>
    <x v="4"/>
    <x v="1"/>
    <x v="1"/>
    <x v="87"/>
  </r>
  <r>
    <n v="147"/>
    <n v="441"/>
    <n v="239"/>
    <n v="2"/>
    <n v="2390"/>
    <x v="130"/>
    <x v="16"/>
    <n v="487"/>
    <x v="8"/>
    <n v="271.18181818181819"/>
    <n v="-0.11867247737177344"/>
    <x v="14"/>
    <n v="260.15789473684208"/>
    <n v="-8.1327129273720322E-2"/>
    <d v="2022-09-11T00:00:00"/>
    <x v="137"/>
    <x v="2"/>
    <x v="1"/>
    <x v="0"/>
    <x v="70"/>
  </r>
  <r>
    <n v="148"/>
    <n v="180"/>
    <n v="86"/>
    <n v="4"/>
    <n v="1720"/>
    <x v="24"/>
    <x v="9"/>
    <n v="73"/>
    <x v="14"/>
    <n v="273.72549019607845"/>
    <n v="-0.68581661891117474"/>
    <x v="58"/>
    <n v="241.83333333333334"/>
    <n v="-0.6443831840110269"/>
    <d v="2022-04-14T00:00:00"/>
    <x v="68"/>
    <x v="3"/>
    <x v="0"/>
    <x v="0"/>
    <x v="119"/>
  </r>
  <r>
    <n v="149"/>
    <n v="438"/>
    <n v="154"/>
    <n v="4"/>
    <n v="3080"/>
    <x v="131"/>
    <x v="4"/>
    <n v="139"/>
    <x v="7"/>
    <n v="249.02380952380952"/>
    <n v="-0.38158523759441632"/>
    <x v="59"/>
    <n v="256.89999999999998"/>
    <n v="-0.40054495912806531"/>
    <d v="2022-03-28T00:00:00"/>
    <x v="138"/>
    <x v="1"/>
    <x v="0"/>
    <x v="0"/>
    <x v="120"/>
  </r>
  <r>
    <n v="150"/>
    <n v="232"/>
    <n v="109"/>
    <n v="4"/>
    <n v="2180"/>
    <x v="44"/>
    <x v="12"/>
    <n v="407"/>
    <x v="15"/>
    <n v="294.95238095238096"/>
    <n v="-0.63044882144010339"/>
    <x v="23"/>
    <n v="318.81818181818181"/>
    <n v="-0.65811234673510122"/>
    <d v="2022-03-01T00:00:00"/>
    <x v="139"/>
    <x v="1"/>
    <x v="1"/>
    <x v="0"/>
    <x v="45"/>
  </r>
  <r>
    <n v="151"/>
    <n v="206"/>
    <n v="73"/>
    <n v="5"/>
    <n v="1825"/>
    <x v="132"/>
    <x v="2"/>
    <n v="115"/>
    <x v="15"/>
    <n v="294.95238095238096"/>
    <n v="-0.75250242169841786"/>
    <x v="41"/>
    <n v="274.77777777777777"/>
    <n v="-0.73433077234128596"/>
    <d v="2022-09-28T00:00:00"/>
    <x v="140"/>
    <x v="1"/>
    <x v="1"/>
    <x v="0"/>
    <x v="61"/>
  </r>
  <r>
    <n v="152"/>
    <n v="295"/>
    <n v="230"/>
    <n v="4"/>
    <n v="4600"/>
    <x v="133"/>
    <x v="4"/>
    <n v="258"/>
    <x v="2"/>
    <n v="283.468085106383"/>
    <n v="-0.18862118141559714"/>
    <x v="36"/>
    <n v="249.5"/>
    <n v="-7.8156312625250468E-2"/>
    <d v="2022-06-05T00:00:00"/>
    <x v="141"/>
    <x v="3"/>
    <x v="0"/>
    <x v="0"/>
    <x v="121"/>
  </r>
  <r>
    <n v="153"/>
    <n v="204"/>
    <n v="88"/>
    <n v="4"/>
    <n v="1760"/>
    <x v="133"/>
    <x v="16"/>
    <n v="349"/>
    <x v="2"/>
    <n v="283.468085106383"/>
    <n v="-0.68955940854161979"/>
    <x v="2"/>
    <n v="232.44444444444446"/>
    <n v="-0.62141491395793502"/>
    <d v="2022-04-22T00:00:00"/>
    <x v="142"/>
    <x v="2"/>
    <x v="0"/>
    <x v="1"/>
    <x v="122"/>
  </r>
  <r>
    <n v="154"/>
    <n v="399"/>
    <n v="231"/>
    <n v="2"/>
    <n v="2310"/>
    <x v="89"/>
    <x v="15"/>
    <n v="325"/>
    <x v="16"/>
    <n v="300.31818181818181"/>
    <n v="-0.2308158014227335"/>
    <x v="24"/>
    <n v="281.73333333333335"/>
    <n v="-0.18007572172266928"/>
    <d v="2022-11-10T00:00:00"/>
    <x v="143"/>
    <x v="4"/>
    <x v="0"/>
    <x v="1"/>
    <x v="123"/>
  </r>
  <r>
    <n v="155"/>
    <n v="221"/>
    <n v="477"/>
    <n v="4"/>
    <n v="9540"/>
    <x v="134"/>
    <x v="7"/>
    <n v="276"/>
    <x v="14"/>
    <n v="273.72549019607845"/>
    <n v="0.74262177650429795"/>
    <x v="22"/>
    <n v="280.23809523809524"/>
    <n v="0.70212404418011887"/>
    <d v="2022-03-12T00:00:00"/>
    <x v="144"/>
    <x v="4"/>
    <x v="1"/>
    <x v="1"/>
    <x v="80"/>
  </r>
  <r>
    <n v="156"/>
    <n v="333"/>
    <n v="74"/>
    <n v="2"/>
    <n v="740"/>
    <x v="135"/>
    <x v="8"/>
    <n v="328"/>
    <x v="6"/>
    <n v="258.5128205128205"/>
    <n v="-0.71374727236659385"/>
    <x v="26"/>
    <n v="216.4"/>
    <n v="-0.65804066543438078"/>
    <d v="2022-01-07T00:00:00"/>
    <x v="145"/>
    <x v="2"/>
    <x v="1"/>
    <x v="0"/>
    <x v="56"/>
  </r>
  <r>
    <n v="157"/>
    <n v="498"/>
    <n v="430"/>
    <n v="5"/>
    <n v="10750"/>
    <x v="136"/>
    <x v="17"/>
    <n v="250"/>
    <x v="15"/>
    <n v="294.95238095238096"/>
    <n v="0.4578624475298676"/>
    <x v="41"/>
    <n v="274.77777777777777"/>
    <n v="0.5649009300444805"/>
    <d v="2022-10-22T00:00:00"/>
    <x v="146"/>
    <x v="2"/>
    <x v="0"/>
    <x v="0"/>
    <x v="124"/>
  </r>
  <r>
    <n v="158"/>
    <n v="476"/>
    <n v="286"/>
    <n v="2"/>
    <n v="2860"/>
    <x v="62"/>
    <x v="11"/>
    <n v="397"/>
    <x v="6"/>
    <n v="258.5128205128205"/>
    <n v="0.10632810950208293"/>
    <x v="60"/>
    <n v="289.88888888888891"/>
    <n v="-1.3415101571483401E-2"/>
    <d v="2022-06-16T00:00:00"/>
    <x v="75"/>
    <x v="1"/>
    <x v="1"/>
    <x v="1"/>
    <x v="21"/>
  </r>
  <r>
    <n v="159"/>
    <n v="126"/>
    <n v="273"/>
    <n v="3"/>
    <n v="4095"/>
    <x v="137"/>
    <x v="8"/>
    <n v="153"/>
    <x v="0"/>
    <n v="252.76271186440678"/>
    <n v="8.006437336551997E-2"/>
    <x v="45"/>
    <n v="293.41176470588238"/>
    <n v="-6.9566960705693792E-2"/>
    <d v="2022-08-29T00:00:00"/>
    <x v="147"/>
    <x v="2"/>
    <x v="0"/>
    <x v="1"/>
    <x v="78"/>
  </r>
  <r>
    <n v="160"/>
    <n v="255"/>
    <n v="279"/>
    <n v="3"/>
    <n v="4185"/>
    <x v="138"/>
    <x v="2"/>
    <n v="286"/>
    <x v="7"/>
    <n v="249.02380952380952"/>
    <n v="0.12037479682570029"/>
    <x v="59"/>
    <n v="256.89999999999998"/>
    <n v="8.6025690930323195E-2"/>
    <d v="2022-01-02T00:00:00"/>
    <x v="148"/>
    <x v="4"/>
    <x v="0"/>
    <x v="1"/>
    <x v="125"/>
  </r>
  <r>
    <n v="161"/>
    <n v="138"/>
    <n v="210"/>
    <n v="2"/>
    <n v="2100"/>
    <x v="139"/>
    <x v="5"/>
    <n v="14"/>
    <x v="11"/>
    <n v="262.63492063492066"/>
    <n v="-0.20041097546234743"/>
    <x v="47"/>
    <n v="271"/>
    <n v="-0.22509225092250917"/>
    <d v="2022-08-02T00:00:00"/>
    <x v="45"/>
    <x v="4"/>
    <x v="1"/>
    <x v="0"/>
    <x v="54"/>
  </r>
  <r>
    <n v="162"/>
    <n v="403"/>
    <n v="229"/>
    <n v="1"/>
    <n v="1145"/>
    <x v="140"/>
    <x v="9"/>
    <n v="32"/>
    <x v="8"/>
    <n v="271.18181818181819"/>
    <n v="-0.15554810593362389"/>
    <x v="52"/>
    <n v="243.3"/>
    <n v="-5.8775174681463205E-2"/>
    <d v="2022-12-27T00:00:00"/>
    <x v="149"/>
    <x v="0"/>
    <x v="0"/>
    <x v="0"/>
    <x v="126"/>
  </r>
  <r>
    <n v="163"/>
    <n v="280"/>
    <n v="192"/>
    <n v="2"/>
    <n v="1920"/>
    <x v="141"/>
    <x v="0"/>
    <n v="49"/>
    <x v="11"/>
    <n v="262.63492063492066"/>
    <n v="-0.26894717756557485"/>
    <x v="21"/>
    <n v="238.72222222222223"/>
    <n v="-0.19571794275075638"/>
    <d v="2022-04-21T00:00:00"/>
    <x v="6"/>
    <x v="4"/>
    <x v="0"/>
    <x v="0"/>
    <x v="6"/>
  </r>
  <r>
    <n v="164"/>
    <n v="356"/>
    <n v="373"/>
    <n v="1"/>
    <n v="1865"/>
    <x v="142"/>
    <x v="2"/>
    <n v="115"/>
    <x v="2"/>
    <n v="283.468085106383"/>
    <n v="0.31584477970427072"/>
    <x v="46"/>
    <n v="321.63636363636363"/>
    <n v="0.15969474279253815"/>
    <d v="2022-09-28T00:00:00"/>
    <x v="48"/>
    <x v="1"/>
    <x v="1"/>
    <x v="0"/>
    <x v="61"/>
  </r>
  <r>
    <n v="165"/>
    <n v="41"/>
    <n v="315"/>
    <n v="3"/>
    <n v="4725"/>
    <x v="143"/>
    <x v="13"/>
    <n v="420"/>
    <x v="13"/>
    <n v="258.375"/>
    <n v="0.21915820029027566"/>
    <x v="30"/>
    <n v="317.85714285714283"/>
    <n v="-8.9887640449437534E-3"/>
    <d v="2022-05-17T00:00:00"/>
    <x v="150"/>
    <x v="3"/>
    <x v="0"/>
    <x v="1"/>
    <x v="127"/>
  </r>
  <r>
    <n v="166"/>
    <n v="379"/>
    <n v="321"/>
    <n v="5"/>
    <n v="8025"/>
    <x v="9"/>
    <x v="9"/>
    <n v="47"/>
    <x v="9"/>
    <n v="263.25423728813558"/>
    <n v="0.21935359258305431"/>
    <x v="55"/>
    <n v="293.66666666666669"/>
    <n v="9.3076049943246142E-2"/>
    <d v="2022-05-12T00:00:00"/>
    <x v="12"/>
    <x v="1"/>
    <x v="1"/>
    <x v="1"/>
    <x v="38"/>
  </r>
  <r>
    <n v="167"/>
    <n v="282"/>
    <n v="189"/>
    <n v="2"/>
    <n v="1890"/>
    <x v="19"/>
    <x v="9"/>
    <n v="202"/>
    <x v="13"/>
    <n v="258.375"/>
    <n v="-0.26850507982583449"/>
    <x v="30"/>
    <n v="317.85714285714283"/>
    <n v="-0.40539325842696627"/>
    <d v="2022-07-24T00:00:00"/>
    <x v="151"/>
    <x v="1"/>
    <x v="0"/>
    <x v="1"/>
    <x v="65"/>
  </r>
  <r>
    <n v="168"/>
    <n v="459"/>
    <n v="405"/>
    <n v="3"/>
    <n v="6075"/>
    <x v="144"/>
    <x v="2"/>
    <n v="37"/>
    <x v="18"/>
    <n v="255.11627906976744"/>
    <n v="0.58751139471285319"/>
    <x v="61"/>
    <n v="274.28571428571428"/>
    <n v="0.4765625"/>
    <d v="2022-06-16T00:00:00"/>
    <x v="152"/>
    <x v="3"/>
    <x v="0"/>
    <x v="0"/>
    <x v="128"/>
  </r>
  <r>
    <n v="169"/>
    <n v="402"/>
    <n v="426"/>
    <n v="2"/>
    <n v="4260"/>
    <x v="26"/>
    <x v="17"/>
    <n v="366"/>
    <x v="16"/>
    <n v="300.31818181818181"/>
    <n v="0.41849553503859549"/>
    <x v="51"/>
    <n v="331.16666666666669"/>
    <n v="0.28636134876698538"/>
    <d v="2022-09-23T00:00:00"/>
    <x v="153"/>
    <x v="0"/>
    <x v="0"/>
    <x v="1"/>
    <x v="129"/>
  </r>
  <r>
    <n v="170"/>
    <n v="320"/>
    <n v="271"/>
    <n v="1"/>
    <n v="1355"/>
    <x v="145"/>
    <x v="19"/>
    <n v="434"/>
    <x v="17"/>
    <n v="267.85483870967744"/>
    <n v="1.1742036490636432E-2"/>
    <x v="35"/>
    <n v="250.25925925925927"/>
    <n v="8.2877016427408634E-2"/>
    <d v="2022-06-18T00:00:00"/>
    <x v="154"/>
    <x v="3"/>
    <x v="0"/>
    <x v="1"/>
    <x v="130"/>
  </r>
  <r>
    <n v="171"/>
    <n v="19"/>
    <n v="96"/>
    <n v="4"/>
    <n v="1920"/>
    <x v="146"/>
    <x v="1"/>
    <n v="172"/>
    <x v="10"/>
    <n v="271.74545454545455"/>
    <n v="-0.6467282215977519"/>
    <x v="37"/>
    <n v="272.35294117647061"/>
    <n v="-0.64751619870410371"/>
    <d v="2022-06-25T00:00:00"/>
    <x v="155"/>
    <x v="2"/>
    <x v="0"/>
    <x v="1"/>
    <x v="131"/>
  </r>
  <r>
    <n v="172"/>
    <n v="447"/>
    <n v="65"/>
    <n v="1"/>
    <n v="325"/>
    <x v="147"/>
    <x v="3"/>
    <n v="52"/>
    <x v="9"/>
    <n v="263.25423728813558"/>
    <n v="-0.75309039402523825"/>
    <x v="33"/>
    <n v="248.5"/>
    <n v="-0.7384305835010061"/>
    <d v="2022-12-22T00:00:00"/>
    <x v="156"/>
    <x v="2"/>
    <x v="0"/>
    <x v="0"/>
    <x v="132"/>
  </r>
  <r>
    <n v="173"/>
    <n v="406"/>
    <n v="426"/>
    <n v="1"/>
    <n v="2130"/>
    <x v="148"/>
    <x v="4"/>
    <n v="395"/>
    <x v="5"/>
    <n v="268.60344827586209"/>
    <n v="0.58598112844213346"/>
    <x v="5"/>
    <n v="281.96875"/>
    <n v="0.51080571871882974"/>
    <d v="2022-11-25T00:00:00"/>
    <x v="157"/>
    <x v="0"/>
    <x v="0"/>
    <x v="1"/>
    <x v="133"/>
  </r>
  <r>
    <n v="174"/>
    <n v="391"/>
    <n v="356"/>
    <n v="2"/>
    <n v="3560"/>
    <x v="149"/>
    <x v="4"/>
    <n v="46"/>
    <x v="6"/>
    <n v="258.5128205128205"/>
    <n v="0.37710771672287247"/>
    <x v="60"/>
    <n v="289.88888888888891"/>
    <n v="0.22805672671521648"/>
    <d v="2022-03-16T00:00:00"/>
    <x v="158"/>
    <x v="4"/>
    <x v="0"/>
    <x v="0"/>
    <x v="134"/>
  </r>
  <r>
    <n v="175"/>
    <n v="82"/>
    <n v="233"/>
    <n v="2"/>
    <n v="2330"/>
    <x v="150"/>
    <x v="16"/>
    <n v="361"/>
    <x v="11"/>
    <n v="262.63492063492066"/>
    <n v="-0.11283693944155693"/>
    <x v="62"/>
    <n v="168"/>
    <n v="0.38690476190476186"/>
    <d v="2022-09-27T00:00:00"/>
    <x v="159"/>
    <x v="0"/>
    <x v="0"/>
    <x v="0"/>
    <x v="135"/>
  </r>
  <r>
    <n v="176"/>
    <n v="243"/>
    <n v="494"/>
    <n v="5"/>
    <n v="12350"/>
    <x v="151"/>
    <x v="19"/>
    <n v="358"/>
    <x v="13"/>
    <n v="258.375"/>
    <n v="0.91194968553459121"/>
    <x v="20"/>
    <n v="269.70588235294116"/>
    <n v="0.83162486368593247"/>
    <d v="2022-07-29T00:00:00"/>
    <x v="160"/>
    <x v="3"/>
    <x v="0"/>
    <x v="0"/>
    <x v="136"/>
  </r>
  <r>
    <n v="177"/>
    <n v="432"/>
    <n v="305"/>
    <n v="3"/>
    <n v="4575"/>
    <x v="152"/>
    <x v="14"/>
    <n v="44"/>
    <x v="3"/>
    <n v="265.47674418604652"/>
    <n v="0.14887652752836056"/>
    <x v="3"/>
    <n v="236.27586206896552"/>
    <n v="0.29086398131932278"/>
    <d v="2022-05-20T00:00:00"/>
    <x v="60"/>
    <x v="1"/>
    <x v="0"/>
    <x v="1"/>
    <x v="56"/>
  </r>
  <r>
    <n v="178"/>
    <n v="159"/>
    <n v="173"/>
    <n v="4"/>
    <n v="3460"/>
    <x v="149"/>
    <x v="2"/>
    <n v="416"/>
    <x v="18"/>
    <n v="255.11627906976744"/>
    <n v="-0.32187784867821334"/>
    <x v="61"/>
    <n v="274.28571428571428"/>
    <n v="-0.36927083333333333"/>
    <d v="2022-05-22T00:00:00"/>
    <x v="161"/>
    <x v="4"/>
    <x v="0"/>
    <x v="1"/>
    <x v="137"/>
  </r>
  <r>
    <n v="179"/>
    <n v="197"/>
    <n v="177"/>
    <n v="2"/>
    <n v="1770"/>
    <x v="153"/>
    <x v="15"/>
    <n v="153"/>
    <x v="2"/>
    <n v="283.468085106383"/>
    <n v="-0.37559108308939437"/>
    <x v="2"/>
    <n v="232.44444444444446"/>
    <n v="-0.23852772466539196"/>
    <d v="2022-08-29T00:00:00"/>
    <x v="95"/>
    <x v="2"/>
    <x v="1"/>
    <x v="1"/>
    <x v="78"/>
  </r>
  <r>
    <n v="180"/>
    <n v="110"/>
    <n v="261"/>
    <n v="1"/>
    <n v="1305"/>
    <x v="154"/>
    <x v="13"/>
    <n v="223"/>
    <x v="3"/>
    <n v="265.47674418604652"/>
    <n v="-1.6863037098681644E-2"/>
    <x v="16"/>
    <n v="276.67567567567568"/>
    <n v="-5.6657223796033995E-2"/>
    <d v="2022-11-28T00:00:00"/>
    <x v="162"/>
    <x v="3"/>
    <x v="1"/>
    <x v="0"/>
    <x v="17"/>
  </r>
  <r>
    <n v="181"/>
    <n v="288"/>
    <n v="198"/>
    <n v="5"/>
    <n v="4950"/>
    <x v="155"/>
    <x v="18"/>
    <n v="74"/>
    <x v="11"/>
    <n v="262.63492063492066"/>
    <n v="-0.24610177686449908"/>
    <x v="62"/>
    <n v="168"/>
    <n v="0.1785714285714286"/>
    <d v="2022-10-23T00:00:00"/>
    <x v="163"/>
    <x v="2"/>
    <x v="0"/>
    <x v="1"/>
    <x v="138"/>
  </r>
  <r>
    <n v="182"/>
    <n v="7"/>
    <n v="114"/>
    <n v="3"/>
    <n v="1710"/>
    <x v="20"/>
    <x v="14"/>
    <n v="180"/>
    <x v="11"/>
    <n v="262.63492063492066"/>
    <n v="-0.56593738667956006"/>
    <x v="21"/>
    <n v="238.72222222222223"/>
    <n v="-0.52245752850826155"/>
    <d v="2022-02-24T00:00:00"/>
    <x v="122"/>
    <x v="1"/>
    <x v="0"/>
    <x v="1"/>
    <x v="80"/>
  </r>
  <r>
    <n v="183"/>
    <n v="385"/>
    <n v="427"/>
    <n v="3"/>
    <n v="6405"/>
    <x v="92"/>
    <x v="19"/>
    <n v="359"/>
    <x v="3"/>
    <n v="265.47674418604652"/>
    <n v="0.60842713853970465"/>
    <x v="19"/>
    <n v="329.27272727272725"/>
    <n v="0.29679734953064618"/>
    <d v="2022-01-23T00:00:00"/>
    <x v="73"/>
    <x v="2"/>
    <x v="1"/>
    <x v="1"/>
    <x v="83"/>
  </r>
  <r>
    <n v="184"/>
    <n v="493"/>
    <n v="376"/>
    <n v="1"/>
    <n v="1880"/>
    <x v="156"/>
    <x v="0"/>
    <n v="134"/>
    <x v="4"/>
    <n v="250.48780487804879"/>
    <n v="0.50107108081791618"/>
    <x v="25"/>
    <n v="303.8235294117647"/>
    <n v="0.23756050338818979"/>
    <d v="2022-07-11T00:00:00"/>
    <x v="164"/>
    <x v="2"/>
    <x v="1"/>
    <x v="0"/>
    <x v="71"/>
  </r>
  <r>
    <n v="185"/>
    <n v="158"/>
    <n v="51"/>
    <n v="2"/>
    <n v="510"/>
    <x v="154"/>
    <x v="3"/>
    <n v="159"/>
    <x v="0"/>
    <n v="252.76271186440678"/>
    <n v="-0.7982297324481995"/>
    <x v="11"/>
    <n v="240.26666666666668"/>
    <n v="-0.78773584905660377"/>
    <d v="2022-05-05T00:00:00"/>
    <x v="165"/>
    <x v="0"/>
    <x v="0"/>
    <x v="1"/>
    <x v="139"/>
  </r>
  <r>
    <n v="186"/>
    <n v="446"/>
    <n v="316"/>
    <n v="2"/>
    <n v="3160"/>
    <x v="119"/>
    <x v="8"/>
    <n v="328"/>
    <x v="14"/>
    <n v="273.72549019607845"/>
    <n v="0.15444126074498565"/>
    <x v="44"/>
    <n v="320.57142857142856"/>
    <n v="-1.426024955436711E-2"/>
    <d v="2022-01-07T00:00:00"/>
    <x v="166"/>
    <x v="2"/>
    <x v="1"/>
    <x v="0"/>
    <x v="56"/>
  </r>
  <r>
    <n v="187"/>
    <n v="428"/>
    <n v="156"/>
    <n v="1"/>
    <n v="780"/>
    <x v="157"/>
    <x v="8"/>
    <n v="325"/>
    <x v="17"/>
    <n v="267.85483870967744"/>
    <n v="-0.41759499006443068"/>
    <x v="35"/>
    <n v="250.25925925925927"/>
    <n v="-0.3766464407281338"/>
    <d v="2022-11-10T00:00:00"/>
    <x v="167"/>
    <x v="4"/>
    <x v="1"/>
    <x v="1"/>
    <x v="123"/>
  </r>
  <r>
    <n v="188"/>
    <n v="192"/>
    <n v="215"/>
    <n v="1"/>
    <n v="1075"/>
    <x v="158"/>
    <x v="18"/>
    <n v="106"/>
    <x v="10"/>
    <n v="271.74545454545455"/>
    <n v="-0.2088184129532985"/>
    <x v="37"/>
    <n v="272.35294117647061"/>
    <n v="-0.21058315334773225"/>
    <d v="2022-10-24T00:00:00"/>
    <x v="144"/>
    <x v="3"/>
    <x v="0"/>
    <x v="0"/>
    <x v="140"/>
  </r>
  <r>
    <n v="189"/>
    <n v="41"/>
    <n v="59"/>
    <n v="1"/>
    <n v="295"/>
    <x v="67"/>
    <x v="1"/>
    <n v="65"/>
    <x v="13"/>
    <n v="258.375"/>
    <n v="-0.77164973391388481"/>
    <x v="30"/>
    <n v="317.85714285714283"/>
    <n v="-0.81438202247191005"/>
    <d v="2022-03-03T00:00:00"/>
    <x v="168"/>
    <x v="3"/>
    <x v="0"/>
    <x v="1"/>
    <x v="141"/>
  </r>
  <r>
    <n v="190"/>
    <n v="69"/>
    <n v="88"/>
    <n v="4"/>
    <n v="1760"/>
    <x v="159"/>
    <x v="4"/>
    <n v="346"/>
    <x v="14"/>
    <n v="273.72549019607845"/>
    <n v="-0.67851002865329513"/>
    <x v="63"/>
    <n v="266.27272727272725"/>
    <n v="-0.6695117787640833"/>
    <d v="2022-03-16T00:00:00"/>
    <x v="169"/>
    <x v="2"/>
    <x v="1"/>
    <x v="0"/>
    <x v="59"/>
  </r>
  <r>
    <n v="191"/>
    <n v="270"/>
    <n v="484"/>
    <n v="4"/>
    <n v="9680"/>
    <x v="160"/>
    <x v="0"/>
    <n v="457"/>
    <x v="1"/>
    <n v="264.8679245283019"/>
    <n v="0.82732582989029768"/>
    <x v="64"/>
    <n v="236.91666666666666"/>
    <n v="1.0429124164614842"/>
    <d v="2022-02-03T00:00:00"/>
    <x v="170"/>
    <x v="4"/>
    <x v="0"/>
    <x v="1"/>
    <x v="142"/>
  </r>
  <r>
    <n v="192"/>
    <n v="345"/>
    <n v="257"/>
    <n v="1"/>
    <n v="1285"/>
    <x v="161"/>
    <x v="1"/>
    <n v="255"/>
    <x v="17"/>
    <n v="267.85483870967744"/>
    <n v="-4.0525079785632578E-2"/>
    <x v="27"/>
    <n v="288.23809523809524"/>
    <n v="-0.10837601189492818"/>
    <d v="2022-08-20T00:00:00"/>
    <x v="171"/>
    <x v="3"/>
    <x v="0"/>
    <x v="0"/>
    <x v="143"/>
  </r>
  <r>
    <n v="193"/>
    <n v="348"/>
    <n v="497"/>
    <n v="3"/>
    <n v="7455"/>
    <x v="162"/>
    <x v="0"/>
    <n v="42"/>
    <x v="14"/>
    <n v="273.72549019607845"/>
    <n v="0.81568767908309447"/>
    <x v="63"/>
    <n v="266.27272727272725"/>
    <n v="0.8665073403892114"/>
    <d v="2022-08-10T00:00:00"/>
    <x v="172"/>
    <x v="4"/>
    <x v="1"/>
    <x v="0"/>
    <x v="62"/>
  </r>
  <r>
    <n v="194"/>
    <n v="102"/>
    <n v="115"/>
    <n v="2"/>
    <n v="1150"/>
    <x v="163"/>
    <x v="8"/>
    <n v="385"/>
    <x v="2"/>
    <n v="283.468085106383"/>
    <n v="-0.59431059070779857"/>
    <x v="36"/>
    <n v="249.5"/>
    <n v="-0.53907815631262523"/>
    <d v="2022-07-11T00:00:00"/>
    <x v="173"/>
    <x v="3"/>
    <x v="1"/>
    <x v="1"/>
    <x v="44"/>
  </r>
  <r>
    <n v="195"/>
    <n v="321"/>
    <n v="368"/>
    <n v="1"/>
    <n v="1840"/>
    <x v="164"/>
    <x v="17"/>
    <n v="436"/>
    <x v="10"/>
    <n v="271.74545454545455"/>
    <n v="0.35420848387528436"/>
    <x v="12"/>
    <n v="212.8125"/>
    <n v="0.7292217327459618"/>
    <d v="2022-05-02T00:00:00"/>
    <x v="174"/>
    <x v="2"/>
    <x v="0"/>
    <x v="1"/>
    <x v="144"/>
  </r>
  <r>
    <n v="196"/>
    <n v="176"/>
    <n v="113"/>
    <n v="4"/>
    <n v="2260"/>
    <x v="165"/>
    <x v="14"/>
    <n v="175"/>
    <x v="0"/>
    <n v="252.76271186440678"/>
    <n v="-0.55294038758130493"/>
    <x v="0"/>
    <n v="240.5"/>
    <n v="-0.53014553014553012"/>
    <d v="2022-01-04T00:00:00"/>
    <x v="175"/>
    <x v="2"/>
    <x v="0"/>
    <x v="1"/>
    <x v="145"/>
  </r>
  <r>
    <n v="197"/>
    <n v="341"/>
    <n v="194"/>
    <n v="3"/>
    <n v="2910"/>
    <x v="166"/>
    <x v="7"/>
    <n v="274"/>
    <x v="3"/>
    <n v="265.47674418604652"/>
    <n v="-0.26923919232622318"/>
    <x v="19"/>
    <n v="329.27272727272725"/>
    <n v="-0.41082274986195466"/>
    <d v="2022-02-15T00:00:00"/>
    <x v="102"/>
    <x v="2"/>
    <x v="0"/>
    <x v="0"/>
    <x v="89"/>
  </r>
  <r>
    <n v="198"/>
    <n v="473"/>
    <n v="171"/>
    <n v="4"/>
    <n v="3420"/>
    <x v="18"/>
    <x v="19"/>
    <n v="266"/>
    <x v="16"/>
    <n v="300.31818181818181"/>
    <n v="-0.43060390494929623"/>
    <x v="24"/>
    <n v="281.73333333333335"/>
    <n v="-0.39304306672976819"/>
    <d v="2022-08-22T00:00:00"/>
    <x v="66"/>
    <x v="2"/>
    <x v="1"/>
    <x v="1"/>
    <x v="49"/>
  </r>
  <r>
    <n v="199"/>
    <n v="482"/>
    <n v="321"/>
    <n v="2"/>
    <n v="3210"/>
    <x v="92"/>
    <x v="2"/>
    <n v="481"/>
    <x v="18"/>
    <n v="255.11627906976744"/>
    <n v="0.25824977210574285"/>
    <x v="34"/>
    <n v="250.30769230769232"/>
    <n v="0.28242163491087879"/>
    <d v="2022-07-14T00:00:00"/>
    <x v="176"/>
    <x v="1"/>
    <x v="1"/>
    <x v="0"/>
    <x v="19"/>
  </r>
  <r>
    <n v="200"/>
    <n v="169"/>
    <n v="386"/>
    <n v="5"/>
    <n v="9650"/>
    <x v="167"/>
    <x v="10"/>
    <n v="59"/>
    <x v="12"/>
    <n v="274.16279069767444"/>
    <n v="0.4079226397489184"/>
    <x v="65"/>
    <n v="258.30769230769232"/>
    <n v="0.49434187016080999"/>
    <d v="2022-07-28T00:00:00"/>
    <x v="177"/>
    <x v="2"/>
    <x v="0"/>
    <x v="0"/>
    <x v="146"/>
  </r>
  <r>
    <n v="201"/>
    <n v="397"/>
    <n v="148"/>
    <n v="1"/>
    <n v="740"/>
    <x v="168"/>
    <x v="13"/>
    <n v="47"/>
    <x v="9"/>
    <n v="263.25423728813558"/>
    <n v="-0.43780582024208081"/>
    <x v="9"/>
    <n v="257.78260869565219"/>
    <n v="-0.42587282847023111"/>
    <d v="2022-05-12T00:00:00"/>
    <x v="142"/>
    <x v="1"/>
    <x v="1"/>
    <x v="1"/>
    <x v="38"/>
  </r>
  <r>
    <n v="202"/>
    <n v="436"/>
    <n v="291"/>
    <n v="2"/>
    <n v="2910"/>
    <x v="99"/>
    <x v="13"/>
    <n v="385"/>
    <x v="4"/>
    <n v="250.48780487804879"/>
    <n v="0.16173320350535536"/>
    <x v="56"/>
    <n v="247.66666666666666"/>
    <n v="0.17496635262449534"/>
    <d v="2022-07-11T00:00:00"/>
    <x v="178"/>
    <x v="3"/>
    <x v="1"/>
    <x v="1"/>
    <x v="44"/>
  </r>
  <r>
    <n v="203"/>
    <n v="369"/>
    <n v="74"/>
    <n v="1"/>
    <n v="370"/>
    <x v="47"/>
    <x v="10"/>
    <n v="411"/>
    <x v="15"/>
    <n v="294.95238095238096"/>
    <n v="-0.74911204391346464"/>
    <x v="41"/>
    <n v="274.77777777777777"/>
    <n v="-0.73069146785281036"/>
    <d v="2022-04-22T00:00:00"/>
    <x v="179"/>
    <x v="4"/>
    <x v="0"/>
    <x v="1"/>
    <x v="147"/>
  </r>
  <r>
    <n v="204"/>
    <n v="361"/>
    <n v="245"/>
    <n v="1"/>
    <n v="1225"/>
    <x v="169"/>
    <x v="16"/>
    <n v="259"/>
    <x v="10"/>
    <n v="271.74545454545455"/>
    <n v="-9.8420982202595986E-2"/>
    <x v="12"/>
    <n v="212.8125"/>
    <n v="0.15124816446402356"/>
    <d v="2022-05-26T00:00:00"/>
    <x v="180"/>
    <x v="1"/>
    <x v="0"/>
    <x v="0"/>
    <x v="148"/>
  </r>
  <r>
    <n v="205"/>
    <n v="226"/>
    <n v="339"/>
    <n v="4"/>
    <n v="6780"/>
    <x v="170"/>
    <x v="7"/>
    <n v="337"/>
    <x v="11"/>
    <n v="262.63492063492066"/>
    <n v="0.29076513961078199"/>
    <x v="17"/>
    <n v="311.33333333333331"/>
    <n v="8.8865096359743045E-2"/>
    <d v="2022-11-10T00:00:00"/>
    <x v="181"/>
    <x v="2"/>
    <x v="0"/>
    <x v="0"/>
    <x v="149"/>
  </r>
  <r>
    <n v="206"/>
    <n v="87"/>
    <n v="487"/>
    <n v="1"/>
    <n v="2435"/>
    <x v="171"/>
    <x v="9"/>
    <n v="172"/>
    <x v="7"/>
    <n v="249.02380952380952"/>
    <n v="0.95563629410077455"/>
    <x v="7"/>
    <n v="276.21052631578948"/>
    <n v="0.76314786585365857"/>
    <d v="2022-06-25T00:00:00"/>
    <x v="182"/>
    <x v="2"/>
    <x v="1"/>
    <x v="1"/>
    <x v="131"/>
  </r>
  <r>
    <n v="207"/>
    <n v="376"/>
    <n v="335"/>
    <n v="5"/>
    <n v="8375"/>
    <x v="172"/>
    <x v="9"/>
    <n v="130"/>
    <x v="17"/>
    <n v="267.85483870967744"/>
    <n v="0.25067742518215197"/>
    <x v="66"/>
    <n v="273.625"/>
    <n v="0.22430333485609877"/>
    <d v="2022-10-29T00:00:00"/>
    <x v="183"/>
    <x v="4"/>
    <x v="1"/>
    <x v="1"/>
    <x v="74"/>
  </r>
  <r>
    <n v="208"/>
    <n v="255"/>
    <n v="214"/>
    <n v="2"/>
    <n v="2140"/>
    <x v="173"/>
    <x v="4"/>
    <n v="354"/>
    <x v="7"/>
    <n v="249.02380952380952"/>
    <n v="-0.14064442107276032"/>
    <x v="59"/>
    <n v="256.89999999999998"/>
    <n v="-0.16699104710003887"/>
    <d v="2022-09-07T00:00:00"/>
    <x v="184"/>
    <x v="0"/>
    <x v="0"/>
    <x v="1"/>
    <x v="150"/>
  </r>
  <r>
    <n v="209"/>
    <n v="111"/>
    <n v="452"/>
    <n v="4"/>
    <n v="9040"/>
    <x v="83"/>
    <x v="7"/>
    <n v="329"/>
    <x v="0"/>
    <n v="252.76271186440678"/>
    <n v="0.78823844967478029"/>
    <x v="11"/>
    <n v="240.26666666666668"/>
    <n v="0.88124306326304103"/>
    <d v="2022-04-02T00:00:00"/>
    <x v="185"/>
    <x v="1"/>
    <x v="0"/>
    <x v="0"/>
    <x v="151"/>
  </r>
  <r>
    <n v="210"/>
    <n v="344"/>
    <n v="172"/>
    <n v="5"/>
    <n v="4300"/>
    <x v="174"/>
    <x v="10"/>
    <n v="186"/>
    <x v="5"/>
    <n v="268.60344827586209"/>
    <n v="-0.35965081199050009"/>
    <x v="32"/>
    <n v="254.18181818181819"/>
    <n v="-0.32331902718168815"/>
    <d v="2022-12-19T00:00:00"/>
    <x v="186"/>
    <x v="1"/>
    <x v="0"/>
    <x v="1"/>
    <x v="152"/>
  </r>
  <r>
    <n v="211"/>
    <n v="462"/>
    <n v="104"/>
    <n v="4"/>
    <n v="2080"/>
    <x v="175"/>
    <x v="12"/>
    <n v="448"/>
    <x v="13"/>
    <n v="258.375"/>
    <n v="-0.59748427672955973"/>
    <x v="20"/>
    <n v="269.70588235294116"/>
    <n v="-0.61439476553980366"/>
    <d v="2022-07-28T00:00:00"/>
    <x v="187"/>
    <x v="2"/>
    <x v="0"/>
    <x v="1"/>
    <x v="116"/>
  </r>
  <r>
    <n v="212"/>
    <n v="279"/>
    <n v="433"/>
    <n v="4"/>
    <n v="8660"/>
    <x v="176"/>
    <x v="17"/>
    <n v="377"/>
    <x v="18"/>
    <n v="255.11627906976744"/>
    <n v="0.69726526891522322"/>
    <x v="67"/>
    <n v="251.91666666666666"/>
    <n v="0.71882236189216009"/>
    <d v="2022-08-21T00:00:00"/>
    <x v="180"/>
    <x v="0"/>
    <x v="0"/>
    <x v="1"/>
    <x v="153"/>
  </r>
  <r>
    <n v="213"/>
    <n v="322"/>
    <n v="79"/>
    <n v="5"/>
    <n v="1975"/>
    <x v="177"/>
    <x v="5"/>
    <n v="316"/>
    <x v="18"/>
    <n v="255.11627906976744"/>
    <n v="-0.69033728350045576"/>
    <x v="67"/>
    <n v="251.91666666666666"/>
    <n v="-0.68640423420443275"/>
    <d v="2022-08-14T00:00:00"/>
    <x v="188"/>
    <x v="4"/>
    <x v="0"/>
    <x v="0"/>
    <x v="154"/>
  </r>
  <r>
    <n v="214"/>
    <n v="494"/>
    <n v="181"/>
    <n v="1"/>
    <n v="905"/>
    <x v="170"/>
    <x v="16"/>
    <n v="356"/>
    <x v="11"/>
    <n v="262.63492063492066"/>
    <n v="-0.31083041218421381"/>
    <x v="47"/>
    <n v="271"/>
    <n v="-0.33210332103321039"/>
    <d v="2022-01-09T00:00:00"/>
    <x v="189"/>
    <x v="4"/>
    <x v="1"/>
    <x v="1"/>
    <x v="87"/>
  </r>
  <r>
    <n v="215"/>
    <n v="317"/>
    <n v="196"/>
    <n v="3"/>
    <n v="2940"/>
    <x v="178"/>
    <x v="8"/>
    <n v="159"/>
    <x v="5"/>
    <n v="268.60344827586209"/>
    <n v="-0.27029976250080245"/>
    <x v="5"/>
    <n v="281.96875"/>
    <n v="-0.30488750969743983"/>
    <d v="2022-05-05T00:00:00"/>
    <x v="190"/>
    <x v="0"/>
    <x v="1"/>
    <x v="1"/>
    <x v="139"/>
  </r>
  <r>
    <n v="216"/>
    <n v="223"/>
    <n v="174"/>
    <n v="1"/>
    <n v="870"/>
    <x v="179"/>
    <x v="2"/>
    <n v="287"/>
    <x v="8"/>
    <n v="271.18181818181819"/>
    <n v="-0.35836406302380153"/>
    <x v="8"/>
    <n v="291.45454545454544"/>
    <n v="-0.40299438552713662"/>
    <d v="2022-02-16T00:00:00"/>
    <x v="191"/>
    <x v="2"/>
    <x v="1"/>
    <x v="0"/>
    <x v="39"/>
  </r>
  <r>
    <n v="217"/>
    <n v="25"/>
    <n v="356"/>
    <n v="3"/>
    <n v="5340"/>
    <x v="180"/>
    <x v="7"/>
    <n v="322"/>
    <x v="14"/>
    <n v="273.72549019607845"/>
    <n v="0.30057306590257871"/>
    <x v="58"/>
    <n v="241.83333333333334"/>
    <n v="0.47208821502412124"/>
    <d v="2022-11-21T00:00:00"/>
    <x v="192"/>
    <x v="3"/>
    <x v="0"/>
    <x v="0"/>
    <x v="155"/>
  </r>
  <r>
    <n v="218"/>
    <n v="392"/>
    <n v="125"/>
    <n v="5"/>
    <n v="3125"/>
    <x v="181"/>
    <x v="1"/>
    <n v="62"/>
    <x v="7"/>
    <n v="249.02380952380952"/>
    <n v="-0.49803996557988339"/>
    <x v="39"/>
    <n v="222.2"/>
    <n v="-0.43744374437443745"/>
    <d v="2022-04-20T00:00:00"/>
    <x v="6"/>
    <x v="2"/>
    <x v="0"/>
    <x v="1"/>
    <x v="156"/>
  </r>
  <r>
    <n v="219"/>
    <n v="410"/>
    <n v="228"/>
    <n v="2"/>
    <n v="2280"/>
    <x v="182"/>
    <x v="14"/>
    <n v="295"/>
    <x v="14"/>
    <n v="273.72549019607845"/>
    <n v="-0.16704871060171922"/>
    <x v="44"/>
    <n v="320.57142857142856"/>
    <n v="-0.28877005347593576"/>
    <d v="2022-01-27T00:00:00"/>
    <x v="193"/>
    <x v="2"/>
    <x v="0"/>
    <x v="1"/>
    <x v="157"/>
  </r>
  <r>
    <n v="220"/>
    <n v="498"/>
    <n v="472"/>
    <n v="5"/>
    <n v="11800"/>
    <x v="183"/>
    <x v="9"/>
    <n v="171"/>
    <x v="15"/>
    <n v="294.95238095238096"/>
    <n v="0.60025831449790124"/>
    <x v="41"/>
    <n v="274.77777777777777"/>
    <n v="0.71775171856045294"/>
    <d v="2022-05-29T00:00:00"/>
    <x v="194"/>
    <x v="2"/>
    <x v="1"/>
    <x v="0"/>
    <x v="57"/>
  </r>
  <r>
    <n v="221"/>
    <n v="304"/>
    <n v="163"/>
    <n v="3"/>
    <n v="2445"/>
    <x v="184"/>
    <x v="6"/>
    <n v="392"/>
    <x v="17"/>
    <n v="267.85483870967744"/>
    <n v="-0.39146143192629623"/>
    <x v="27"/>
    <n v="288.23809523809524"/>
    <n v="-0.43449529159094669"/>
    <d v="2022-12-24T00:00:00"/>
    <x v="184"/>
    <x v="2"/>
    <x v="1"/>
    <x v="1"/>
    <x v="69"/>
  </r>
  <r>
    <n v="222"/>
    <n v="333"/>
    <n v="70"/>
    <n v="1"/>
    <n v="350"/>
    <x v="185"/>
    <x v="8"/>
    <n v="229"/>
    <x v="6"/>
    <n v="258.5128205128205"/>
    <n v="-0.72922039277921047"/>
    <x v="26"/>
    <n v="216.4"/>
    <n v="-0.67652495378927913"/>
    <d v="2022-07-24T00:00:00"/>
    <x v="195"/>
    <x v="1"/>
    <x v="1"/>
    <x v="1"/>
    <x v="44"/>
  </r>
  <r>
    <n v="223"/>
    <n v="207"/>
    <n v="208"/>
    <n v="5"/>
    <n v="5200"/>
    <x v="111"/>
    <x v="0"/>
    <n v="253"/>
    <x v="0"/>
    <n v="252.76271186440678"/>
    <n v="-0.17709381076912767"/>
    <x v="68"/>
    <n v="215.85714285714286"/>
    <n v="-3.6399735274652567E-2"/>
    <d v="2022-07-08T00:00:00"/>
    <x v="129"/>
    <x v="1"/>
    <x v="1"/>
    <x v="0"/>
    <x v="1"/>
  </r>
  <r>
    <n v="224"/>
    <n v="348"/>
    <n v="417"/>
    <n v="4"/>
    <n v="8340"/>
    <x v="186"/>
    <x v="10"/>
    <n v="235"/>
    <x v="14"/>
    <n v="273.72549019607845"/>
    <n v="0.52342406876790815"/>
    <x v="63"/>
    <n v="266.27272727272725"/>
    <n v="0.56606350290201446"/>
    <d v="2022-03-15T00:00:00"/>
    <x v="111"/>
    <x v="0"/>
    <x v="0"/>
    <x v="1"/>
    <x v="158"/>
  </r>
  <r>
    <n v="225"/>
    <n v="4"/>
    <n v="198"/>
    <n v="5"/>
    <n v="4950"/>
    <x v="187"/>
    <x v="0"/>
    <n v="156"/>
    <x v="13"/>
    <n v="258.375"/>
    <n v="-0.23367198838896952"/>
    <x v="20"/>
    <n v="269.70588235294116"/>
    <n v="-0.26586695747001088"/>
    <d v="2022-12-10T00:00:00"/>
    <x v="196"/>
    <x v="3"/>
    <x v="0"/>
    <x v="0"/>
    <x v="159"/>
  </r>
  <r>
    <n v="226"/>
    <n v="317"/>
    <n v="196"/>
    <n v="2"/>
    <n v="1960"/>
    <x v="188"/>
    <x v="14"/>
    <n v="327"/>
    <x v="5"/>
    <n v="268.60344827586209"/>
    <n v="-0.27029976250080245"/>
    <x v="5"/>
    <n v="281.96875"/>
    <n v="-0.30488750969743983"/>
    <d v="2022-01-04T00:00:00"/>
    <x v="197"/>
    <x v="4"/>
    <x v="0"/>
    <x v="1"/>
    <x v="160"/>
  </r>
  <r>
    <n v="227"/>
    <n v="131"/>
    <n v="376"/>
    <n v="1"/>
    <n v="1880"/>
    <x v="189"/>
    <x v="9"/>
    <n v="275"/>
    <x v="5"/>
    <n v="268.60344827586209"/>
    <n v="0.39983310867193"/>
    <x v="32"/>
    <n v="254.18181818181819"/>
    <n v="0.4792560801144492"/>
    <d v="2022-03-31T00:00:00"/>
    <x v="198"/>
    <x v="4"/>
    <x v="0"/>
    <x v="1"/>
    <x v="161"/>
  </r>
  <r>
    <n v="228"/>
    <n v="96"/>
    <n v="362"/>
    <n v="4"/>
    <n v="7240"/>
    <x v="48"/>
    <x v="1"/>
    <n v="330"/>
    <x v="1"/>
    <n v="264.8679245283019"/>
    <n v="0.36671890582704081"/>
    <x v="69"/>
    <n v="273.7"/>
    <n v="0.32261600292290837"/>
    <d v="2022-09-11T00:00:00"/>
    <x v="199"/>
    <x v="0"/>
    <x v="1"/>
    <x v="1"/>
    <x v="61"/>
  </r>
  <r>
    <n v="229"/>
    <n v="311"/>
    <n v="345"/>
    <n v="5"/>
    <n v="8625"/>
    <x v="157"/>
    <x v="15"/>
    <n v="177"/>
    <x v="3"/>
    <n v="265.47674418604652"/>
    <n v="0.29954885900748973"/>
    <x v="16"/>
    <n v="276.67567567567568"/>
    <n v="0.24694734785581707"/>
    <d v="2022-10-23T00:00:00"/>
    <x v="200"/>
    <x v="4"/>
    <x v="0"/>
    <x v="1"/>
    <x v="162"/>
  </r>
  <r>
    <n v="230"/>
    <n v="268"/>
    <n v="81"/>
    <n v="3"/>
    <n v="1215"/>
    <x v="136"/>
    <x v="17"/>
    <n v="407"/>
    <x v="13"/>
    <n v="258.375"/>
    <n v="-0.68650217706821481"/>
    <x v="34"/>
    <n v="181.57142857142858"/>
    <n v="-0.55389457120377661"/>
    <d v="2022-03-01T00:00:00"/>
    <x v="194"/>
    <x v="1"/>
    <x v="1"/>
    <x v="0"/>
    <x v="45"/>
  </r>
  <r>
    <n v="231"/>
    <n v="495"/>
    <n v="97"/>
    <n v="4"/>
    <n v="1940"/>
    <x v="190"/>
    <x v="4"/>
    <n v="181"/>
    <x v="8"/>
    <n v="271.18181818181819"/>
    <n v="-0.64230640295005026"/>
    <x v="8"/>
    <n v="291.45454545454544"/>
    <n v="-0.66718652526512789"/>
    <d v="2022-01-07T00:00:00"/>
    <x v="201"/>
    <x v="3"/>
    <x v="0"/>
    <x v="0"/>
    <x v="163"/>
  </r>
  <r>
    <n v="232"/>
    <n v="436"/>
    <n v="184"/>
    <n v="4"/>
    <n v="3680"/>
    <x v="191"/>
    <x v="2"/>
    <n v="166"/>
    <x v="4"/>
    <n v="250.48780487804879"/>
    <n v="-0.26543330087633887"/>
    <x v="56"/>
    <n v="247.66666666666666"/>
    <n v="-0.25706594885598921"/>
    <d v="2022-08-23T00:00:00"/>
    <x v="202"/>
    <x v="0"/>
    <x v="1"/>
    <x v="0"/>
    <x v="88"/>
  </r>
  <r>
    <n v="233"/>
    <n v="358"/>
    <n v="172"/>
    <n v="1"/>
    <n v="860"/>
    <x v="116"/>
    <x v="15"/>
    <n v="478"/>
    <x v="17"/>
    <n v="267.85483870967744"/>
    <n v="-0.3578611428915518"/>
    <x v="70"/>
    <n v="268"/>
    <n v="-0.35820895522388063"/>
    <d v="2022-06-14T00:00:00"/>
    <x v="203"/>
    <x v="3"/>
    <x v="0"/>
    <x v="1"/>
    <x v="44"/>
  </r>
  <r>
    <n v="234"/>
    <n v="160"/>
    <n v="288"/>
    <n v="2"/>
    <n v="2880"/>
    <x v="192"/>
    <x v="10"/>
    <n v="429"/>
    <x v="18"/>
    <n v="255.11627906976744"/>
    <n v="0.12889699179580671"/>
    <x v="34"/>
    <n v="250.30769230769232"/>
    <n v="0.15058389674247064"/>
    <d v="2022-03-05T00:00:00"/>
    <x v="136"/>
    <x v="4"/>
    <x v="0"/>
    <x v="0"/>
    <x v="164"/>
  </r>
  <r>
    <n v="235"/>
    <n v="23"/>
    <n v="174"/>
    <n v="3"/>
    <n v="2610"/>
    <x v="193"/>
    <x v="13"/>
    <n v="181"/>
    <x v="6"/>
    <n v="258.5128205128205"/>
    <n v="-0.32691926205118027"/>
    <x v="26"/>
    <n v="216.4"/>
    <n v="-0.1959334565619224"/>
    <d v="2022-01-07T00:00:00"/>
    <x v="204"/>
    <x v="3"/>
    <x v="1"/>
    <x v="0"/>
    <x v="163"/>
  </r>
  <r>
    <n v="236"/>
    <n v="49"/>
    <n v="292"/>
    <n v="3"/>
    <n v="4380"/>
    <x v="194"/>
    <x v="1"/>
    <n v="431"/>
    <x v="13"/>
    <n v="258.375"/>
    <n v="0.1301402999516208"/>
    <x v="30"/>
    <n v="317.85714285714283"/>
    <n v="-8.1348314606741523E-2"/>
    <d v="2022-03-03T00:00:00"/>
    <x v="123"/>
    <x v="2"/>
    <x v="0"/>
    <x v="1"/>
    <x v="165"/>
  </r>
  <r>
    <n v="237"/>
    <n v="485"/>
    <n v="243"/>
    <n v="3"/>
    <n v="3645"/>
    <x v="195"/>
    <x v="13"/>
    <n v="34"/>
    <x v="3"/>
    <n v="265.47674418604652"/>
    <n v="-8.4665586264289772E-2"/>
    <x v="3"/>
    <n v="236.27586206896552"/>
    <n v="2.8458844133099737E-2"/>
    <d v="2022-04-03T00:00:00"/>
    <x v="1"/>
    <x v="4"/>
    <x v="1"/>
    <x v="1"/>
    <x v="47"/>
  </r>
  <r>
    <n v="238"/>
    <n v="131"/>
    <n v="382"/>
    <n v="5"/>
    <n v="9550"/>
    <x v="196"/>
    <x v="5"/>
    <n v="147"/>
    <x v="5"/>
    <n v="268.60344827586209"/>
    <n v="0.42217087104435436"/>
    <x v="32"/>
    <n v="254.18181818181819"/>
    <n v="0.5028612303290414"/>
    <d v="2022-09-23T00:00:00"/>
    <x v="159"/>
    <x v="2"/>
    <x v="0"/>
    <x v="0"/>
    <x v="166"/>
  </r>
  <r>
    <n v="239"/>
    <n v="270"/>
    <n v="308"/>
    <n v="1"/>
    <n v="1540"/>
    <x v="197"/>
    <x v="1"/>
    <n v="496"/>
    <x v="1"/>
    <n v="264.8679245283019"/>
    <n v="0.16284370993018937"/>
    <x v="64"/>
    <n v="236.91666666666666"/>
    <n v="0.30003517411185365"/>
    <d v="2022-11-02T00:00:00"/>
    <x v="205"/>
    <x v="3"/>
    <x v="1"/>
    <x v="0"/>
    <x v="115"/>
  </r>
  <r>
    <n v="240"/>
    <n v="345"/>
    <n v="357"/>
    <n v="4"/>
    <n v="7140"/>
    <x v="198"/>
    <x v="14"/>
    <n v="202"/>
    <x v="17"/>
    <n v="267.85483870967744"/>
    <n v="0.33281146504486059"/>
    <x v="27"/>
    <n v="288.23809523809524"/>
    <n v="0.23855939203700638"/>
    <d v="2022-07-24T00:00:00"/>
    <x v="206"/>
    <x v="1"/>
    <x v="1"/>
    <x v="1"/>
    <x v="65"/>
  </r>
  <r>
    <n v="241"/>
    <n v="40"/>
    <n v="82"/>
    <n v="1"/>
    <n v="410"/>
    <x v="199"/>
    <x v="4"/>
    <n v="312"/>
    <x v="19"/>
    <n v="286.92307692307691"/>
    <n v="-0.71420911528150133"/>
    <x v="71"/>
    <n v="82"/>
    <n v="0"/>
    <d v="2022-11-21T00:00:00"/>
    <x v="207"/>
    <x v="2"/>
    <x v="0"/>
    <x v="0"/>
    <x v="167"/>
  </r>
  <r>
    <n v="242"/>
    <n v="275"/>
    <n v="219"/>
    <n v="1"/>
    <n v="1095"/>
    <x v="200"/>
    <x v="16"/>
    <n v="41"/>
    <x v="11"/>
    <n v="262.63492063492066"/>
    <n v="-0.16614287441073383"/>
    <x v="47"/>
    <n v="271"/>
    <n v="-0.19188191881918815"/>
    <d v="2022-10-08T00:00:00"/>
    <x v="176"/>
    <x v="2"/>
    <x v="0"/>
    <x v="0"/>
    <x v="58"/>
  </r>
  <r>
    <n v="243"/>
    <n v="205"/>
    <n v="117"/>
    <n v="5"/>
    <n v="2925"/>
    <x v="201"/>
    <x v="19"/>
    <n v="389"/>
    <x v="3"/>
    <n v="265.47674418604652"/>
    <n v="-0.559283430423547"/>
    <x v="3"/>
    <n v="236.27586206896552"/>
    <n v="-0.50481611208406307"/>
    <d v="2022-11-11T00:00:00"/>
    <x v="208"/>
    <x v="2"/>
    <x v="0"/>
    <x v="0"/>
    <x v="168"/>
  </r>
  <r>
    <n v="244"/>
    <n v="219"/>
    <n v="474"/>
    <n v="5"/>
    <n v="11850"/>
    <x v="202"/>
    <x v="10"/>
    <n v="24"/>
    <x v="9"/>
    <n v="263.25423728813558"/>
    <n v="0.80054081895441676"/>
    <x v="43"/>
    <n v="287.10000000000002"/>
    <n v="0.65099268547544398"/>
    <d v="2022-02-17T00:00:00"/>
    <x v="209"/>
    <x v="0"/>
    <x v="1"/>
    <x v="0"/>
    <x v="26"/>
  </r>
  <r>
    <n v="245"/>
    <n v="425"/>
    <n v="334"/>
    <n v="2"/>
    <n v="3340"/>
    <x v="0"/>
    <x v="7"/>
    <n v="25"/>
    <x v="1"/>
    <n v="264.8679245283019"/>
    <n v="0.2610058412879328"/>
    <x v="13"/>
    <n v="320.84615384615387"/>
    <n v="4.0997362742747567E-2"/>
    <d v="2022-01-21T00:00:00"/>
    <x v="97"/>
    <x v="4"/>
    <x v="1"/>
    <x v="0"/>
    <x v="67"/>
  </r>
  <r>
    <n v="246"/>
    <n v="452"/>
    <n v="220"/>
    <n v="5"/>
    <n v="5500"/>
    <x v="203"/>
    <x v="4"/>
    <n v="411"/>
    <x v="12"/>
    <n v="274.16279069767444"/>
    <n v="-0.19755704470268898"/>
    <x v="18"/>
    <n v="253.6875"/>
    <n v="-0.13279132791327908"/>
    <d v="2022-04-22T00:00:00"/>
    <x v="98"/>
    <x v="4"/>
    <x v="1"/>
    <x v="1"/>
    <x v="147"/>
  </r>
  <r>
    <n v="247"/>
    <n v="285"/>
    <n v="282"/>
    <n v="5"/>
    <n v="7050"/>
    <x v="204"/>
    <x v="16"/>
    <n v="106"/>
    <x v="3"/>
    <n v="265.47674418604652"/>
    <n v="6.2239936927861228E-2"/>
    <x v="16"/>
    <n v="276.67567567567568"/>
    <n v="1.9243919116928687E-2"/>
    <d v="2022-10-24T00:00:00"/>
    <x v="87"/>
    <x v="3"/>
    <x v="1"/>
    <x v="0"/>
    <x v="140"/>
  </r>
  <r>
    <n v="248"/>
    <n v="435"/>
    <n v="499"/>
    <n v="5"/>
    <n v="12475"/>
    <x v="92"/>
    <x v="4"/>
    <n v="175"/>
    <x v="10"/>
    <n v="271.74545454545455"/>
    <n v="0.83627726482001874"/>
    <x v="37"/>
    <n v="272.35294117647061"/>
    <n v="0.83218142548596097"/>
    <d v="2022-01-04T00:00:00"/>
    <x v="168"/>
    <x v="2"/>
    <x v="1"/>
    <x v="1"/>
    <x v="145"/>
  </r>
  <r>
    <n v="249"/>
    <n v="26"/>
    <n v="170"/>
    <n v="1"/>
    <n v="850"/>
    <x v="184"/>
    <x v="17"/>
    <n v="286"/>
    <x v="10"/>
    <n v="271.74545454545455"/>
    <n v="-0.37441455907935239"/>
    <x v="12"/>
    <n v="212.8125"/>
    <n v="-0.2011747430249633"/>
    <d v="2022-01-02T00:00:00"/>
    <x v="210"/>
    <x v="4"/>
    <x v="1"/>
    <x v="1"/>
    <x v="125"/>
  </r>
  <r>
    <n v="250"/>
    <n v="157"/>
    <n v="52"/>
    <n v="1"/>
    <n v="260"/>
    <x v="205"/>
    <x v="0"/>
    <n v="249"/>
    <x v="11"/>
    <n v="262.63492063492066"/>
    <n v="-0.80200652725734312"/>
    <x v="21"/>
    <n v="238.72222222222223"/>
    <n v="-0.78217360949499648"/>
    <d v="2022-08-08T00:00:00"/>
    <x v="211"/>
    <x v="2"/>
    <x v="0"/>
    <x v="0"/>
    <x v="169"/>
  </r>
  <r>
    <n v="251"/>
    <n v="273"/>
    <n v="156"/>
    <n v="5"/>
    <n v="3900"/>
    <x v="119"/>
    <x v="15"/>
    <n v="168"/>
    <x v="17"/>
    <n v="267.85483870967744"/>
    <n v="-0.41759499006443068"/>
    <x v="66"/>
    <n v="273.625"/>
    <n v="-0.42987665600730929"/>
    <d v="2022-05-25T00:00:00"/>
    <x v="212"/>
    <x v="0"/>
    <x v="0"/>
    <x v="0"/>
    <x v="170"/>
  </r>
  <r>
    <n v="252"/>
    <n v="340"/>
    <n v="450"/>
    <n v="3"/>
    <n v="6750"/>
    <x v="206"/>
    <x v="7"/>
    <n v="121"/>
    <x v="11"/>
    <n v="262.63492063492066"/>
    <n v="0.71340505258068387"/>
    <x v="17"/>
    <n v="311.33333333333331"/>
    <n v="0.4453961456102784"/>
    <d v="2022-07-21T00:00:00"/>
    <x v="213"/>
    <x v="2"/>
    <x v="0"/>
    <x v="0"/>
    <x v="18"/>
  </r>
  <r>
    <n v="253"/>
    <n v="34"/>
    <n v="366"/>
    <n v="4"/>
    <n v="7320"/>
    <x v="131"/>
    <x v="6"/>
    <n v="259"/>
    <x v="18"/>
    <n v="255.11627906976744"/>
    <n v="0.4346399270738377"/>
    <x v="72"/>
    <n v="252.09090909090909"/>
    <n v="0.45185719437432392"/>
    <d v="2022-05-26T00:00:00"/>
    <x v="214"/>
    <x v="1"/>
    <x v="1"/>
    <x v="0"/>
    <x v="148"/>
  </r>
  <r>
    <n v="254"/>
    <n v="296"/>
    <n v="210"/>
    <n v="1"/>
    <n v="1050"/>
    <x v="168"/>
    <x v="1"/>
    <n v="255"/>
    <x v="18"/>
    <n v="255.11627906976744"/>
    <n v="-0.17684594348222427"/>
    <x v="34"/>
    <n v="250.30769230769232"/>
    <n v="-0.16103257529194837"/>
    <d v="2022-08-20T00:00:00"/>
    <x v="215"/>
    <x v="3"/>
    <x v="1"/>
    <x v="0"/>
    <x v="143"/>
  </r>
  <r>
    <n v="255"/>
    <n v="116"/>
    <n v="379"/>
    <n v="4"/>
    <n v="7580"/>
    <x v="207"/>
    <x v="14"/>
    <n v="405"/>
    <x v="1"/>
    <n v="264.8679245283019"/>
    <n v="0.43090183786864222"/>
    <x v="13"/>
    <n v="320.84615384615387"/>
    <n v="0.1812514984416207"/>
    <d v="2022-08-25T00:00:00"/>
    <x v="101"/>
    <x v="3"/>
    <x v="0"/>
    <x v="1"/>
    <x v="88"/>
  </r>
  <r>
    <n v="256"/>
    <n v="117"/>
    <n v="102"/>
    <n v="4"/>
    <n v="2040"/>
    <x v="208"/>
    <x v="16"/>
    <n v="376"/>
    <x v="3"/>
    <n v="265.47674418604652"/>
    <n v="-0.61578555472822039"/>
    <x v="29"/>
    <n v="235.55555555555554"/>
    <n v="-0.56698113207547163"/>
    <d v="2022-06-18T00:00:00"/>
    <x v="216"/>
    <x v="1"/>
    <x v="0"/>
    <x v="0"/>
    <x v="130"/>
  </r>
  <r>
    <n v="257"/>
    <n v="239"/>
    <n v="380"/>
    <n v="5"/>
    <n v="9500"/>
    <x v="37"/>
    <x v="0"/>
    <n v="489"/>
    <x v="9"/>
    <n v="263.25423728813558"/>
    <n v="0.44347154262168442"/>
    <x v="33"/>
    <n v="248.5"/>
    <n v="0.52917505030181089"/>
    <d v="2022-01-26T00:00:00"/>
    <x v="217"/>
    <x v="2"/>
    <x v="0"/>
    <x v="0"/>
    <x v="9"/>
  </r>
  <r>
    <n v="258"/>
    <n v="201"/>
    <n v="355"/>
    <n v="5"/>
    <n v="8875"/>
    <x v="110"/>
    <x v="11"/>
    <n v="483"/>
    <x v="2"/>
    <n v="283.468085106383"/>
    <n v="0.25234556781505657"/>
    <x v="36"/>
    <n v="249.5"/>
    <n v="0.42284569138276562"/>
    <d v="2022-10-21T00:00:00"/>
    <x v="218"/>
    <x v="2"/>
    <x v="0"/>
    <x v="0"/>
    <x v="171"/>
  </r>
  <r>
    <n v="259"/>
    <n v="377"/>
    <n v="403"/>
    <n v="4"/>
    <n v="8060"/>
    <x v="209"/>
    <x v="16"/>
    <n v="107"/>
    <x v="19"/>
    <n v="286.92307692307691"/>
    <n v="0.40455764075067036"/>
    <x v="40"/>
    <n v="273.58333333333331"/>
    <n v="0.4730429485226928"/>
    <d v="2022-07-02T00:00:00"/>
    <x v="219"/>
    <x v="4"/>
    <x v="0"/>
    <x v="1"/>
    <x v="172"/>
  </r>
  <r>
    <n v="260"/>
    <n v="485"/>
    <n v="101"/>
    <n v="1"/>
    <n v="505"/>
    <x v="94"/>
    <x v="13"/>
    <n v="51"/>
    <x v="3"/>
    <n v="265.47674418604652"/>
    <n v="-0.61955236301519867"/>
    <x v="3"/>
    <n v="236.27586206896552"/>
    <n v="-0.57253356684179801"/>
    <d v="2022-02-13T00:00:00"/>
    <x v="220"/>
    <x v="0"/>
    <x v="0"/>
    <x v="1"/>
    <x v="173"/>
  </r>
  <r>
    <n v="261"/>
    <n v="251"/>
    <n v="294"/>
    <n v="1"/>
    <n v="1470"/>
    <x v="96"/>
    <x v="4"/>
    <n v="47"/>
    <x v="4"/>
    <n v="250.48780487804879"/>
    <n v="0.17370983446932819"/>
    <x v="56"/>
    <n v="247.66666666666666"/>
    <n v="0.18707940780619126"/>
    <d v="2022-05-12T00:00:00"/>
    <x v="221"/>
    <x v="1"/>
    <x v="1"/>
    <x v="1"/>
    <x v="38"/>
  </r>
  <r>
    <n v="262"/>
    <n v="409"/>
    <n v="299"/>
    <n v="1"/>
    <n v="1495"/>
    <x v="114"/>
    <x v="2"/>
    <n v="411"/>
    <x v="12"/>
    <n v="274.16279069767444"/>
    <n v="9.0592925608618202E-2"/>
    <x v="65"/>
    <n v="258.30769230769232"/>
    <n v="0.15753424657534243"/>
    <d v="2022-04-22T00:00:00"/>
    <x v="222"/>
    <x v="4"/>
    <x v="1"/>
    <x v="1"/>
    <x v="147"/>
  </r>
  <r>
    <n v="263"/>
    <n v="422"/>
    <n v="349"/>
    <n v="2"/>
    <n v="3490"/>
    <x v="210"/>
    <x v="10"/>
    <n v="160"/>
    <x v="7"/>
    <n v="249.02380952380952"/>
    <n v="0.40147241610096573"/>
    <x v="59"/>
    <n v="256.89999999999998"/>
    <n v="0.35850525496302077"/>
    <d v="2022-03-29T00:00:00"/>
    <x v="79"/>
    <x v="0"/>
    <x v="1"/>
    <x v="0"/>
    <x v="29"/>
  </r>
  <r>
    <n v="264"/>
    <n v="222"/>
    <n v="500"/>
    <n v="2"/>
    <n v="5000"/>
    <x v="211"/>
    <x v="18"/>
    <n v="9"/>
    <x v="15"/>
    <n v="294.95238095238096"/>
    <n v="0.6951888924765901"/>
    <x v="23"/>
    <n v="318.81818181818181"/>
    <n v="0.56829198745366405"/>
    <d v="2022-12-05T00:00:00"/>
    <x v="223"/>
    <x v="4"/>
    <x v="0"/>
    <x v="0"/>
    <x v="174"/>
  </r>
  <r>
    <n v="265"/>
    <n v="497"/>
    <n v="387"/>
    <n v="2"/>
    <n v="3870"/>
    <x v="212"/>
    <x v="7"/>
    <n v="456"/>
    <x v="17"/>
    <n v="267.85483870967744"/>
    <n v="0.44481242849400848"/>
    <x v="35"/>
    <n v="250.25925925925927"/>
    <n v="0.5463963297321297"/>
    <d v="2022-02-26T00:00:00"/>
    <x v="224"/>
    <x v="2"/>
    <x v="0"/>
    <x v="0"/>
    <x v="175"/>
  </r>
  <r>
    <n v="266"/>
    <n v="217"/>
    <n v="412"/>
    <n v="2"/>
    <n v="4120"/>
    <x v="25"/>
    <x v="11"/>
    <n v="110"/>
    <x v="10"/>
    <n v="271.74545454545455"/>
    <n v="0.51612471564298135"/>
    <x v="10"/>
    <n v="311.2"/>
    <n v="0.32390745501285356"/>
    <d v="2022-01-19T00:00:00"/>
    <x v="134"/>
    <x v="0"/>
    <x v="0"/>
    <x v="1"/>
    <x v="176"/>
  </r>
  <r>
    <n v="267"/>
    <n v="351"/>
    <n v="155"/>
    <n v="5"/>
    <n v="3875"/>
    <x v="81"/>
    <x v="9"/>
    <n v="216"/>
    <x v="14"/>
    <n v="273.72549019607845"/>
    <n v="-0.43373925501432664"/>
    <x v="58"/>
    <n v="241.83333333333334"/>
    <n v="-0.35906271536871126"/>
    <d v="2022-04-04T00:00:00"/>
    <x v="225"/>
    <x v="4"/>
    <x v="0"/>
    <x v="1"/>
    <x v="177"/>
  </r>
  <r>
    <n v="268"/>
    <n v="494"/>
    <n v="214"/>
    <n v="1"/>
    <n v="1070"/>
    <x v="119"/>
    <x v="6"/>
    <n v="424"/>
    <x v="11"/>
    <n v="262.63492063492066"/>
    <n v="-0.18518070832829692"/>
    <x v="47"/>
    <n v="271"/>
    <n v="-0.21033210332103325"/>
    <d v="2022-01-24T00:00:00"/>
    <x v="226"/>
    <x v="2"/>
    <x v="1"/>
    <x v="0"/>
    <x v="80"/>
  </r>
  <r>
    <n v="269"/>
    <n v="464"/>
    <n v="290"/>
    <n v="3"/>
    <n v="4350"/>
    <x v="134"/>
    <x v="14"/>
    <n v="77"/>
    <x v="11"/>
    <n v="262.63492063492066"/>
    <n v="0.10419436721866293"/>
    <x v="47"/>
    <n v="271"/>
    <n v="7.0110701107011009E-2"/>
    <d v="2022-03-24T00:00:00"/>
    <x v="227"/>
    <x v="2"/>
    <x v="0"/>
    <x v="1"/>
    <x v="178"/>
  </r>
  <r>
    <n v="270"/>
    <n v="462"/>
    <n v="271"/>
    <n v="2"/>
    <n v="2710"/>
    <x v="45"/>
    <x v="0"/>
    <n v="192"/>
    <x v="13"/>
    <n v="258.375"/>
    <n v="4.8863086598935679E-2"/>
    <x v="20"/>
    <n v="269.70588235294116"/>
    <n v="4.7982551799345963E-3"/>
    <d v="2022-01-11T00:00:00"/>
    <x v="61"/>
    <x v="2"/>
    <x v="0"/>
    <x v="0"/>
    <x v="179"/>
  </r>
  <r>
    <n v="271"/>
    <n v="102"/>
    <n v="326"/>
    <n v="2"/>
    <n v="3260"/>
    <x v="213"/>
    <x v="16"/>
    <n v="130"/>
    <x v="2"/>
    <n v="283.468085106383"/>
    <n v="0.15004128199354483"/>
    <x v="36"/>
    <n v="249.5"/>
    <n v="0.30661322645290578"/>
    <d v="2022-10-29T00:00:00"/>
    <x v="228"/>
    <x v="4"/>
    <x v="1"/>
    <x v="1"/>
    <x v="74"/>
  </r>
  <r>
    <n v="272"/>
    <n v="345"/>
    <n v="420"/>
    <n v="2"/>
    <n v="4200"/>
    <x v="214"/>
    <x v="11"/>
    <n v="308"/>
    <x v="17"/>
    <n v="267.85483870967744"/>
    <n v="0.56801348828807119"/>
    <x v="27"/>
    <n v="288.23809523809524"/>
    <n v="0.45712869651412524"/>
    <d v="2022-01-01T00:00:00"/>
    <x v="229"/>
    <x v="1"/>
    <x v="0"/>
    <x v="0"/>
    <x v="180"/>
  </r>
  <r>
    <n v="273"/>
    <n v="445"/>
    <n v="71"/>
    <n v="4"/>
    <n v="1420"/>
    <x v="215"/>
    <x v="17"/>
    <n v="455"/>
    <x v="0"/>
    <n v="252.76271186440678"/>
    <n v="-0.71910413732984646"/>
    <x v="11"/>
    <n v="240.26666666666668"/>
    <n v="-0.7044950055493896"/>
    <d v="2022-09-16T00:00:00"/>
    <x v="230"/>
    <x v="3"/>
    <x v="0"/>
    <x v="0"/>
    <x v="181"/>
  </r>
  <r>
    <n v="274"/>
    <n v="241"/>
    <n v="400"/>
    <n v="3"/>
    <n v="6000"/>
    <x v="178"/>
    <x v="17"/>
    <n v="490"/>
    <x v="19"/>
    <n v="286.92307692307691"/>
    <n v="0.39410187667560326"/>
    <x v="40"/>
    <n v="273.58333333333331"/>
    <n v="0.46207736826073731"/>
    <d v="2022-02-11T00:00:00"/>
    <x v="231"/>
    <x v="2"/>
    <x v="1"/>
    <x v="1"/>
    <x v="16"/>
  </r>
  <r>
    <n v="275"/>
    <n v="258"/>
    <n v="109"/>
    <n v="2"/>
    <n v="1090"/>
    <x v="216"/>
    <x v="2"/>
    <n v="480"/>
    <x v="6"/>
    <n v="258.5128205128205"/>
    <n v="-0.5783574687561992"/>
    <x v="26"/>
    <n v="216.4"/>
    <n v="-0.4963031423290204"/>
    <d v="2022-01-07T00:00:00"/>
    <x v="232"/>
    <x v="0"/>
    <x v="0"/>
    <x v="0"/>
    <x v="182"/>
  </r>
  <r>
    <n v="276"/>
    <n v="376"/>
    <n v="217"/>
    <n v="1"/>
    <n v="1085"/>
    <x v="217"/>
    <x v="4"/>
    <n v="321"/>
    <x v="17"/>
    <n v="267.85483870967744"/>
    <n v="-0.18985969771782985"/>
    <x v="66"/>
    <n v="273.625"/>
    <n v="-0.20694380995888528"/>
    <d v="2022-07-14T00:00:00"/>
    <x v="233"/>
    <x v="4"/>
    <x v="1"/>
    <x v="1"/>
    <x v="95"/>
  </r>
  <r>
    <n v="277"/>
    <n v="7"/>
    <n v="104"/>
    <n v="1"/>
    <n v="520"/>
    <x v="63"/>
    <x v="7"/>
    <n v="496"/>
    <x v="11"/>
    <n v="262.63492063492066"/>
    <n v="-0.60401305451468634"/>
    <x v="21"/>
    <n v="238.72222222222223"/>
    <n v="-0.56434721898999296"/>
    <d v="2022-11-02T00:00:00"/>
    <x v="234"/>
    <x v="3"/>
    <x v="1"/>
    <x v="0"/>
    <x v="115"/>
  </r>
  <r>
    <n v="278"/>
    <n v="428"/>
    <n v="428"/>
    <n v="4"/>
    <n v="8560"/>
    <x v="21"/>
    <x v="10"/>
    <n v="203"/>
    <x v="17"/>
    <n v="267.85483870967744"/>
    <n v="0.59788041187451069"/>
    <x v="35"/>
    <n v="250.25925925925927"/>
    <n v="0.71022643184845347"/>
    <d v="2022-05-04T00:00:00"/>
    <x v="235"/>
    <x v="2"/>
    <x v="0"/>
    <x v="1"/>
    <x v="129"/>
  </r>
  <r>
    <n v="279"/>
    <n v="216"/>
    <n v="83"/>
    <n v="3"/>
    <n v="1245"/>
    <x v="100"/>
    <x v="9"/>
    <n v="457"/>
    <x v="7"/>
    <n v="249.02380952380952"/>
    <n v="-0.66669853714504246"/>
    <x v="39"/>
    <n v="222.2"/>
    <n v="-0.62646264626462644"/>
    <d v="2022-02-03T00:00:00"/>
    <x v="235"/>
    <x v="4"/>
    <x v="1"/>
    <x v="1"/>
    <x v="142"/>
  </r>
  <r>
    <n v="280"/>
    <n v="272"/>
    <n v="113"/>
    <n v="3"/>
    <n v="1695"/>
    <x v="171"/>
    <x v="15"/>
    <n v="21"/>
    <x v="18"/>
    <n v="255.11627906976744"/>
    <n v="-0.55706472196900636"/>
    <x v="72"/>
    <n v="252.09090909090909"/>
    <n v="-0.55174900829426621"/>
    <d v="2022-11-16T00:00:00"/>
    <x v="236"/>
    <x v="1"/>
    <x v="0"/>
    <x v="0"/>
    <x v="183"/>
  </r>
  <r>
    <n v="281"/>
    <n v="236"/>
    <n v="221"/>
    <n v="4"/>
    <n v="4420"/>
    <x v="218"/>
    <x v="11"/>
    <n v="333"/>
    <x v="2"/>
    <n v="283.468085106383"/>
    <n v="-0.22037078736020421"/>
    <x v="46"/>
    <n v="321.63636363636363"/>
    <n v="-0.31288863764838892"/>
    <d v="2022-10-23T00:00:00"/>
    <x v="237"/>
    <x v="2"/>
    <x v="1"/>
    <x v="0"/>
    <x v="92"/>
  </r>
  <r>
    <n v="282"/>
    <n v="225"/>
    <n v="114"/>
    <n v="3"/>
    <n v="1710"/>
    <x v="219"/>
    <x v="7"/>
    <n v="405"/>
    <x v="1"/>
    <n v="264.8679245283019"/>
    <n v="-0.56959680866220264"/>
    <x v="1"/>
    <n v="238.16666666666666"/>
    <n v="-0.52134359692092369"/>
    <d v="2022-08-25T00:00:00"/>
    <x v="238"/>
    <x v="3"/>
    <x v="1"/>
    <x v="1"/>
    <x v="88"/>
  </r>
  <r>
    <n v="283"/>
    <n v="167"/>
    <n v="488"/>
    <n v="3"/>
    <n v="7320"/>
    <x v="75"/>
    <x v="0"/>
    <n v="32"/>
    <x v="10"/>
    <n v="271.74545454545455"/>
    <n v="0.79579820687809444"/>
    <x v="12"/>
    <n v="212.8125"/>
    <n v="1.2930983847283408"/>
    <d v="2022-12-27T00:00:00"/>
    <x v="239"/>
    <x v="0"/>
    <x v="1"/>
    <x v="0"/>
    <x v="126"/>
  </r>
  <r>
    <n v="284"/>
    <n v="467"/>
    <n v="421"/>
    <n v="5"/>
    <n v="10525"/>
    <x v="124"/>
    <x v="6"/>
    <n v="334"/>
    <x v="3"/>
    <n v="265.47674418604652"/>
    <n v="0.58582628881783538"/>
    <x v="3"/>
    <n v="236.27586206896552"/>
    <n v="0.78181552831290135"/>
    <d v="2022-11-16T00:00:00"/>
    <x v="240"/>
    <x v="3"/>
    <x v="1"/>
    <x v="1"/>
    <x v="37"/>
  </r>
  <r>
    <n v="285"/>
    <n v="430"/>
    <n v="380"/>
    <n v="1"/>
    <n v="1900"/>
    <x v="220"/>
    <x v="19"/>
    <n v="449"/>
    <x v="8"/>
    <n v="271.18181818181819"/>
    <n v="0.40127388535031838"/>
    <x v="52"/>
    <n v="243.3"/>
    <n v="0.56185778873818326"/>
    <d v="2022-03-25T00:00:00"/>
    <x v="241"/>
    <x v="4"/>
    <x v="1"/>
    <x v="1"/>
    <x v="64"/>
  </r>
  <r>
    <n v="286"/>
    <n v="139"/>
    <n v="232"/>
    <n v="3"/>
    <n v="3480"/>
    <x v="91"/>
    <x v="18"/>
    <n v="302"/>
    <x v="9"/>
    <n v="263.25423728813558"/>
    <n v="-0.11872263713623488"/>
    <x v="9"/>
    <n v="257.78260869565219"/>
    <n v="-0.10001686625063255"/>
    <d v="2022-10-25T00:00:00"/>
    <x v="242"/>
    <x v="2"/>
    <x v="0"/>
    <x v="1"/>
    <x v="184"/>
  </r>
  <r>
    <n v="287"/>
    <n v="351"/>
    <n v="93"/>
    <n v="3"/>
    <n v="1395"/>
    <x v="221"/>
    <x v="12"/>
    <n v="341"/>
    <x v="14"/>
    <n v="273.72549019607845"/>
    <n v="-0.66024355300859594"/>
    <x v="58"/>
    <n v="241.83333333333334"/>
    <n v="-0.61543762922122669"/>
    <d v="2022-06-12T00:00:00"/>
    <x v="243"/>
    <x v="2"/>
    <x v="0"/>
    <x v="1"/>
    <x v="185"/>
  </r>
  <r>
    <n v="288"/>
    <n v="404"/>
    <n v="136"/>
    <n v="2"/>
    <n v="1360"/>
    <x v="64"/>
    <x v="3"/>
    <n v="62"/>
    <x v="9"/>
    <n v="263.25423728813558"/>
    <n v="-0.48338913211434453"/>
    <x v="9"/>
    <n v="257.78260869565219"/>
    <n v="-0.47242368021588799"/>
    <d v="2022-04-20T00:00:00"/>
    <x v="138"/>
    <x v="2"/>
    <x v="1"/>
    <x v="1"/>
    <x v="156"/>
  </r>
  <r>
    <n v="289"/>
    <n v="237"/>
    <n v="157"/>
    <n v="5"/>
    <n v="3925"/>
    <x v="76"/>
    <x v="16"/>
    <n v="366"/>
    <x v="17"/>
    <n v="267.85483870967744"/>
    <n v="-0.41386162461612575"/>
    <x v="27"/>
    <n v="288.23809523809524"/>
    <n v="-0.45531141582686274"/>
    <d v="2022-09-23T00:00:00"/>
    <x v="244"/>
    <x v="0"/>
    <x v="1"/>
    <x v="1"/>
    <x v="129"/>
  </r>
  <r>
    <n v="290"/>
    <n v="323"/>
    <n v="363"/>
    <n v="4"/>
    <n v="7260"/>
    <x v="222"/>
    <x v="7"/>
    <n v="463"/>
    <x v="6"/>
    <n v="258.5128205128205"/>
    <n v="0.40418567744495149"/>
    <x v="6"/>
    <n v="260.64705882352939"/>
    <n v="0.39268788083953976"/>
    <d v="2022-11-04T00:00:00"/>
    <x v="172"/>
    <x v="3"/>
    <x v="0"/>
    <x v="1"/>
    <x v="186"/>
  </r>
  <r>
    <n v="291"/>
    <n v="457"/>
    <n v="289"/>
    <n v="5"/>
    <n v="7225"/>
    <x v="128"/>
    <x v="16"/>
    <n v="421"/>
    <x v="5"/>
    <n v="268.60344827586209"/>
    <n v="7.5935554271776118E-2"/>
    <x v="49"/>
    <n v="272.25"/>
    <n v="6.1524334251606971E-2"/>
    <d v="2022-02-28T00:00:00"/>
    <x v="87"/>
    <x v="2"/>
    <x v="0"/>
    <x v="1"/>
    <x v="187"/>
  </r>
  <r>
    <n v="292"/>
    <n v="328"/>
    <n v="448"/>
    <n v="4"/>
    <n v="8960"/>
    <x v="218"/>
    <x v="10"/>
    <n v="86"/>
    <x v="14"/>
    <n v="273.72549019607845"/>
    <n v="0.63667621776504291"/>
    <x v="58"/>
    <n v="241.83333333333334"/>
    <n v="0.85251550654720876"/>
    <d v="2022-05-11T00:00:00"/>
    <x v="245"/>
    <x v="0"/>
    <x v="0"/>
    <x v="0"/>
    <x v="188"/>
  </r>
  <r>
    <n v="293"/>
    <n v="424"/>
    <n v="226"/>
    <n v="2"/>
    <n v="2260"/>
    <x v="177"/>
    <x v="9"/>
    <n v="397"/>
    <x v="2"/>
    <n v="283.468085106383"/>
    <n v="-0.20273211739097807"/>
    <x v="31"/>
    <n v="323.07692307692309"/>
    <n v="-0.30047619047619056"/>
    <d v="2022-06-16T00:00:00"/>
    <x v="246"/>
    <x v="1"/>
    <x v="1"/>
    <x v="1"/>
    <x v="21"/>
  </r>
  <r>
    <n v="294"/>
    <n v="86"/>
    <n v="261"/>
    <n v="5"/>
    <n v="6525"/>
    <x v="223"/>
    <x v="2"/>
    <n v="319"/>
    <x v="0"/>
    <n v="252.76271186440678"/>
    <n v="3.2589016294508166E-2"/>
    <x v="45"/>
    <n v="293.41176470588238"/>
    <n v="-0.11046511627906985"/>
    <d v="2022-04-23T00:00:00"/>
    <x v="224"/>
    <x v="0"/>
    <x v="0"/>
    <x v="0"/>
    <x v="119"/>
  </r>
  <r>
    <n v="295"/>
    <n v="17"/>
    <n v="253"/>
    <n v="3"/>
    <n v="3795"/>
    <x v="150"/>
    <x v="15"/>
    <n v="290"/>
    <x v="7"/>
    <n v="249.02380952380952"/>
    <n v="1.5967109666316093E-2"/>
    <x v="7"/>
    <n v="276.21052631578948"/>
    <n v="-8.4032012195122019E-2"/>
    <d v="2022-08-04T00:00:00"/>
    <x v="50"/>
    <x v="2"/>
    <x v="0"/>
    <x v="0"/>
    <x v="189"/>
  </r>
  <r>
    <n v="296"/>
    <n v="43"/>
    <n v="457"/>
    <n v="3"/>
    <n v="6855"/>
    <x v="224"/>
    <x v="8"/>
    <n v="13"/>
    <x v="2"/>
    <n v="283.468085106383"/>
    <n v="0.61217443518726999"/>
    <x v="31"/>
    <n v="323.07692307692309"/>
    <n v="0.41452380952380952"/>
    <d v="2022-06-12T00:00:00"/>
    <x v="247"/>
    <x v="2"/>
    <x v="0"/>
    <x v="1"/>
    <x v="19"/>
  </r>
  <r>
    <n v="297"/>
    <n v="5"/>
    <n v="65"/>
    <n v="5"/>
    <n v="1625"/>
    <x v="170"/>
    <x v="14"/>
    <n v="302"/>
    <x v="3"/>
    <n v="265.47674418604652"/>
    <n v="-0.75515746134641493"/>
    <x v="29"/>
    <n v="235.55555555555554"/>
    <n v="-0.72405660377358494"/>
    <d v="2022-10-25T00:00:00"/>
    <x v="151"/>
    <x v="2"/>
    <x v="1"/>
    <x v="1"/>
    <x v="184"/>
  </r>
  <r>
    <n v="298"/>
    <n v="298"/>
    <n v="65"/>
    <n v="1"/>
    <n v="325"/>
    <x v="225"/>
    <x v="19"/>
    <n v="453"/>
    <x v="18"/>
    <n v="255.11627906976744"/>
    <n v="-0.74521422060164078"/>
    <x v="67"/>
    <n v="251.91666666666666"/>
    <n v="-0.74197816738339395"/>
    <d v="2022-03-15T00:00:00"/>
    <x v="248"/>
    <x v="2"/>
    <x v="0"/>
    <x v="0"/>
    <x v="159"/>
  </r>
  <r>
    <n v="299"/>
    <n v="436"/>
    <n v="320"/>
    <n v="3"/>
    <n v="4800"/>
    <x v="85"/>
    <x v="13"/>
    <n v="16"/>
    <x v="4"/>
    <n v="250.48780487804879"/>
    <n v="0.27750730282375846"/>
    <x v="56"/>
    <n v="247.66666666666666"/>
    <n v="0.29205921938088841"/>
    <d v="2022-06-01T00:00:00"/>
    <x v="249"/>
    <x v="3"/>
    <x v="1"/>
    <x v="1"/>
    <x v="100"/>
  </r>
  <r>
    <n v="300"/>
    <n v="421"/>
    <n v="145"/>
    <n v="4"/>
    <n v="2900"/>
    <x v="226"/>
    <x v="13"/>
    <n v="120"/>
    <x v="8"/>
    <n v="271.18181818181819"/>
    <n v="-0.46530338585316799"/>
    <x v="8"/>
    <n v="291.45454545454544"/>
    <n v="-0.50249532127261376"/>
    <d v="2022-05-10T00:00:00"/>
    <x v="46"/>
    <x v="2"/>
    <x v="0"/>
    <x v="0"/>
    <x v="190"/>
  </r>
  <r>
    <n v="301"/>
    <n v="223"/>
    <n v="467"/>
    <n v="5"/>
    <n v="11675"/>
    <x v="132"/>
    <x v="4"/>
    <n v="295"/>
    <x v="8"/>
    <n v="271.18181818181819"/>
    <n v="0.72209185383841756"/>
    <x v="8"/>
    <n v="291.45454545454544"/>
    <n v="0.60230817217716792"/>
    <d v="2022-01-27T00:00:00"/>
    <x v="250"/>
    <x v="2"/>
    <x v="1"/>
    <x v="1"/>
    <x v="157"/>
  </r>
  <r>
    <n v="302"/>
    <n v="483"/>
    <n v="124"/>
    <n v="4"/>
    <n v="2480"/>
    <x v="227"/>
    <x v="6"/>
    <n v="381"/>
    <x v="19"/>
    <n v="286.92307692307691"/>
    <n v="-0.56782841823056296"/>
    <x v="42"/>
    <n v="312.66666666666669"/>
    <n v="-0.60341151385927505"/>
    <d v="2022-06-02T00:00:00"/>
    <x v="145"/>
    <x v="0"/>
    <x v="1"/>
    <x v="1"/>
    <x v="105"/>
  </r>
  <r>
    <n v="303"/>
    <n v="414"/>
    <n v="406"/>
    <n v="3"/>
    <n v="6090"/>
    <x v="52"/>
    <x v="3"/>
    <n v="287"/>
    <x v="12"/>
    <n v="274.16279069767444"/>
    <n v="0.48087199932140123"/>
    <x v="18"/>
    <n v="253.6875"/>
    <n v="0.60039418576003944"/>
    <d v="2022-02-16T00:00:00"/>
    <x v="251"/>
    <x v="2"/>
    <x v="1"/>
    <x v="0"/>
    <x v="39"/>
  </r>
  <r>
    <n v="304"/>
    <n v="389"/>
    <n v="76"/>
    <n v="4"/>
    <n v="1520"/>
    <x v="228"/>
    <x v="10"/>
    <n v="415"/>
    <x v="8"/>
    <n v="271.18181818181819"/>
    <n v="-0.71974522292993637"/>
    <x v="52"/>
    <n v="243.3"/>
    <n v="-0.6876284422523633"/>
    <d v="2022-04-10T00:00:00"/>
    <x v="252"/>
    <x v="3"/>
    <x v="1"/>
    <x v="0"/>
    <x v="60"/>
  </r>
  <r>
    <n v="305"/>
    <n v="367"/>
    <n v="79"/>
    <n v="5"/>
    <n v="1975"/>
    <x v="229"/>
    <x v="18"/>
    <n v="292"/>
    <x v="19"/>
    <n v="286.92307692307691"/>
    <n v="-0.72466487935656843"/>
    <x v="40"/>
    <n v="273.58333333333331"/>
    <n v="-0.71123971976850442"/>
    <d v="2022-02-16T00:00:00"/>
    <x v="133"/>
    <x v="2"/>
    <x v="0"/>
    <x v="1"/>
    <x v="191"/>
  </r>
  <r>
    <n v="306"/>
    <n v="128"/>
    <n v="466"/>
    <n v="1"/>
    <n v="2330"/>
    <x v="230"/>
    <x v="19"/>
    <n v="389"/>
    <x v="10"/>
    <n v="271.74545454545455"/>
    <n v="0.71484009099424584"/>
    <x v="15"/>
    <n v="316.58333333333331"/>
    <n v="0.47196630692287456"/>
    <d v="2022-11-11T00:00:00"/>
    <x v="253"/>
    <x v="2"/>
    <x v="1"/>
    <x v="0"/>
    <x v="168"/>
  </r>
  <r>
    <n v="307"/>
    <n v="368"/>
    <n v="265"/>
    <n v="5"/>
    <n v="6625"/>
    <x v="231"/>
    <x v="7"/>
    <n v="106"/>
    <x v="11"/>
    <n v="262.63492063492066"/>
    <n v="9.0051976308471726E-3"/>
    <x v="47"/>
    <n v="271"/>
    <n v="-2.2140221402214055E-2"/>
    <d v="2022-10-24T00:00:00"/>
    <x v="254"/>
    <x v="3"/>
    <x v="1"/>
    <x v="0"/>
    <x v="140"/>
  </r>
  <r>
    <n v="308"/>
    <n v="74"/>
    <n v="397"/>
    <n v="2"/>
    <n v="3970"/>
    <x v="169"/>
    <x v="11"/>
    <n v="458"/>
    <x v="19"/>
    <n v="286.92307692307691"/>
    <n v="0.38364611260053638"/>
    <x v="73"/>
    <n v="320.25"/>
    <n v="0.23965651834504298"/>
    <d v="2022-05-13T00:00:00"/>
    <x v="255"/>
    <x v="2"/>
    <x v="1"/>
    <x v="0"/>
    <x v="73"/>
  </r>
  <r>
    <n v="309"/>
    <n v="276"/>
    <n v="359"/>
    <n v="2"/>
    <n v="3590"/>
    <x v="191"/>
    <x v="5"/>
    <n v="203"/>
    <x v="19"/>
    <n v="286.92307692307691"/>
    <n v="0.25120643431635403"/>
    <x v="42"/>
    <n v="312.66666666666669"/>
    <n v="0.14818763326226003"/>
    <d v="2022-05-04T00:00:00"/>
    <x v="256"/>
    <x v="2"/>
    <x v="1"/>
    <x v="1"/>
    <x v="129"/>
  </r>
  <r>
    <n v="310"/>
    <n v="149"/>
    <n v="168"/>
    <n v="4"/>
    <n v="3360"/>
    <x v="232"/>
    <x v="1"/>
    <n v="1"/>
    <x v="17"/>
    <n v="267.85483870967744"/>
    <n v="-0.37279460468477155"/>
    <x v="35"/>
    <n v="250.25925925925927"/>
    <n v="-0.3286961669379902"/>
    <d v="2022-01-24T00:00:00"/>
    <x v="202"/>
    <x v="2"/>
    <x v="0"/>
    <x v="0"/>
    <x v="192"/>
  </r>
  <r>
    <n v="311"/>
    <n v="229"/>
    <n v="156"/>
    <n v="4"/>
    <n v="3120"/>
    <x v="233"/>
    <x v="14"/>
    <n v="204"/>
    <x v="10"/>
    <n v="271.74545454545455"/>
    <n v="-0.42593336009634686"/>
    <x v="12"/>
    <n v="212.8125"/>
    <n v="-0.2669603524229075"/>
    <d v="2022-11-02T00:00:00"/>
    <x v="93"/>
    <x v="2"/>
    <x v="1"/>
    <x v="0"/>
    <x v="18"/>
  </r>
  <r>
    <n v="312"/>
    <n v="28"/>
    <n v="78"/>
    <n v="4"/>
    <n v="1560"/>
    <x v="234"/>
    <x v="14"/>
    <n v="490"/>
    <x v="18"/>
    <n v="255.11627906976744"/>
    <n v="-0.69425706472196902"/>
    <x v="61"/>
    <n v="274.28571428571428"/>
    <n v="-0.71562499999999996"/>
    <d v="2022-02-11T00:00:00"/>
    <x v="99"/>
    <x v="2"/>
    <x v="1"/>
    <x v="1"/>
    <x v="16"/>
  </r>
  <r>
    <n v="313"/>
    <n v="260"/>
    <n v="489"/>
    <n v="3"/>
    <n v="7335"/>
    <x v="235"/>
    <x v="17"/>
    <n v="98"/>
    <x v="1"/>
    <n v="264.8679245283019"/>
    <n v="0.84620316284370989"/>
    <x v="13"/>
    <n v="320.84615384615387"/>
    <n v="0.52409494126108847"/>
    <d v="2022-03-17T00:00:00"/>
    <x v="257"/>
    <x v="2"/>
    <x v="0"/>
    <x v="0"/>
    <x v="193"/>
  </r>
  <r>
    <n v="314"/>
    <n v="140"/>
    <n v="106"/>
    <n v="3"/>
    <n v="1590"/>
    <x v="144"/>
    <x v="3"/>
    <n v="181"/>
    <x v="13"/>
    <n v="258.375"/>
    <n v="-0.58974358974358976"/>
    <x v="20"/>
    <n v="269.70588235294116"/>
    <n v="-0.60697928026172299"/>
    <d v="2022-01-07T00:00:00"/>
    <x v="258"/>
    <x v="3"/>
    <x v="1"/>
    <x v="0"/>
    <x v="163"/>
  </r>
  <r>
    <n v="315"/>
    <n v="270"/>
    <n v="204"/>
    <n v="3"/>
    <n v="3060"/>
    <x v="118"/>
    <x v="13"/>
    <n v="226"/>
    <x v="1"/>
    <n v="264.8679245283019"/>
    <n v="-0.22980481550078358"/>
    <x v="64"/>
    <n v="236.91666666666666"/>
    <n v="-0.13893774182201901"/>
    <d v="2022-05-21T00:00:00"/>
    <x v="259"/>
    <x v="2"/>
    <x v="0"/>
    <x v="0"/>
    <x v="194"/>
  </r>
  <r>
    <n v="316"/>
    <n v="67"/>
    <n v="317"/>
    <n v="4"/>
    <n v="6340"/>
    <x v="236"/>
    <x v="4"/>
    <n v="322"/>
    <x v="9"/>
    <n v="263.25423728813558"/>
    <n v="0.20415915529229989"/>
    <x v="43"/>
    <n v="287.10000000000002"/>
    <n v="0.10414489724834541"/>
    <d v="2022-11-21T00:00:00"/>
    <x v="260"/>
    <x v="3"/>
    <x v="1"/>
    <x v="0"/>
    <x v="155"/>
  </r>
  <r>
    <n v="317"/>
    <n v="448"/>
    <n v="442"/>
    <n v="1"/>
    <n v="2210"/>
    <x v="28"/>
    <x v="15"/>
    <n v="296"/>
    <x v="9"/>
    <n v="263.25423728813558"/>
    <n v="0.67898532062838024"/>
    <x v="9"/>
    <n v="257.78260869565219"/>
    <n v="0.7146230392983639"/>
    <d v="2022-07-16T00:00:00"/>
    <x v="182"/>
    <x v="0"/>
    <x v="0"/>
    <x v="1"/>
    <x v="120"/>
  </r>
  <r>
    <n v="318"/>
    <n v="331"/>
    <n v="88"/>
    <n v="3"/>
    <n v="1320"/>
    <x v="237"/>
    <x v="0"/>
    <n v="458"/>
    <x v="1"/>
    <n v="264.8679245283019"/>
    <n v="-0.66775894001994596"/>
    <x v="69"/>
    <n v="273.7"/>
    <n v="-0.67848008768724877"/>
    <d v="2022-05-13T00:00:00"/>
    <x v="261"/>
    <x v="2"/>
    <x v="1"/>
    <x v="0"/>
    <x v="73"/>
  </r>
  <r>
    <n v="319"/>
    <n v="325"/>
    <n v="99"/>
    <n v="2"/>
    <n v="990"/>
    <x v="238"/>
    <x v="8"/>
    <n v="11"/>
    <x v="5"/>
    <n v="268.60344827586209"/>
    <n v="-0.63142692085499719"/>
    <x v="28"/>
    <n v="242.81818181818181"/>
    <n v="-0.59228753275926627"/>
    <d v="2022-05-09T00:00:00"/>
    <x v="117"/>
    <x v="4"/>
    <x v="1"/>
    <x v="1"/>
    <x v="72"/>
  </r>
  <r>
    <n v="320"/>
    <n v="346"/>
    <n v="178"/>
    <n v="5"/>
    <n v="4450"/>
    <x v="235"/>
    <x v="14"/>
    <n v="75"/>
    <x v="8"/>
    <n v="271.18181818181819"/>
    <n v="-0.34361381159906135"/>
    <x v="8"/>
    <n v="291.45454545454544"/>
    <n v="-0.38927011852776039"/>
    <d v="2022-08-23T00:00:00"/>
    <x v="262"/>
    <x v="3"/>
    <x v="1"/>
    <x v="1"/>
    <x v="81"/>
  </r>
  <r>
    <n v="321"/>
    <n v="397"/>
    <n v="299"/>
    <n v="3"/>
    <n v="4485"/>
    <x v="239"/>
    <x v="7"/>
    <n v="29"/>
    <x v="9"/>
    <n v="263.25423728813558"/>
    <n v="0.13578418748390431"/>
    <x v="9"/>
    <n v="257.78260869565219"/>
    <n v="0.15989205599595202"/>
    <d v="2022-05-23T00:00:00"/>
    <x v="263"/>
    <x v="2"/>
    <x v="0"/>
    <x v="0"/>
    <x v="195"/>
  </r>
  <r>
    <n v="322"/>
    <n v="115"/>
    <n v="479"/>
    <n v="1"/>
    <n v="2395"/>
    <x v="141"/>
    <x v="12"/>
    <n v="297"/>
    <x v="11"/>
    <n v="262.63492063492066"/>
    <n v="0.82382448930255037"/>
    <x v="21"/>
    <n v="238.72222222222223"/>
    <n v="1.0065161740749358"/>
    <d v="2022-04-15T00:00:00"/>
    <x v="264"/>
    <x v="3"/>
    <x v="0"/>
    <x v="1"/>
    <x v="196"/>
  </r>
  <r>
    <n v="323"/>
    <n v="360"/>
    <n v="463"/>
    <n v="3"/>
    <n v="6945"/>
    <x v="240"/>
    <x v="19"/>
    <n v="497"/>
    <x v="1"/>
    <n v="264.8679245283019"/>
    <n v="0.74804103148596668"/>
    <x v="64"/>
    <n v="236.91666666666666"/>
    <n v="0.95427365459022173"/>
    <d v="2022-09-22T00:00:00"/>
    <x v="162"/>
    <x v="0"/>
    <x v="0"/>
    <x v="1"/>
    <x v="17"/>
  </r>
  <r>
    <n v="324"/>
    <n v="230"/>
    <n v="431"/>
    <n v="3"/>
    <n v="6465"/>
    <x v="181"/>
    <x v="18"/>
    <n v="191"/>
    <x v="5"/>
    <n v="268.60344827586209"/>
    <n v="0.60459593041915394"/>
    <x v="5"/>
    <n v="281.96875"/>
    <n v="0.52853818020613996"/>
    <d v="2022-11-01T00:00:00"/>
    <x v="265"/>
    <x v="3"/>
    <x v="0"/>
    <x v="0"/>
    <x v="197"/>
  </r>
  <r>
    <n v="325"/>
    <n v="229"/>
    <n v="173"/>
    <n v="4"/>
    <n v="3460"/>
    <x v="123"/>
    <x v="16"/>
    <n v="327"/>
    <x v="10"/>
    <n v="271.74545454545455"/>
    <n v="-0.36337481600428212"/>
    <x v="12"/>
    <n v="212.8125"/>
    <n v="-0.18707782672540385"/>
    <d v="2022-01-04T00:00:00"/>
    <x v="92"/>
    <x v="4"/>
    <x v="1"/>
    <x v="1"/>
    <x v="160"/>
  </r>
  <r>
    <n v="326"/>
    <n v="486"/>
    <n v="213"/>
    <n v="1"/>
    <n v="1065"/>
    <x v="241"/>
    <x v="18"/>
    <n v="58"/>
    <x v="1"/>
    <n v="264.8679245283019"/>
    <n v="-0.19582561618464167"/>
    <x v="1"/>
    <n v="238.16666666666666"/>
    <n v="-0.10566829951014689"/>
    <d v="2022-03-08T00:00:00"/>
    <x v="266"/>
    <x v="1"/>
    <x v="0"/>
    <x v="1"/>
    <x v="198"/>
  </r>
  <r>
    <n v="327"/>
    <n v="353"/>
    <n v="115"/>
    <n v="2"/>
    <n v="1150"/>
    <x v="242"/>
    <x v="13"/>
    <n v="446"/>
    <x v="3"/>
    <n v="265.47674418604652"/>
    <n v="-0.56681704699750335"/>
    <x v="16"/>
    <n v="276.67567567567568"/>
    <n v="-0.5843508840480609"/>
    <d v="2022-04-20T00:00:00"/>
    <x v="265"/>
    <x v="4"/>
    <x v="0"/>
    <x v="0"/>
    <x v="9"/>
  </r>
  <r>
    <n v="328"/>
    <n v="65"/>
    <n v="455"/>
    <n v="5"/>
    <n v="11375"/>
    <x v="243"/>
    <x v="9"/>
    <n v="117"/>
    <x v="16"/>
    <n v="300.31818181818181"/>
    <n v="0.51505978507643402"/>
    <x v="24"/>
    <n v="281.73333333333335"/>
    <n v="0.61500236630383331"/>
    <d v="2022-05-25T00:00:00"/>
    <x v="267"/>
    <x v="3"/>
    <x v="0"/>
    <x v="0"/>
    <x v="8"/>
  </r>
  <r>
    <n v="329"/>
    <n v="490"/>
    <n v="176"/>
    <n v="3"/>
    <n v="2640"/>
    <x v="87"/>
    <x v="15"/>
    <n v="32"/>
    <x v="11"/>
    <n v="262.63492063492066"/>
    <n v="-0.3298682461017769"/>
    <x v="47"/>
    <n v="271"/>
    <n v="-0.35055350553505538"/>
    <d v="2022-12-27T00:00:00"/>
    <x v="268"/>
    <x v="0"/>
    <x v="1"/>
    <x v="0"/>
    <x v="126"/>
  </r>
  <r>
    <n v="330"/>
    <n v="188"/>
    <n v="154"/>
    <n v="4"/>
    <n v="3080"/>
    <x v="244"/>
    <x v="18"/>
    <n v="187"/>
    <x v="15"/>
    <n v="294.95238095238096"/>
    <n v="-0.47788182111721023"/>
    <x v="74"/>
    <n v="193.5"/>
    <n v="-0.20413436692506459"/>
    <d v="2022-10-14T00:00:00"/>
    <x v="20"/>
    <x v="2"/>
    <x v="0"/>
    <x v="0"/>
    <x v="21"/>
  </r>
  <r>
    <n v="331"/>
    <n v="17"/>
    <n v="212"/>
    <n v="3"/>
    <n v="3180"/>
    <x v="245"/>
    <x v="16"/>
    <n v="111"/>
    <x v="7"/>
    <n v="249.02380952380952"/>
    <n v="-0.14867578162348216"/>
    <x v="7"/>
    <n v="276.21052631578948"/>
    <n v="-0.23246951219512202"/>
    <d v="2022-08-31T00:00:00"/>
    <x v="269"/>
    <x v="0"/>
    <x v="1"/>
    <x v="0"/>
    <x v="85"/>
  </r>
  <r>
    <n v="332"/>
    <n v="405"/>
    <n v="389"/>
    <n v="5"/>
    <n v="9725"/>
    <x v="118"/>
    <x v="6"/>
    <n v="231"/>
    <x v="16"/>
    <n v="300.31818181818181"/>
    <n v="0.29529287119721515"/>
    <x v="51"/>
    <n v="331.16666666666669"/>
    <n v="0.17463512833417205"/>
    <d v="2022-07-10T00:00:00"/>
    <x v="223"/>
    <x v="2"/>
    <x v="0"/>
    <x v="1"/>
    <x v="199"/>
  </r>
  <r>
    <n v="333"/>
    <n v="23"/>
    <n v="476"/>
    <n v="3"/>
    <n v="7140"/>
    <x v="246"/>
    <x v="2"/>
    <n v="283"/>
    <x v="6"/>
    <n v="258.5128205128205"/>
    <n v="0.8413013291013689"/>
    <x v="26"/>
    <n v="216.4"/>
    <n v="1.1996303142329019"/>
    <d v="2022-11-24T00:00:00"/>
    <x v="270"/>
    <x v="4"/>
    <x v="1"/>
    <x v="1"/>
    <x v="110"/>
  </r>
  <r>
    <n v="334"/>
    <n v="99"/>
    <n v="51"/>
    <n v="5"/>
    <n v="1275"/>
    <x v="56"/>
    <x v="8"/>
    <n v="265"/>
    <x v="4"/>
    <n v="250.48780487804879"/>
    <n v="-0.79639727361246349"/>
    <x v="75"/>
    <n v="208"/>
    <n v="-0.75480769230769229"/>
    <d v="2022-07-14T00:00:00"/>
    <x v="51"/>
    <x v="0"/>
    <x v="0"/>
    <x v="1"/>
    <x v="200"/>
  </r>
  <r>
    <n v="335"/>
    <n v="196"/>
    <n v="452"/>
    <n v="2"/>
    <n v="4520"/>
    <x v="209"/>
    <x v="0"/>
    <n v="136"/>
    <x v="17"/>
    <n v="267.85483870967744"/>
    <n v="0.68748118263382896"/>
    <x v="27"/>
    <n v="288.23809523809524"/>
    <n v="0.56814802577234436"/>
    <d v="2022-10-26T00:00:00"/>
    <x v="271"/>
    <x v="3"/>
    <x v="1"/>
    <x v="0"/>
    <x v="93"/>
  </r>
  <r>
    <n v="336"/>
    <n v="415"/>
    <n v="222"/>
    <n v="3"/>
    <n v="3330"/>
    <x v="247"/>
    <x v="17"/>
    <n v="395"/>
    <x v="14"/>
    <n v="273.72549019607845"/>
    <n v="-0.18896848137535827"/>
    <x v="22"/>
    <n v="280.23809523809524"/>
    <n v="-0.20781648258283769"/>
    <d v="2022-11-25T00:00:00"/>
    <x v="272"/>
    <x v="0"/>
    <x v="1"/>
    <x v="1"/>
    <x v="133"/>
  </r>
  <r>
    <n v="337"/>
    <n v="328"/>
    <n v="100"/>
    <n v="1"/>
    <n v="500"/>
    <x v="93"/>
    <x v="5"/>
    <n v="391"/>
    <x v="14"/>
    <n v="273.72549019607845"/>
    <n v="-0.63467048710601714"/>
    <x v="58"/>
    <n v="241.83333333333334"/>
    <n v="-0.58649207443142659"/>
    <d v="2022-04-24T00:00:00"/>
    <x v="18"/>
    <x v="4"/>
    <x v="0"/>
    <x v="0"/>
    <x v="201"/>
  </r>
  <r>
    <n v="338"/>
    <n v="271"/>
    <n v="382"/>
    <n v="1"/>
    <n v="1910"/>
    <x v="248"/>
    <x v="1"/>
    <n v="355"/>
    <x v="11"/>
    <n v="262.63492063492066"/>
    <n v="0.45449051130182516"/>
    <x v="47"/>
    <n v="271"/>
    <n v="0.40959409594095941"/>
    <d v="2022-03-11T00:00:00"/>
    <x v="273"/>
    <x v="2"/>
    <x v="0"/>
    <x v="1"/>
    <x v="202"/>
  </r>
  <r>
    <n v="339"/>
    <n v="204"/>
    <n v="279"/>
    <n v="4"/>
    <n v="5580"/>
    <x v="249"/>
    <x v="4"/>
    <n v="277"/>
    <x v="2"/>
    <n v="283.468085106383"/>
    <n v="-1.5762215717180839E-2"/>
    <x v="2"/>
    <n v="232.44444444444446"/>
    <n v="0.2002868068833652"/>
    <d v="2022-07-08T00:00:00"/>
    <x v="271"/>
    <x v="2"/>
    <x v="0"/>
    <x v="0"/>
    <x v="6"/>
  </r>
  <r>
    <n v="340"/>
    <n v="60"/>
    <n v="500"/>
    <n v="2"/>
    <n v="5000"/>
    <x v="30"/>
    <x v="19"/>
    <n v="145"/>
    <x v="7"/>
    <n v="249.02380952380952"/>
    <n v="1.0078401376804664"/>
    <x v="7"/>
    <n v="276.21052631578948"/>
    <n v="0.8102134146341462"/>
    <d v="2022-04-02T00:00:00"/>
    <x v="161"/>
    <x v="3"/>
    <x v="1"/>
    <x v="1"/>
    <x v="40"/>
  </r>
  <r>
    <n v="341"/>
    <n v="76"/>
    <n v="92"/>
    <n v="2"/>
    <n v="920"/>
    <x v="250"/>
    <x v="0"/>
    <n v="104"/>
    <x v="2"/>
    <n v="283.468085106383"/>
    <n v="-0.67544847256623886"/>
    <x v="2"/>
    <n v="232.44444444444446"/>
    <n v="-0.60420650095602291"/>
    <d v="2022-07-30T00:00:00"/>
    <x v="32"/>
    <x v="0"/>
    <x v="0"/>
    <x v="1"/>
    <x v="32"/>
  </r>
  <r>
    <n v="342"/>
    <n v="201"/>
    <n v="179"/>
    <n v="5"/>
    <n v="4475"/>
    <x v="251"/>
    <x v="6"/>
    <n v="109"/>
    <x v="2"/>
    <n v="283.468085106383"/>
    <n v="-0.36853561510170385"/>
    <x v="36"/>
    <n v="249.5"/>
    <n v="-0.28256513026052099"/>
    <d v="2022-06-20T00:00:00"/>
    <x v="274"/>
    <x v="3"/>
    <x v="0"/>
    <x v="0"/>
    <x v="203"/>
  </r>
  <r>
    <n v="343"/>
    <n v="462"/>
    <n v="209"/>
    <n v="4"/>
    <n v="4180"/>
    <x v="17"/>
    <x v="14"/>
    <n v="369"/>
    <x v="13"/>
    <n v="258.375"/>
    <n v="-0.19109820996613447"/>
    <x v="20"/>
    <n v="269.70588235294116"/>
    <n v="-0.22508178844056703"/>
    <d v="2022-04-27T00:00:00"/>
    <x v="235"/>
    <x v="2"/>
    <x v="0"/>
    <x v="0"/>
    <x v="174"/>
  </r>
  <r>
    <n v="344"/>
    <n v="210"/>
    <n v="486"/>
    <n v="5"/>
    <n v="12150"/>
    <x v="252"/>
    <x v="3"/>
    <n v="78"/>
    <x v="19"/>
    <n v="286.92307692307691"/>
    <n v="0.69383378016085806"/>
    <x v="40"/>
    <n v="273.58333333333331"/>
    <n v="0.77642400243679566"/>
    <d v="2022-04-07T00:00:00"/>
    <x v="8"/>
    <x v="3"/>
    <x v="0"/>
    <x v="0"/>
    <x v="8"/>
  </r>
  <r>
    <n v="345"/>
    <n v="404"/>
    <n v="123"/>
    <n v="1"/>
    <n v="615"/>
    <x v="253"/>
    <x v="12"/>
    <n v="298"/>
    <x v="9"/>
    <n v="263.25423728813558"/>
    <n v="-0.53277105330929686"/>
    <x v="9"/>
    <n v="257.78260869565219"/>
    <n v="-0.52285376960701635"/>
    <d v="2022-09-17T00:00:00"/>
    <x v="275"/>
    <x v="3"/>
    <x v="1"/>
    <x v="0"/>
    <x v="93"/>
  </r>
  <r>
    <n v="346"/>
    <n v="178"/>
    <n v="179"/>
    <n v="1"/>
    <n v="895"/>
    <x v="254"/>
    <x v="13"/>
    <n v="130"/>
    <x v="9"/>
    <n v="263.25423728813558"/>
    <n v="-0.3200489312387329"/>
    <x v="9"/>
    <n v="257.78260869565219"/>
    <n v="-0.30561646146061738"/>
    <d v="2022-10-29T00:00:00"/>
    <x v="276"/>
    <x v="4"/>
    <x v="1"/>
    <x v="1"/>
    <x v="74"/>
  </r>
  <r>
    <n v="347"/>
    <n v="423"/>
    <n v="218"/>
    <n v="3"/>
    <n v="3270"/>
    <x v="255"/>
    <x v="8"/>
    <n v="66"/>
    <x v="14"/>
    <n v="273.72549019607845"/>
    <n v="-0.20358166189111759"/>
    <x v="22"/>
    <n v="280.23809523809524"/>
    <n v="-0.22209005947323701"/>
    <d v="2022-08-04T00:00:00"/>
    <x v="277"/>
    <x v="2"/>
    <x v="0"/>
    <x v="1"/>
    <x v="102"/>
  </r>
  <r>
    <n v="348"/>
    <n v="70"/>
    <n v="51"/>
    <n v="1"/>
    <n v="255"/>
    <x v="121"/>
    <x v="1"/>
    <n v="261"/>
    <x v="13"/>
    <n v="258.375"/>
    <n v="-0.8026124818577649"/>
    <x v="34"/>
    <n v="181.57142857142858"/>
    <n v="-0.71911880409126672"/>
    <d v="2022-10-14T00:00:00"/>
    <x v="278"/>
    <x v="2"/>
    <x v="0"/>
    <x v="0"/>
    <x v="204"/>
  </r>
  <r>
    <n v="349"/>
    <n v="335"/>
    <n v="392"/>
    <n v="5"/>
    <n v="9800"/>
    <x v="256"/>
    <x v="8"/>
    <n v="307"/>
    <x v="16"/>
    <n v="300.31818181818181"/>
    <n v="0.30528227637354322"/>
    <x v="51"/>
    <n v="331.16666666666669"/>
    <n v="0.18369401107196781"/>
    <d v="2022-07-22T00:00:00"/>
    <x v="49"/>
    <x v="1"/>
    <x v="0"/>
    <x v="0"/>
    <x v="197"/>
  </r>
  <r>
    <n v="350"/>
    <n v="427"/>
    <n v="273"/>
    <n v="5"/>
    <n v="6825"/>
    <x v="48"/>
    <x v="14"/>
    <n v="190"/>
    <x v="16"/>
    <n v="300.31818181818181"/>
    <n v="-9.0964128954139523E-2"/>
    <x v="57"/>
    <n v="316.60000000000002"/>
    <n v="-0.13771320277953258"/>
    <d v="2022-05-08T00:00:00"/>
    <x v="279"/>
    <x v="1"/>
    <x v="1"/>
    <x v="1"/>
    <x v="48"/>
  </r>
  <r>
    <n v="351"/>
    <n v="137"/>
    <n v="154"/>
    <n v="1"/>
    <n v="770"/>
    <x v="164"/>
    <x v="16"/>
    <n v="144"/>
    <x v="12"/>
    <n v="274.16279069767444"/>
    <n v="-0.43828993129188232"/>
    <x v="18"/>
    <n v="253.6875"/>
    <n v="-0.39295392953929542"/>
    <d v="2022-05-24T00:00:00"/>
    <x v="218"/>
    <x v="3"/>
    <x v="0"/>
    <x v="0"/>
    <x v="171"/>
  </r>
  <r>
    <n v="352"/>
    <n v="303"/>
    <n v="68"/>
    <n v="4"/>
    <n v="1360"/>
    <x v="36"/>
    <x v="16"/>
    <n v="76"/>
    <x v="12"/>
    <n v="274.16279069767444"/>
    <n v="-0.75197217745355838"/>
    <x v="65"/>
    <n v="258.30769230769232"/>
    <n v="-0.73674806432400242"/>
    <d v="2022-01-14T00:00:00"/>
    <x v="280"/>
    <x v="1"/>
    <x v="0"/>
    <x v="0"/>
    <x v="205"/>
  </r>
  <r>
    <n v="353"/>
    <n v="23"/>
    <n v="380"/>
    <n v="1"/>
    <n v="1900"/>
    <x v="217"/>
    <x v="8"/>
    <n v="84"/>
    <x v="6"/>
    <n v="258.5128205128205"/>
    <n v="0.46994643919857171"/>
    <x v="26"/>
    <n v="216.4"/>
    <n v="0.75600739371534198"/>
    <d v="2022-09-01T00:00:00"/>
    <x v="281"/>
    <x v="4"/>
    <x v="0"/>
    <x v="1"/>
    <x v="206"/>
  </r>
  <r>
    <n v="354"/>
    <n v="398"/>
    <n v="417"/>
    <n v="4"/>
    <n v="8340"/>
    <x v="128"/>
    <x v="15"/>
    <n v="81"/>
    <x v="5"/>
    <n v="268.60344827586209"/>
    <n v="0.55247448488349682"/>
    <x v="5"/>
    <n v="281.96875"/>
    <n v="0.47888728804167124"/>
    <d v="2022-09-21T00:00:00"/>
    <x v="178"/>
    <x v="2"/>
    <x v="0"/>
    <x v="0"/>
    <x v="20"/>
  </r>
  <r>
    <n v="355"/>
    <n v="8"/>
    <n v="404"/>
    <n v="1"/>
    <n v="2020"/>
    <x v="93"/>
    <x v="14"/>
    <n v="157"/>
    <x v="3"/>
    <n v="265.47674418604652"/>
    <n v="0.52179054793920554"/>
    <x v="16"/>
    <n v="276.67567567567568"/>
    <n v="0.46019341603985531"/>
    <d v="2022-08-10T00:00:00"/>
    <x v="282"/>
    <x v="2"/>
    <x v="0"/>
    <x v="1"/>
    <x v="207"/>
  </r>
  <r>
    <n v="356"/>
    <n v="485"/>
    <n v="193"/>
    <n v="1"/>
    <n v="965"/>
    <x v="175"/>
    <x v="12"/>
    <n v="57"/>
    <x v="3"/>
    <n v="265.47674418604652"/>
    <n v="-0.27300600061320135"/>
    <x v="3"/>
    <n v="236.27586206896552"/>
    <n v="-0.18315820198482202"/>
    <d v="2022-04-18T00:00:00"/>
    <x v="123"/>
    <x v="2"/>
    <x v="0"/>
    <x v="1"/>
    <x v="165"/>
  </r>
  <r>
    <n v="357"/>
    <n v="60"/>
    <n v="320"/>
    <n v="4"/>
    <n v="6400"/>
    <x v="257"/>
    <x v="10"/>
    <n v="273"/>
    <x v="7"/>
    <n v="249.02380952380952"/>
    <n v="0.28501768811549866"/>
    <x v="7"/>
    <n v="276.21052631578948"/>
    <n v="0.15853658536585358"/>
    <d v="2022-02-07T00:00:00"/>
    <x v="283"/>
    <x v="0"/>
    <x v="1"/>
    <x v="1"/>
    <x v="94"/>
  </r>
  <r>
    <n v="358"/>
    <n v="290"/>
    <n v="470"/>
    <n v="5"/>
    <n v="11750"/>
    <x v="103"/>
    <x v="12"/>
    <n v="479"/>
    <x v="0"/>
    <n v="252.76271186440678"/>
    <n v="0.85945148528129822"/>
    <x v="0"/>
    <n v="240.5"/>
    <n v="0.95426195426195437"/>
    <d v="2022-08-20T00:00:00"/>
    <x v="284"/>
    <x v="2"/>
    <x v="0"/>
    <x v="0"/>
    <x v="208"/>
  </r>
  <r>
    <n v="359"/>
    <n v="386"/>
    <n v="424"/>
    <n v="3"/>
    <n v="6360"/>
    <x v="218"/>
    <x v="19"/>
    <n v="406"/>
    <x v="18"/>
    <n v="255.11627906976744"/>
    <n v="0.6619872379216043"/>
    <x v="67"/>
    <n v="251.91666666666666"/>
    <n v="0.68309626199139939"/>
    <d v="2022-11-30T00:00:00"/>
    <x v="272"/>
    <x v="3"/>
    <x v="0"/>
    <x v="0"/>
    <x v="209"/>
  </r>
  <r>
    <n v="360"/>
    <n v="348"/>
    <n v="147"/>
    <n v="4"/>
    <n v="2940"/>
    <x v="201"/>
    <x v="14"/>
    <n v="157"/>
    <x v="14"/>
    <n v="273.72549019607845"/>
    <n v="-0.4629656160458453"/>
    <x v="63"/>
    <n v="266.27272727272725"/>
    <n v="-0.44793444861727549"/>
    <d v="2022-08-10T00:00:00"/>
    <x v="16"/>
    <x v="2"/>
    <x v="1"/>
    <x v="1"/>
    <x v="207"/>
  </r>
  <r>
    <n v="361"/>
    <n v="350"/>
    <n v="319"/>
    <n v="3"/>
    <n v="4785"/>
    <x v="258"/>
    <x v="0"/>
    <n v="56"/>
    <x v="12"/>
    <n v="274.16279069767444"/>
    <n v="0.16354228518110103"/>
    <x v="50"/>
    <n v="280.66666666666669"/>
    <n v="0.13657957244655572"/>
    <d v="2022-04-11T00:00:00"/>
    <x v="285"/>
    <x v="4"/>
    <x v="0"/>
    <x v="1"/>
    <x v="210"/>
  </r>
  <r>
    <n v="362"/>
    <n v="126"/>
    <n v="479"/>
    <n v="2"/>
    <n v="4790"/>
    <x v="210"/>
    <x v="16"/>
    <n v="10"/>
    <x v="0"/>
    <n v="252.76271186440678"/>
    <n v="0.89505800308455719"/>
    <x v="45"/>
    <n v="293.41176470588238"/>
    <n v="0.63251804330392924"/>
    <d v="2022-11-16T00:00:00"/>
    <x v="286"/>
    <x v="3"/>
    <x v="0"/>
    <x v="1"/>
    <x v="2"/>
  </r>
  <r>
    <n v="363"/>
    <n v="258"/>
    <n v="181"/>
    <n v="5"/>
    <n v="4525"/>
    <x v="259"/>
    <x v="19"/>
    <n v="174"/>
    <x v="6"/>
    <n v="258.5128205128205"/>
    <n v="-0.29984130132910136"/>
    <x v="26"/>
    <n v="216.4"/>
    <n v="-0.16358595194085035"/>
    <d v="2022-08-06T00:00:00"/>
    <x v="287"/>
    <x v="4"/>
    <x v="0"/>
    <x v="0"/>
    <x v="211"/>
  </r>
  <r>
    <n v="364"/>
    <n v="325"/>
    <n v="361"/>
    <n v="5"/>
    <n v="9025"/>
    <x v="244"/>
    <x v="3"/>
    <n v="110"/>
    <x v="5"/>
    <n v="268.60344827586209"/>
    <n v="0.34398870274086901"/>
    <x v="28"/>
    <n v="242.81818181818181"/>
    <n v="0.48670909771621118"/>
    <d v="2022-01-19T00:00:00"/>
    <x v="288"/>
    <x v="0"/>
    <x v="1"/>
    <x v="1"/>
    <x v="176"/>
  </r>
  <r>
    <n v="365"/>
    <n v="320"/>
    <n v="254"/>
    <n v="1"/>
    <n v="1270"/>
    <x v="72"/>
    <x v="11"/>
    <n v="72"/>
    <x v="17"/>
    <n v="267.85483870967744"/>
    <n v="-5.172517613054739E-2"/>
    <x v="35"/>
    <n v="250.25925925925927"/>
    <n v="1.494746189137186E-2"/>
    <d v="2022-12-11T00:00:00"/>
    <x v="289"/>
    <x v="4"/>
    <x v="0"/>
    <x v="0"/>
    <x v="212"/>
  </r>
  <r>
    <n v="366"/>
    <n v="329"/>
    <n v="187"/>
    <n v="4"/>
    <n v="3740"/>
    <x v="260"/>
    <x v="12"/>
    <n v="307"/>
    <x v="1"/>
    <n v="264.8679245283019"/>
    <n v="-0.29398774754238499"/>
    <x v="64"/>
    <n v="236.91666666666666"/>
    <n v="-0.21069293000351741"/>
    <d v="2022-07-22T00:00:00"/>
    <x v="174"/>
    <x v="1"/>
    <x v="1"/>
    <x v="0"/>
    <x v="197"/>
  </r>
  <r>
    <n v="367"/>
    <n v="226"/>
    <n v="155"/>
    <n v="4"/>
    <n v="3100"/>
    <x v="167"/>
    <x v="13"/>
    <n v="202"/>
    <x v="11"/>
    <n v="262.63492063492066"/>
    <n v="-0.40982714855554214"/>
    <x v="17"/>
    <n v="311.33333333333331"/>
    <n v="-0.50214132762312635"/>
    <d v="2022-07-24T00:00:00"/>
    <x v="290"/>
    <x v="1"/>
    <x v="1"/>
    <x v="1"/>
    <x v="65"/>
  </r>
  <r>
    <n v="368"/>
    <n v="270"/>
    <n v="78"/>
    <n v="4"/>
    <n v="1560"/>
    <x v="261"/>
    <x v="16"/>
    <n v="157"/>
    <x v="1"/>
    <n v="264.8679245283019"/>
    <n v="-0.70551360592677015"/>
    <x v="64"/>
    <n v="236.91666666666666"/>
    <n v="-0.67077031304959545"/>
    <d v="2022-08-10T00:00:00"/>
    <x v="291"/>
    <x v="2"/>
    <x v="1"/>
    <x v="1"/>
    <x v="207"/>
  </r>
  <r>
    <n v="369"/>
    <n v="233"/>
    <n v="478"/>
    <n v="2"/>
    <n v="4780"/>
    <x v="37"/>
    <x v="14"/>
    <n v="270"/>
    <x v="9"/>
    <n v="263.25423728813558"/>
    <n v="0.8157352562451714"/>
    <x v="9"/>
    <n v="257.78260869565219"/>
    <n v="0.85427559453533464"/>
    <d v="2022-09-23T00:00:00"/>
    <x v="14"/>
    <x v="4"/>
    <x v="1"/>
    <x v="0"/>
    <x v="41"/>
  </r>
  <r>
    <n v="370"/>
    <n v="178"/>
    <n v="176"/>
    <n v="5"/>
    <n v="4400"/>
    <x v="87"/>
    <x v="9"/>
    <n v="65"/>
    <x v="9"/>
    <n v="263.25423728813558"/>
    <n v="-0.33144475920679883"/>
    <x v="9"/>
    <n v="257.78260869565219"/>
    <n v="-0.31725417439703152"/>
    <d v="2022-03-03T00:00:00"/>
    <x v="41"/>
    <x v="3"/>
    <x v="1"/>
    <x v="1"/>
    <x v="141"/>
  </r>
  <r>
    <n v="371"/>
    <n v="293"/>
    <n v="179"/>
    <n v="4"/>
    <n v="3580"/>
    <x v="240"/>
    <x v="3"/>
    <n v="38"/>
    <x v="17"/>
    <n v="267.85483870967744"/>
    <n v="-0.33172758475341724"/>
    <x v="35"/>
    <n v="250.25925925925927"/>
    <n v="-0.28474174929702534"/>
    <d v="2022-09-15T00:00:00"/>
    <x v="52"/>
    <x v="4"/>
    <x v="0"/>
    <x v="1"/>
    <x v="213"/>
  </r>
  <r>
    <n v="372"/>
    <n v="286"/>
    <n v="122"/>
    <n v="5"/>
    <n v="3050"/>
    <x v="191"/>
    <x v="5"/>
    <n v="356"/>
    <x v="9"/>
    <n v="263.25423728813558"/>
    <n v="-0.53656966263198558"/>
    <x v="9"/>
    <n v="257.78260869565219"/>
    <n v="-0.52673300725248784"/>
    <d v="2022-01-09T00:00:00"/>
    <x v="292"/>
    <x v="4"/>
    <x v="1"/>
    <x v="1"/>
    <x v="87"/>
  </r>
  <r>
    <n v="373"/>
    <n v="11"/>
    <n v="199"/>
    <n v="4"/>
    <n v="3980"/>
    <x v="262"/>
    <x v="9"/>
    <n v="296"/>
    <x v="16"/>
    <n v="300.31818181818181"/>
    <n v="-0.33736945663690021"/>
    <x v="57"/>
    <n v="316.60000000000002"/>
    <n v="-0.37144662034112452"/>
    <d v="2022-07-16T00:00:00"/>
    <x v="138"/>
    <x v="0"/>
    <x v="1"/>
    <x v="1"/>
    <x v="120"/>
  </r>
  <r>
    <n v="374"/>
    <n v="441"/>
    <n v="173"/>
    <n v="3"/>
    <n v="2595"/>
    <x v="6"/>
    <x v="6"/>
    <n v="62"/>
    <x v="8"/>
    <n v="271.18181818181819"/>
    <n v="-0.36205162587998663"/>
    <x v="14"/>
    <n v="260.15789473684208"/>
    <n v="-0.33501921909771393"/>
    <d v="2022-04-20T00:00:00"/>
    <x v="108"/>
    <x v="2"/>
    <x v="1"/>
    <x v="1"/>
    <x v="156"/>
  </r>
  <r>
    <n v="375"/>
    <n v="19"/>
    <n v="142"/>
    <n v="3"/>
    <n v="2130"/>
    <x v="211"/>
    <x v="2"/>
    <n v="18"/>
    <x v="10"/>
    <n v="271.74545454545455"/>
    <n v="-0.47745216111334132"/>
    <x v="37"/>
    <n v="272.35294117647061"/>
    <n v="-0.47861771058315339"/>
    <d v="2022-01-17T00:00:00"/>
    <x v="293"/>
    <x v="3"/>
    <x v="0"/>
    <x v="1"/>
    <x v="214"/>
  </r>
  <r>
    <n v="376"/>
    <n v="340"/>
    <n v="157"/>
    <n v="2"/>
    <n v="1570"/>
    <x v="263"/>
    <x v="10"/>
    <n v="376"/>
    <x v="11"/>
    <n v="262.63492063492066"/>
    <n v="-0.40221201498851689"/>
    <x v="17"/>
    <n v="311.33333333333331"/>
    <n v="-0.49571734475374729"/>
    <d v="2022-06-18T00:00:00"/>
    <x v="294"/>
    <x v="1"/>
    <x v="1"/>
    <x v="0"/>
    <x v="130"/>
  </r>
  <r>
    <n v="377"/>
    <n v="142"/>
    <n v="160"/>
    <n v="4"/>
    <n v="3200"/>
    <x v="29"/>
    <x v="2"/>
    <n v="459"/>
    <x v="12"/>
    <n v="274.16279069767444"/>
    <n v="-0.41640512342013747"/>
    <x v="65"/>
    <n v="258.30769230769232"/>
    <n v="-0.3805836807623586"/>
    <d v="2022-07-01T00:00:00"/>
    <x v="116"/>
    <x v="2"/>
    <x v="1"/>
    <x v="0"/>
    <x v="72"/>
  </r>
  <r>
    <n v="378"/>
    <n v="452"/>
    <n v="325"/>
    <n v="2"/>
    <n v="3250"/>
    <x v="264"/>
    <x v="7"/>
    <n v="88"/>
    <x v="12"/>
    <n v="274.16279069767444"/>
    <n v="0.18542709305284588"/>
    <x v="18"/>
    <n v="253.6875"/>
    <n v="0.28110372012811036"/>
    <d v="2022-03-10T00:00:00"/>
    <x v="295"/>
    <x v="3"/>
    <x v="0"/>
    <x v="0"/>
    <x v="83"/>
  </r>
  <r>
    <n v="379"/>
    <n v="340"/>
    <n v="457"/>
    <n v="1"/>
    <n v="2285"/>
    <x v="212"/>
    <x v="5"/>
    <n v="325"/>
    <x v="11"/>
    <n v="262.63492063492066"/>
    <n v="0.74005802006527244"/>
    <x v="17"/>
    <n v="311.33333333333331"/>
    <n v="0.4678800856531049"/>
    <d v="2022-11-10T00:00:00"/>
    <x v="296"/>
    <x v="4"/>
    <x v="1"/>
    <x v="1"/>
    <x v="123"/>
  </r>
  <r>
    <n v="380"/>
    <n v="466"/>
    <n v="425"/>
    <n v="5"/>
    <n v="10625"/>
    <x v="265"/>
    <x v="13"/>
    <n v="129"/>
    <x v="12"/>
    <n v="274.16279069767444"/>
    <n v="0.55017389091525981"/>
    <x v="76"/>
    <n v="369.2"/>
    <n v="0.15113759479956657"/>
    <d v="2022-11-03T00:00:00"/>
    <x v="34"/>
    <x v="1"/>
    <x v="0"/>
    <x v="1"/>
    <x v="116"/>
  </r>
  <r>
    <n v="381"/>
    <n v="71"/>
    <n v="125"/>
    <n v="4"/>
    <n v="2500"/>
    <x v="248"/>
    <x v="9"/>
    <n v="19"/>
    <x v="2"/>
    <n v="283.468085106383"/>
    <n v="-0.55903325076934629"/>
    <x v="36"/>
    <n v="249.5"/>
    <n v="-0.49899799599198402"/>
    <d v="2022-12-07T00:00:00"/>
    <x v="297"/>
    <x v="2"/>
    <x v="0"/>
    <x v="0"/>
    <x v="192"/>
  </r>
  <r>
    <n v="382"/>
    <n v="451"/>
    <n v="227"/>
    <n v="3"/>
    <n v="3405"/>
    <x v="266"/>
    <x v="10"/>
    <n v="304"/>
    <x v="13"/>
    <n v="258.375"/>
    <n v="-0.12143202709240442"/>
    <x v="20"/>
    <n v="269.70588235294116"/>
    <n v="-0.15834242093784068"/>
    <d v="2022-11-21T00:00:00"/>
    <x v="298"/>
    <x v="2"/>
    <x v="0"/>
    <x v="1"/>
    <x v="215"/>
  </r>
  <r>
    <n v="383"/>
    <n v="116"/>
    <n v="426"/>
    <n v="5"/>
    <n v="10650"/>
    <x v="69"/>
    <x v="17"/>
    <n v="285"/>
    <x v="1"/>
    <n v="264.8679245283019"/>
    <n v="0.60834876763071666"/>
    <x v="13"/>
    <n v="320.84615384615387"/>
    <n v="0.32773915128266595"/>
    <d v="2022-12-27T00:00:00"/>
    <x v="299"/>
    <x v="4"/>
    <x v="0"/>
    <x v="1"/>
    <x v="216"/>
  </r>
  <r>
    <n v="384"/>
    <n v="480"/>
    <n v="70"/>
    <n v="1"/>
    <n v="350"/>
    <x v="212"/>
    <x v="2"/>
    <n v="464"/>
    <x v="15"/>
    <n v="294.95238095238096"/>
    <n v="-0.76267355505327739"/>
    <x v="53"/>
    <n v="322.54545454545456"/>
    <n v="-0.78297632468996614"/>
    <d v="2022-09-23T00:00:00"/>
    <x v="300"/>
    <x v="2"/>
    <x v="1"/>
    <x v="1"/>
    <x v="116"/>
  </r>
  <r>
    <n v="385"/>
    <n v="409"/>
    <n v="386"/>
    <n v="1"/>
    <n v="1930"/>
    <x v="231"/>
    <x v="5"/>
    <n v="461"/>
    <x v="12"/>
    <n v="274.16279069767444"/>
    <n v="0.4079226397489184"/>
    <x v="65"/>
    <n v="258.30769230769232"/>
    <n v="0.49434187016080999"/>
    <d v="2022-04-16T00:00:00"/>
    <x v="275"/>
    <x v="0"/>
    <x v="0"/>
    <x v="0"/>
    <x v="93"/>
  </r>
  <r>
    <n v="386"/>
    <n v="129"/>
    <n v="235"/>
    <n v="2"/>
    <n v="2350"/>
    <x v="267"/>
    <x v="2"/>
    <n v="149"/>
    <x v="10"/>
    <n v="271.74545454545455"/>
    <n v="-0.13522012578616349"/>
    <x v="10"/>
    <n v="311.2"/>
    <n v="-0.24485861182519275"/>
    <d v="2022-11-17T00:00:00"/>
    <x v="301"/>
    <x v="4"/>
    <x v="1"/>
    <x v="0"/>
    <x v="102"/>
  </r>
  <r>
    <n v="387"/>
    <n v="283"/>
    <n v="107"/>
    <n v="3"/>
    <n v="1605"/>
    <x v="152"/>
    <x v="10"/>
    <n v="222"/>
    <x v="17"/>
    <n v="267.85483870967744"/>
    <n v="-0.60052989703137238"/>
    <x v="27"/>
    <n v="288.23809523809524"/>
    <n v="-0.62877911779283002"/>
    <d v="2022-05-13T00:00:00"/>
    <x v="302"/>
    <x v="3"/>
    <x v="1"/>
    <x v="0"/>
    <x v="50"/>
  </r>
  <r>
    <n v="388"/>
    <n v="36"/>
    <n v="83"/>
    <n v="4"/>
    <n v="1660"/>
    <x v="176"/>
    <x v="5"/>
    <n v="333"/>
    <x v="3"/>
    <n v="265.47674418604652"/>
    <n v="-0.6873549121808068"/>
    <x v="29"/>
    <n v="235.55555555555554"/>
    <n v="-0.64764150943396226"/>
    <d v="2022-10-23T00:00:00"/>
    <x v="11"/>
    <x v="2"/>
    <x v="1"/>
    <x v="0"/>
    <x v="92"/>
  </r>
  <r>
    <n v="389"/>
    <n v="290"/>
    <n v="50"/>
    <n v="5"/>
    <n v="1250"/>
    <x v="268"/>
    <x v="9"/>
    <n v="495"/>
    <x v="0"/>
    <n v="252.76271186440678"/>
    <n v="-0.80218601220411723"/>
    <x v="0"/>
    <n v="240.5"/>
    <n v="-0.79209979209979209"/>
    <d v="2022-04-03T00:00:00"/>
    <x v="303"/>
    <x v="0"/>
    <x v="1"/>
    <x v="0"/>
    <x v="10"/>
  </r>
  <r>
    <n v="390"/>
    <n v="229"/>
    <n v="269"/>
    <n v="5"/>
    <n v="6725"/>
    <x v="199"/>
    <x v="6"/>
    <n v="278"/>
    <x v="10"/>
    <n v="271.74545454545455"/>
    <n v="-1.0103037602034015E-2"/>
    <x v="12"/>
    <n v="212.8125"/>
    <n v="0.26402349486049936"/>
    <d v="2022-12-25T00:00:00"/>
    <x v="62"/>
    <x v="0"/>
    <x v="0"/>
    <x v="1"/>
    <x v="217"/>
  </r>
  <r>
    <n v="391"/>
    <n v="313"/>
    <n v="385"/>
    <n v="4"/>
    <n v="7700"/>
    <x v="269"/>
    <x v="10"/>
    <n v="246"/>
    <x v="17"/>
    <n v="267.85483870967744"/>
    <n v="0.43734569759739861"/>
    <x v="35"/>
    <n v="250.25925925925927"/>
    <n v="0.53840461743377244"/>
    <d v="2022-09-01T00:00:00"/>
    <x v="304"/>
    <x v="0"/>
    <x v="0"/>
    <x v="1"/>
    <x v="218"/>
  </r>
  <r>
    <n v="392"/>
    <n v="368"/>
    <n v="64"/>
    <n v="5"/>
    <n v="1600"/>
    <x v="270"/>
    <x v="4"/>
    <n v="480"/>
    <x v="11"/>
    <n v="262.63492063492066"/>
    <n v="-0.75631572585519158"/>
    <x v="47"/>
    <n v="271"/>
    <n v="-0.76383763837638374"/>
    <d v="2022-01-07T00:00:00"/>
    <x v="305"/>
    <x v="0"/>
    <x v="1"/>
    <x v="0"/>
    <x v="182"/>
  </r>
  <r>
    <n v="393"/>
    <n v="322"/>
    <n v="223"/>
    <n v="2"/>
    <n v="2230"/>
    <x v="271"/>
    <x v="7"/>
    <n v="205"/>
    <x v="18"/>
    <n v="255.11627906976744"/>
    <n v="-0.1258887876025524"/>
    <x v="67"/>
    <n v="251.91666666666666"/>
    <n v="-0.11478663579225934"/>
    <d v="2022-12-23T00:00:00"/>
    <x v="260"/>
    <x v="2"/>
    <x v="0"/>
    <x v="0"/>
    <x v="155"/>
  </r>
  <r>
    <n v="394"/>
    <n v="206"/>
    <n v="226"/>
    <n v="2"/>
    <n v="2260"/>
    <x v="131"/>
    <x v="7"/>
    <n v="357"/>
    <x v="15"/>
    <n v="294.95238095238096"/>
    <n v="-0.23377462060058118"/>
    <x v="41"/>
    <n v="274.77777777777777"/>
    <n v="-0.17751718560452889"/>
    <d v="2022-12-18T00:00:00"/>
    <x v="202"/>
    <x v="0"/>
    <x v="0"/>
    <x v="0"/>
    <x v="219"/>
  </r>
  <r>
    <n v="395"/>
    <n v="18"/>
    <n v="459"/>
    <n v="3"/>
    <n v="6885"/>
    <x v="272"/>
    <x v="8"/>
    <n v="152"/>
    <x v="6"/>
    <n v="258.5128205128205"/>
    <n v="0.77554056734774868"/>
    <x v="6"/>
    <n v="260.64705882352939"/>
    <n v="0.76100203114421139"/>
    <d v="2022-08-18T00:00:00"/>
    <x v="273"/>
    <x v="1"/>
    <x v="0"/>
    <x v="1"/>
    <x v="220"/>
  </r>
  <r>
    <n v="396"/>
    <n v="145"/>
    <n v="455"/>
    <n v="3"/>
    <n v="6825"/>
    <x v="273"/>
    <x v="14"/>
    <n v="323"/>
    <x v="4"/>
    <n v="250.48780487804879"/>
    <n v="0.81645569620253156"/>
    <x v="75"/>
    <n v="208"/>
    <n v="1.1875"/>
    <d v="2022-09-17T00:00:00"/>
    <x v="306"/>
    <x v="4"/>
    <x v="0"/>
    <x v="0"/>
    <x v="19"/>
  </r>
  <r>
    <n v="397"/>
    <n v="491"/>
    <n v="193"/>
    <n v="1"/>
    <n v="965"/>
    <x v="274"/>
    <x v="6"/>
    <n v="185"/>
    <x v="4"/>
    <n v="250.48780487804879"/>
    <n v="-0.2295034079844207"/>
    <x v="4"/>
    <n v="159.19999999999999"/>
    <n v="0.21231155778894473"/>
    <d v="2022-05-02T00:00:00"/>
    <x v="307"/>
    <x v="0"/>
    <x v="0"/>
    <x v="1"/>
    <x v="221"/>
  </r>
  <r>
    <n v="398"/>
    <n v="258"/>
    <n v="113"/>
    <n v="1"/>
    <n v="565"/>
    <x v="148"/>
    <x v="16"/>
    <n v="314"/>
    <x v="6"/>
    <n v="258.5128205128205"/>
    <n v="-0.56288434834358259"/>
    <x v="26"/>
    <n v="216.4"/>
    <n v="-0.47781885397412205"/>
    <d v="2022-12-04T00:00:00"/>
    <x v="24"/>
    <x v="2"/>
    <x v="0"/>
    <x v="1"/>
    <x v="25"/>
  </r>
  <r>
    <n v="399"/>
    <n v="29"/>
    <n v="91"/>
    <n v="5"/>
    <n v="2275"/>
    <x v="275"/>
    <x v="0"/>
    <n v="476"/>
    <x v="1"/>
    <n v="264.8679245283019"/>
    <n v="-0.65643254024789854"/>
    <x v="1"/>
    <n v="238.16666666666666"/>
    <n v="-0.61791462561231625"/>
    <d v="2022-05-22T00:00:00"/>
    <x v="308"/>
    <x v="3"/>
    <x v="0"/>
    <x v="0"/>
    <x v="222"/>
  </r>
  <r>
    <n v="400"/>
    <n v="321"/>
    <n v="61"/>
    <n v="5"/>
    <n v="1525"/>
    <x v="42"/>
    <x v="12"/>
    <n v="375"/>
    <x v="10"/>
    <n v="271.74545454545455"/>
    <n v="-0.77552522414023817"/>
    <x v="12"/>
    <n v="212.8125"/>
    <n v="-0.71336270190895745"/>
    <d v="2022-04-23T00:00:00"/>
    <x v="230"/>
    <x v="2"/>
    <x v="0"/>
    <x v="0"/>
    <x v="223"/>
  </r>
  <r>
    <n v="401"/>
    <n v="50"/>
    <n v="95"/>
    <n v="4"/>
    <n v="1900"/>
    <x v="129"/>
    <x v="12"/>
    <n v="376"/>
    <x v="5"/>
    <n v="268.60344827586209"/>
    <n v="-0.64631876243661335"/>
    <x v="28"/>
    <n v="242.81818181818181"/>
    <n v="-0.60876076375889177"/>
    <d v="2022-06-18T00:00:00"/>
    <x v="12"/>
    <x v="1"/>
    <x v="1"/>
    <x v="0"/>
    <x v="130"/>
  </r>
  <r>
    <n v="402"/>
    <n v="495"/>
    <n v="469"/>
    <n v="2"/>
    <n v="4690"/>
    <x v="27"/>
    <x v="16"/>
    <n v="233"/>
    <x v="8"/>
    <n v="271.18181818181819"/>
    <n v="0.72946697955078776"/>
    <x v="8"/>
    <n v="291.45454545454544"/>
    <n v="0.60917030567685604"/>
    <d v="2022-02-24T00:00:00"/>
    <x v="309"/>
    <x v="4"/>
    <x v="0"/>
    <x v="0"/>
    <x v="83"/>
  </r>
  <r>
    <n v="403"/>
    <n v="207"/>
    <n v="237"/>
    <n v="2"/>
    <n v="2370"/>
    <x v="138"/>
    <x v="3"/>
    <n v="69"/>
    <x v="0"/>
    <n v="252.76271186440678"/>
    <n v="-6.2361697847515551E-2"/>
    <x v="68"/>
    <n v="215.85714285714286"/>
    <n v="9.7948378557246807E-2"/>
    <d v="2022-01-26T00:00:00"/>
    <x v="117"/>
    <x v="4"/>
    <x v="0"/>
    <x v="1"/>
    <x v="224"/>
  </r>
  <r>
    <n v="404"/>
    <n v="145"/>
    <n v="356"/>
    <n v="3"/>
    <n v="5340"/>
    <x v="276"/>
    <x v="0"/>
    <n v="254"/>
    <x v="4"/>
    <n v="250.48780487804879"/>
    <n v="0.42122687439143136"/>
    <x v="75"/>
    <n v="208"/>
    <n v="0.71153846153846145"/>
    <d v="2022-10-28T00:00:00"/>
    <x v="310"/>
    <x v="1"/>
    <x v="0"/>
    <x v="0"/>
    <x v="225"/>
  </r>
  <r>
    <n v="405"/>
    <n v="249"/>
    <n v="275"/>
    <n v="3"/>
    <n v="4125"/>
    <x v="103"/>
    <x v="15"/>
    <n v="219"/>
    <x v="8"/>
    <n v="271.18181818181819"/>
    <n v="1.4079785450888282E-2"/>
    <x v="14"/>
    <n v="260.15789473684208"/>
    <n v="5.7050374266639725E-2"/>
    <d v="2022-01-24T00:00:00"/>
    <x v="311"/>
    <x v="4"/>
    <x v="0"/>
    <x v="0"/>
    <x v="226"/>
  </r>
  <r>
    <n v="406"/>
    <n v="377"/>
    <n v="129"/>
    <n v="1"/>
    <n v="645"/>
    <x v="277"/>
    <x v="4"/>
    <n v="456"/>
    <x v="19"/>
    <n v="286.92307692307691"/>
    <n v="-0.55040214477211791"/>
    <x v="40"/>
    <n v="273.58333333333331"/>
    <n v="-0.52848004873591226"/>
    <d v="2022-02-26T00:00:00"/>
    <x v="15"/>
    <x v="2"/>
    <x v="1"/>
    <x v="0"/>
    <x v="175"/>
  </r>
  <r>
    <n v="407"/>
    <n v="427"/>
    <n v="499"/>
    <n v="4"/>
    <n v="9980"/>
    <x v="27"/>
    <x v="15"/>
    <n v="283"/>
    <x v="16"/>
    <n v="300.31818181818181"/>
    <n v="0.66157106099591356"/>
    <x v="57"/>
    <n v="316.60000000000002"/>
    <n v="0.57612128869235613"/>
    <d v="2022-11-24T00:00:00"/>
    <x v="312"/>
    <x v="4"/>
    <x v="1"/>
    <x v="1"/>
    <x v="110"/>
  </r>
  <r>
    <n v="408"/>
    <n v="445"/>
    <n v="164"/>
    <n v="2"/>
    <n v="1640"/>
    <x v="240"/>
    <x v="7"/>
    <n v="232"/>
    <x v="0"/>
    <n v="252.76271186440678"/>
    <n v="-0.35117012002950443"/>
    <x v="11"/>
    <n v="240.26666666666668"/>
    <n v="-0.31742508324084351"/>
    <d v="2022-12-28T00:00:00"/>
    <x v="187"/>
    <x v="4"/>
    <x v="0"/>
    <x v="0"/>
    <x v="227"/>
  </r>
  <r>
    <n v="409"/>
    <n v="336"/>
    <n v="265"/>
    <n v="3"/>
    <n v="3975"/>
    <x v="278"/>
    <x v="1"/>
    <n v="434"/>
    <x v="14"/>
    <n v="273.72549019607845"/>
    <n v="-3.1876790830945634E-2"/>
    <x v="63"/>
    <n v="266.27272727272725"/>
    <n v="-4.7797883236598837E-3"/>
    <d v="2022-06-18T00:00:00"/>
    <x v="281"/>
    <x v="3"/>
    <x v="1"/>
    <x v="1"/>
    <x v="130"/>
  </r>
  <r>
    <n v="410"/>
    <n v="96"/>
    <n v="386"/>
    <n v="4"/>
    <n v="7720"/>
    <x v="279"/>
    <x v="9"/>
    <n v="252"/>
    <x v="1"/>
    <n v="264.8679245283019"/>
    <n v="0.45733010400341922"/>
    <x v="69"/>
    <n v="273.7"/>
    <n v="0.41030325173547677"/>
    <d v="2022-03-23T00:00:00"/>
    <x v="313"/>
    <x v="2"/>
    <x v="1"/>
    <x v="1"/>
    <x v="22"/>
  </r>
  <r>
    <n v="411"/>
    <n v="117"/>
    <n v="288"/>
    <n v="5"/>
    <n v="7200"/>
    <x v="280"/>
    <x v="11"/>
    <n v="372"/>
    <x v="3"/>
    <n v="265.47674418604652"/>
    <n v="8.4840786649730715E-2"/>
    <x v="29"/>
    <n v="235.55555555555554"/>
    <n v="0.22264150943396244"/>
    <d v="2022-07-30T00:00:00"/>
    <x v="210"/>
    <x v="4"/>
    <x v="0"/>
    <x v="1"/>
    <x v="228"/>
  </r>
  <r>
    <n v="412"/>
    <n v="440"/>
    <n v="201"/>
    <n v="5"/>
    <n v="5025"/>
    <x v="281"/>
    <x v="14"/>
    <n v="432"/>
    <x v="12"/>
    <n v="274.16279069767444"/>
    <n v="-0.26685893629654767"/>
    <x v="65"/>
    <n v="258.30769230769232"/>
    <n v="-0.221858248957713"/>
    <d v="2022-06-06T00:00:00"/>
    <x v="314"/>
    <x v="4"/>
    <x v="0"/>
    <x v="1"/>
    <x v="229"/>
  </r>
  <r>
    <n v="413"/>
    <n v="51"/>
    <n v="271"/>
    <n v="4"/>
    <n v="5420"/>
    <x v="282"/>
    <x v="7"/>
    <n v="221"/>
    <x v="19"/>
    <n v="286.92307692307691"/>
    <n v="-5.5495978552278724E-2"/>
    <x v="42"/>
    <n v="312.66666666666669"/>
    <n v="-0.13326226012793185"/>
    <d v="2022-09-16T00:00:00"/>
    <x v="86"/>
    <x v="4"/>
    <x v="0"/>
    <x v="0"/>
    <x v="230"/>
  </r>
  <r>
    <n v="414"/>
    <n v="398"/>
    <n v="419"/>
    <n v="2"/>
    <n v="4190"/>
    <x v="165"/>
    <x v="16"/>
    <n v="164"/>
    <x v="5"/>
    <n v="268.60344827586209"/>
    <n v="0.55992040567430501"/>
    <x v="5"/>
    <n v="281.96875"/>
    <n v="0.48598027263659538"/>
    <d v="2022-04-27T00:00:00"/>
    <x v="315"/>
    <x v="2"/>
    <x v="1"/>
    <x v="1"/>
    <x v="15"/>
  </r>
  <r>
    <n v="415"/>
    <n v="443"/>
    <n v="192"/>
    <n v="5"/>
    <n v="4800"/>
    <x v="108"/>
    <x v="14"/>
    <n v="413"/>
    <x v="7"/>
    <n v="249.02380952380952"/>
    <n v="-0.22898938713070083"/>
    <x v="7"/>
    <n v="276.21052631578948"/>
    <n v="-0.30487804878048785"/>
    <d v="2022-05-18T00:00:00"/>
    <x v="217"/>
    <x v="2"/>
    <x v="1"/>
    <x v="1"/>
    <x v="9"/>
  </r>
  <r>
    <n v="416"/>
    <n v="118"/>
    <n v="193"/>
    <n v="2"/>
    <n v="1930"/>
    <x v="53"/>
    <x v="3"/>
    <n v="148"/>
    <x v="0"/>
    <n v="252.76271186440678"/>
    <n v="-0.23643800710789242"/>
    <x v="0"/>
    <n v="240.5"/>
    <n v="-0.19750519750519746"/>
    <d v="2022-05-19T00:00:00"/>
    <x v="316"/>
    <x v="2"/>
    <x v="0"/>
    <x v="0"/>
    <x v="87"/>
  </r>
  <r>
    <n v="417"/>
    <n v="371"/>
    <n v="245"/>
    <n v="1"/>
    <n v="1225"/>
    <x v="225"/>
    <x v="19"/>
    <n v="209"/>
    <x v="0"/>
    <n v="252.76271186440678"/>
    <n v="-3.0711459800174312E-2"/>
    <x v="45"/>
    <n v="293.41176470588238"/>
    <n v="-0.1649959903769046"/>
    <d v="2022-03-08T00:00:00"/>
    <x v="317"/>
    <x v="2"/>
    <x v="0"/>
    <x v="1"/>
    <x v="132"/>
  </r>
  <r>
    <n v="418"/>
    <n v="216"/>
    <n v="209"/>
    <n v="3"/>
    <n v="3135"/>
    <x v="283"/>
    <x v="8"/>
    <n v="263"/>
    <x v="7"/>
    <n v="249.02380952380952"/>
    <n v="-0.16072282244956493"/>
    <x v="39"/>
    <n v="222.2"/>
    <n v="-5.9405940594059348E-2"/>
    <d v="2022-02-20T00:00:00"/>
    <x v="318"/>
    <x v="4"/>
    <x v="0"/>
    <x v="0"/>
    <x v="231"/>
  </r>
  <r>
    <n v="419"/>
    <n v="390"/>
    <n v="120"/>
    <n v="1"/>
    <n v="600"/>
    <x v="105"/>
    <x v="6"/>
    <n v="449"/>
    <x v="5"/>
    <n v="268.60344827586209"/>
    <n v="-0.55324475255151162"/>
    <x v="32"/>
    <n v="254.18181818181819"/>
    <n v="-0.52789699570815452"/>
    <d v="2022-03-25T00:00:00"/>
    <x v="319"/>
    <x v="4"/>
    <x v="1"/>
    <x v="1"/>
    <x v="64"/>
  </r>
  <r>
    <n v="420"/>
    <n v="14"/>
    <n v="251"/>
    <n v="1"/>
    <n v="1255"/>
    <x v="79"/>
    <x v="15"/>
    <n v="321"/>
    <x v="5"/>
    <n v="268.60344827586209"/>
    <n v="-6.5536940753578632E-2"/>
    <x v="49"/>
    <n v="272.25"/>
    <n v="-7.8053259871441738E-2"/>
    <d v="2022-07-14T00:00:00"/>
    <x v="84"/>
    <x v="4"/>
    <x v="1"/>
    <x v="1"/>
    <x v="95"/>
  </r>
  <r>
    <n v="421"/>
    <n v="451"/>
    <n v="443"/>
    <n v="4"/>
    <n v="8860"/>
    <x v="95"/>
    <x v="18"/>
    <n v="101"/>
    <x v="13"/>
    <n v="258.375"/>
    <n v="0.71456216739235612"/>
    <x v="20"/>
    <n v="269.70588235294116"/>
    <n v="0.6425299890948748"/>
    <d v="2022-06-15T00:00:00"/>
    <x v="320"/>
    <x v="2"/>
    <x v="0"/>
    <x v="1"/>
    <x v="232"/>
  </r>
  <r>
    <n v="422"/>
    <n v="312"/>
    <n v="234"/>
    <n v="1"/>
    <n v="1170"/>
    <x v="284"/>
    <x v="9"/>
    <n v="124"/>
    <x v="16"/>
    <n v="300.31818181818181"/>
    <n v="-0.22082639624640532"/>
    <x v="51"/>
    <n v="331.16666666666669"/>
    <n v="-0.29340714645193766"/>
    <d v="2022-08-22T00:00:00"/>
    <x v="58"/>
    <x v="2"/>
    <x v="0"/>
    <x v="0"/>
    <x v="120"/>
  </r>
  <r>
    <n v="423"/>
    <n v="217"/>
    <n v="260"/>
    <n v="5"/>
    <n v="6500"/>
    <x v="180"/>
    <x v="4"/>
    <n v="257"/>
    <x v="10"/>
    <n v="271.74545454545455"/>
    <n v="-4.3222266827244726E-2"/>
    <x v="10"/>
    <n v="311.2"/>
    <n v="-0.16452442159383029"/>
    <d v="2022-05-20T00:00:00"/>
    <x v="142"/>
    <x v="2"/>
    <x v="0"/>
    <x v="1"/>
    <x v="122"/>
  </r>
  <r>
    <n v="424"/>
    <n v="10"/>
    <n v="203"/>
    <n v="4"/>
    <n v="4060"/>
    <x v="194"/>
    <x v="4"/>
    <n v="276"/>
    <x v="5"/>
    <n v="268.60344827586209"/>
    <n v="-0.24423903973297389"/>
    <x v="5"/>
    <n v="281.96875"/>
    <n v="-0.28006206361520558"/>
    <d v="2022-03-12T00:00:00"/>
    <x v="321"/>
    <x v="4"/>
    <x v="1"/>
    <x v="1"/>
    <x v="80"/>
  </r>
  <r>
    <n v="425"/>
    <n v="60"/>
    <n v="251"/>
    <n v="2"/>
    <n v="2510"/>
    <x v="143"/>
    <x v="17"/>
    <n v="309"/>
    <x v="7"/>
    <n v="249.02380952380952"/>
    <n v="7.9357491155942483E-3"/>
    <x v="7"/>
    <n v="276.21052631578948"/>
    <n v="-9.1272865853658569E-2"/>
    <d v="2022-05-30T00:00:00"/>
    <x v="322"/>
    <x v="2"/>
    <x v="0"/>
    <x v="1"/>
    <x v="233"/>
  </r>
  <r>
    <n v="426"/>
    <n v="74"/>
    <n v="210"/>
    <n v="3"/>
    <n v="3150"/>
    <x v="165"/>
    <x v="9"/>
    <n v="319"/>
    <x v="19"/>
    <n v="286.92307692307691"/>
    <n v="-0.26809651474530827"/>
    <x v="73"/>
    <n v="320.25"/>
    <n v="-0.34426229508196726"/>
    <d v="2022-04-23T00:00:00"/>
    <x v="68"/>
    <x v="0"/>
    <x v="1"/>
    <x v="0"/>
    <x v="119"/>
  </r>
  <r>
    <n v="427"/>
    <n v="116"/>
    <n v="295"/>
    <n v="1"/>
    <n v="1475"/>
    <x v="127"/>
    <x v="2"/>
    <n v="359"/>
    <x v="1"/>
    <n v="264.8679245283019"/>
    <n v="0.11376264425131777"/>
    <x v="13"/>
    <n v="320.84615384615387"/>
    <n v="-8.0556221529609284E-2"/>
    <d v="2022-01-23T00:00:00"/>
    <x v="309"/>
    <x v="2"/>
    <x v="1"/>
    <x v="1"/>
    <x v="83"/>
  </r>
  <r>
    <n v="428"/>
    <n v="401"/>
    <n v="78"/>
    <n v="3"/>
    <n v="1170"/>
    <x v="285"/>
    <x v="2"/>
    <n v="395"/>
    <x v="8"/>
    <n v="271.18181818181819"/>
    <n v="-0.71237009721756617"/>
    <x v="8"/>
    <n v="291.45454545454544"/>
    <n v="-0.73237679351216467"/>
    <d v="2022-11-25T00:00:00"/>
    <x v="323"/>
    <x v="0"/>
    <x v="1"/>
    <x v="1"/>
    <x v="133"/>
  </r>
  <r>
    <n v="429"/>
    <n v="348"/>
    <n v="162"/>
    <n v="2"/>
    <n v="1620"/>
    <x v="286"/>
    <x v="11"/>
    <n v="107"/>
    <x v="14"/>
    <n v="273.72549019607845"/>
    <n v="-0.40816618911174785"/>
    <x v="63"/>
    <n v="266.27272727272725"/>
    <n v="-0.39160122908842598"/>
    <d v="2022-07-02T00:00:00"/>
    <x v="324"/>
    <x v="4"/>
    <x v="1"/>
    <x v="1"/>
    <x v="172"/>
  </r>
  <r>
    <n v="430"/>
    <n v="382"/>
    <n v="278"/>
    <n v="2"/>
    <n v="2780"/>
    <x v="287"/>
    <x v="17"/>
    <n v="103"/>
    <x v="4"/>
    <n v="250.48780487804879"/>
    <n v="0.10983446932814012"/>
    <x v="25"/>
    <n v="303.8235294117647"/>
    <n v="-8.499515972894478E-2"/>
    <d v="2022-08-14T00:00:00"/>
    <x v="325"/>
    <x v="0"/>
    <x v="0"/>
    <x v="0"/>
    <x v="234"/>
  </r>
  <r>
    <n v="431"/>
    <n v="477"/>
    <n v="420"/>
    <n v="1"/>
    <n v="2100"/>
    <x v="250"/>
    <x v="3"/>
    <n v="221"/>
    <x v="3"/>
    <n v="265.47674418604652"/>
    <n v="0.58205948053085721"/>
    <x v="3"/>
    <n v="236.27586206896552"/>
    <n v="0.77758318739054277"/>
    <d v="2022-09-16T00:00:00"/>
    <x v="103"/>
    <x v="4"/>
    <x v="1"/>
    <x v="0"/>
    <x v="230"/>
  </r>
  <r>
    <n v="432"/>
    <n v="91"/>
    <n v="413"/>
    <n v="2"/>
    <n v="4130"/>
    <x v="87"/>
    <x v="11"/>
    <n v="31"/>
    <x v="11"/>
    <n v="262.63492063492066"/>
    <n v="0.57252508159071658"/>
    <x v="47"/>
    <n v="271"/>
    <n v="0.52398523985239853"/>
    <d v="2022-01-19T00:00:00"/>
    <x v="326"/>
    <x v="3"/>
    <x v="0"/>
    <x v="1"/>
    <x v="187"/>
  </r>
  <r>
    <n v="433"/>
    <n v="52"/>
    <n v="272"/>
    <n v="3"/>
    <n v="4080"/>
    <x v="288"/>
    <x v="1"/>
    <n v="306"/>
    <x v="1"/>
    <n v="264.8679245283019"/>
    <n v="2.6926912665621749E-2"/>
    <x v="1"/>
    <n v="238.16666666666666"/>
    <n v="0.14205738278516455"/>
    <d v="2022-11-07T00:00:00"/>
    <x v="327"/>
    <x v="3"/>
    <x v="0"/>
    <x v="0"/>
    <x v="235"/>
  </r>
  <r>
    <n v="434"/>
    <n v="438"/>
    <n v="435"/>
    <n v="1"/>
    <n v="2175"/>
    <x v="213"/>
    <x v="19"/>
    <n v="383"/>
    <x v="7"/>
    <n v="249.02380952380952"/>
    <n v="0.74682091978200593"/>
    <x v="59"/>
    <n v="256.89999999999998"/>
    <n v="0.69326586220319197"/>
    <d v="2022-11-11T00:00:00"/>
    <x v="328"/>
    <x v="3"/>
    <x v="0"/>
    <x v="1"/>
    <x v="236"/>
  </r>
  <r>
    <n v="435"/>
    <n v="384"/>
    <n v="303"/>
    <n v="2"/>
    <n v="3030"/>
    <x v="4"/>
    <x v="6"/>
    <n v="235"/>
    <x v="0"/>
    <n v="252.76271186440678"/>
    <n v="0.1987527660430497"/>
    <x v="11"/>
    <n v="240.26666666666668"/>
    <n v="0.26109877913429513"/>
    <d v="2022-03-15T00:00:00"/>
    <x v="84"/>
    <x v="0"/>
    <x v="1"/>
    <x v="1"/>
    <x v="158"/>
  </r>
  <r>
    <n v="436"/>
    <n v="473"/>
    <n v="231"/>
    <n v="3"/>
    <n v="3465"/>
    <x v="289"/>
    <x v="3"/>
    <n v="448"/>
    <x v="16"/>
    <n v="300.31818181818181"/>
    <n v="-0.2308158014227335"/>
    <x v="24"/>
    <n v="281.73333333333335"/>
    <n v="-0.18007572172266928"/>
    <d v="2022-07-28T00:00:00"/>
    <x v="155"/>
    <x v="2"/>
    <x v="1"/>
    <x v="1"/>
    <x v="116"/>
  </r>
  <r>
    <n v="437"/>
    <n v="383"/>
    <n v="429"/>
    <n v="4"/>
    <n v="8580"/>
    <x v="290"/>
    <x v="12"/>
    <n v="367"/>
    <x v="12"/>
    <n v="274.16279069767444"/>
    <n v="0.56476376282975638"/>
    <x v="65"/>
    <n v="258.30769230769232"/>
    <n v="0.66081000595592609"/>
    <d v="2022-11-02T00:00:00"/>
    <x v="329"/>
    <x v="4"/>
    <x v="0"/>
    <x v="1"/>
    <x v="237"/>
  </r>
  <r>
    <n v="438"/>
    <n v="406"/>
    <n v="87"/>
    <n v="2"/>
    <n v="870"/>
    <x v="291"/>
    <x v="11"/>
    <n v="255"/>
    <x v="5"/>
    <n v="268.60344827586209"/>
    <n v="-0.676102445599846"/>
    <x v="5"/>
    <n v="281.96875"/>
    <n v="-0.69145517012080238"/>
    <d v="2022-08-20T00:00:00"/>
    <x v="141"/>
    <x v="3"/>
    <x v="1"/>
    <x v="0"/>
    <x v="143"/>
  </r>
  <r>
    <n v="439"/>
    <n v="252"/>
    <n v="50"/>
    <n v="1"/>
    <n v="250"/>
    <x v="111"/>
    <x v="7"/>
    <n v="138"/>
    <x v="8"/>
    <n v="271.18181818181819"/>
    <n v="-0.81562185719074753"/>
    <x v="14"/>
    <n v="260.15789473684208"/>
    <n v="-0.80780902286061096"/>
    <d v="2022-06-11T00:00:00"/>
    <x v="45"/>
    <x v="3"/>
    <x v="0"/>
    <x v="0"/>
    <x v="238"/>
  </r>
  <r>
    <n v="440"/>
    <n v="365"/>
    <n v="127"/>
    <n v="1"/>
    <n v="635"/>
    <x v="187"/>
    <x v="11"/>
    <n v="158"/>
    <x v="10"/>
    <n v="271.74545454545455"/>
    <n v="-0.53265087648869258"/>
    <x v="10"/>
    <n v="311.2"/>
    <n v="-0.5919023136246786"/>
    <d v="2022-07-10T00:00:00"/>
    <x v="216"/>
    <x v="0"/>
    <x v="0"/>
    <x v="1"/>
    <x v="239"/>
  </r>
  <r>
    <n v="441"/>
    <n v="420"/>
    <n v="390"/>
    <n v="3"/>
    <n v="5850"/>
    <x v="87"/>
    <x v="1"/>
    <n v="217"/>
    <x v="16"/>
    <n v="300.31818181818181"/>
    <n v="0.29862267292265776"/>
    <x v="24"/>
    <n v="281.73333333333335"/>
    <n v="0.38428774254614284"/>
    <d v="2022-09-22T00:00:00"/>
    <x v="317"/>
    <x v="2"/>
    <x v="0"/>
    <x v="1"/>
    <x v="240"/>
  </r>
  <r>
    <n v="442"/>
    <n v="97"/>
    <n v="298"/>
    <n v="2"/>
    <n v="2980"/>
    <x v="246"/>
    <x v="9"/>
    <n v="102"/>
    <x v="2"/>
    <n v="283.468085106383"/>
    <n v="5.1264730165878403E-2"/>
    <x v="31"/>
    <n v="323.07692307692309"/>
    <n v="-7.7619047619047699E-2"/>
    <d v="2022-06-11T00:00:00"/>
    <x v="330"/>
    <x v="0"/>
    <x v="0"/>
    <x v="1"/>
    <x v="241"/>
  </r>
  <r>
    <n v="443"/>
    <n v="217"/>
    <n v="471"/>
    <n v="3"/>
    <n v="7065"/>
    <x v="292"/>
    <x v="6"/>
    <n v="425"/>
    <x v="10"/>
    <n v="271.74545454545455"/>
    <n v="0.73323966278602959"/>
    <x v="10"/>
    <n v="311.2"/>
    <n v="0.513496143958869"/>
    <d v="2022-08-09T00:00:00"/>
    <x v="156"/>
    <x v="0"/>
    <x v="0"/>
    <x v="1"/>
    <x v="132"/>
  </r>
  <r>
    <n v="444"/>
    <n v="47"/>
    <n v="315"/>
    <n v="3"/>
    <n v="4725"/>
    <x v="222"/>
    <x v="14"/>
    <n v="140"/>
    <x v="10"/>
    <n v="271.74545454545455"/>
    <n v="0.15917302288237645"/>
    <x v="37"/>
    <n v="272.35294117647061"/>
    <n v="0.15658747300215969"/>
    <d v="2022-03-07T00:00:00"/>
    <x v="331"/>
    <x v="2"/>
    <x v="1"/>
    <x v="0"/>
    <x v="76"/>
  </r>
  <r>
    <n v="445"/>
    <n v="346"/>
    <n v="267"/>
    <n v="3"/>
    <n v="4005"/>
    <x v="38"/>
    <x v="13"/>
    <n v="385"/>
    <x v="8"/>
    <n v="271.18181818181819"/>
    <n v="-1.5420717398592076E-2"/>
    <x v="8"/>
    <n v="291.45454545454544"/>
    <n v="-8.3905177791640639E-2"/>
    <d v="2022-07-11T00:00:00"/>
    <x v="203"/>
    <x v="3"/>
    <x v="1"/>
    <x v="1"/>
    <x v="44"/>
  </r>
  <r>
    <n v="446"/>
    <n v="47"/>
    <n v="476"/>
    <n v="4"/>
    <n v="9520"/>
    <x v="293"/>
    <x v="5"/>
    <n v="43"/>
    <x v="10"/>
    <n v="271.74545454545455"/>
    <n v="0.75163923457781334"/>
    <x v="37"/>
    <n v="272.35294117647061"/>
    <n v="0.74773218142548581"/>
    <d v="2022-12-17T00:00:00"/>
    <x v="332"/>
    <x v="2"/>
    <x v="0"/>
    <x v="0"/>
    <x v="58"/>
  </r>
  <r>
    <n v="447"/>
    <n v="290"/>
    <n v="97"/>
    <n v="4"/>
    <n v="1940"/>
    <x v="294"/>
    <x v="11"/>
    <n v="326"/>
    <x v="0"/>
    <n v="252.76271186440678"/>
    <n v="-0.6162408636759874"/>
    <x v="0"/>
    <n v="240.5"/>
    <n v="-0.59667359667359665"/>
    <d v="2022-04-04T00:00:00"/>
    <x v="100"/>
    <x v="2"/>
    <x v="0"/>
    <x v="1"/>
    <x v="136"/>
  </r>
  <r>
    <n v="448"/>
    <n v="484"/>
    <n v="114"/>
    <n v="1"/>
    <n v="570"/>
    <x v="295"/>
    <x v="19"/>
    <n v="402"/>
    <x v="2"/>
    <n v="283.468085106383"/>
    <n v="-0.59783832470164389"/>
    <x v="31"/>
    <n v="323.07692307692309"/>
    <n v="-0.64714285714285724"/>
    <d v="2022-06-30T00:00:00"/>
    <x v="333"/>
    <x v="0"/>
    <x v="0"/>
    <x v="0"/>
    <x v="113"/>
  </r>
  <r>
    <n v="449"/>
    <n v="192"/>
    <n v="147"/>
    <n v="1"/>
    <n v="735"/>
    <x v="296"/>
    <x v="7"/>
    <n v="23"/>
    <x v="10"/>
    <n v="271.74545454545455"/>
    <n v="-0.45905258932155757"/>
    <x v="37"/>
    <n v="272.35294117647061"/>
    <n v="-0.46025917926565874"/>
    <d v="2022-05-25T00:00:00"/>
    <x v="334"/>
    <x v="2"/>
    <x v="0"/>
    <x v="1"/>
    <x v="242"/>
  </r>
  <r>
    <n v="450"/>
    <n v="187"/>
    <n v="185"/>
    <n v="2"/>
    <n v="1850"/>
    <x v="246"/>
    <x v="8"/>
    <n v="468"/>
    <x v="3"/>
    <n v="265.47674418604652"/>
    <n v="-0.30314046690902718"/>
    <x v="16"/>
    <n v="276.67567567567568"/>
    <n v="-0.331347074338185"/>
    <d v="2022-02-27T00:00:00"/>
    <x v="320"/>
    <x v="0"/>
    <x v="0"/>
    <x v="0"/>
    <x v="232"/>
  </r>
  <r>
    <n v="451"/>
    <n v="429"/>
    <n v="368"/>
    <n v="2"/>
    <n v="3680"/>
    <x v="297"/>
    <x v="6"/>
    <n v="16"/>
    <x v="18"/>
    <n v="255.11627906976744"/>
    <n v="0.44247948951686422"/>
    <x v="67"/>
    <n v="251.91666666666666"/>
    <n v="0.46080052927555415"/>
    <d v="2022-06-01T00:00:00"/>
    <x v="124"/>
    <x v="3"/>
    <x v="1"/>
    <x v="1"/>
    <x v="100"/>
  </r>
  <r>
    <n v="452"/>
    <n v="93"/>
    <n v="387"/>
    <n v="2"/>
    <n v="3870"/>
    <x v="298"/>
    <x v="8"/>
    <n v="156"/>
    <x v="8"/>
    <n v="271.18181818181819"/>
    <n v="0.42708682534361375"/>
    <x v="8"/>
    <n v="291.45454545454544"/>
    <n v="0.32782283218964459"/>
    <d v="2022-12-10T00:00:00"/>
    <x v="335"/>
    <x v="3"/>
    <x v="1"/>
    <x v="0"/>
    <x v="159"/>
  </r>
  <r>
    <n v="453"/>
    <n v="57"/>
    <n v="174"/>
    <n v="2"/>
    <n v="1740"/>
    <x v="62"/>
    <x v="7"/>
    <n v="141"/>
    <x v="2"/>
    <n v="283.468085106383"/>
    <n v="-0.38617428507092999"/>
    <x v="2"/>
    <n v="232.44444444444446"/>
    <n v="-0.25143403441682599"/>
    <d v="2022-07-01T00:00:00"/>
    <x v="336"/>
    <x v="2"/>
    <x v="0"/>
    <x v="0"/>
    <x v="188"/>
  </r>
  <r>
    <n v="454"/>
    <n v="198"/>
    <n v="438"/>
    <n v="4"/>
    <n v="8760"/>
    <x v="299"/>
    <x v="15"/>
    <n v="385"/>
    <x v="10"/>
    <n v="271.74545454545455"/>
    <n v="0.61180248896025691"/>
    <x v="15"/>
    <n v="316.58333333333331"/>
    <n v="0.38352197946828115"/>
    <d v="2022-07-11T00:00:00"/>
    <x v="337"/>
    <x v="3"/>
    <x v="1"/>
    <x v="1"/>
    <x v="44"/>
  </r>
  <r>
    <n v="455"/>
    <n v="202"/>
    <n v="308"/>
    <n v="2"/>
    <n v="3080"/>
    <x v="300"/>
    <x v="12"/>
    <n v="182"/>
    <x v="4"/>
    <n v="250.48780487804879"/>
    <n v="0.22960077896786757"/>
    <x v="25"/>
    <n v="303.8235294117647"/>
    <n v="1.3746369796708624E-2"/>
    <d v="2022-10-22T00:00:00"/>
    <x v="338"/>
    <x v="0"/>
    <x v="0"/>
    <x v="0"/>
    <x v="243"/>
  </r>
  <r>
    <n v="456"/>
    <n v="427"/>
    <n v="240"/>
    <n v="1"/>
    <n v="1200"/>
    <x v="301"/>
    <x v="2"/>
    <n v="225"/>
    <x v="16"/>
    <n v="300.31818181818181"/>
    <n v="-0.20084758589374907"/>
    <x v="57"/>
    <n v="316.60000000000002"/>
    <n v="-0.24194567277321544"/>
    <d v="2022-09-23T00:00:00"/>
    <x v="219"/>
    <x v="1"/>
    <x v="0"/>
    <x v="0"/>
    <x v="172"/>
  </r>
  <r>
    <n v="457"/>
    <n v="272"/>
    <n v="67"/>
    <n v="3"/>
    <n v="1005"/>
    <x v="245"/>
    <x v="5"/>
    <n v="151"/>
    <x v="18"/>
    <n v="255.11627906976744"/>
    <n v="-0.73737465815861447"/>
    <x v="72"/>
    <n v="252.09090909090909"/>
    <n v="-0.73422286332491882"/>
    <d v="2022-12-28T00:00:00"/>
    <x v="233"/>
    <x v="1"/>
    <x v="0"/>
    <x v="1"/>
    <x v="244"/>
  </r>
  <r>
    <n v="458"/>
    <n v="473"/>
    <n v="474"/>
    <n v="2"/>
    <n v="4740"/>
    <x v="45"/>
    <x v="4"/>
    <n v="428"/>
    <x v="16"/>
    <n v="300.31818181818181"/>
    <n v="0.57832601785984572"/>
    <x v="24"/>
    <n v="281.73333333333335"/>
    <n v="0.68244202555608124"/>
    <d v="2022-10-14T00:00:00"/>
    <x v="339"/>
    <x v="1"/>
    <x v="0"/>
    <x v="1"/>
    <x v="245"/>
  </r>
  <r>
    <n v="459"/>
    <n v="189"/>
    <n v="275"/>
    <n v="4"/>
    <n v="5500"/>
    <x v="105"/>
    <x v="14"/>
    <n v="438"/>
    <x v="16"/>
    <n v="300.31818181818181"/>
    <n v="-8.4304525503254069E-2"/>
    <x v="38"/>
    <n v="264"/>
    <n v="4.1666666666666741E-2"/>
    <d v="2022-05-12T00:00:00"/>
    <x v="320"/>
    <x v="0"/>
    <x v="0"/>
    <x v="0"/>
    <x v="232"/>
  </r>
  <r>
    <n v="460"/>
    <n v="362"/>
    <n v="358"/>
    <n v="4"/>
    <n v="7160"/>
    <x v="14"/>
    <x v="3"/>
    <n v="465"/>
    <x v="16"/>
    <n v="300.31818181818181"/>
    <n v="0.19206901770849094"/>
    <x v="57"/>
    <n v="316.60000000000002"/>
    <n v="0.13076437144662023"/>
    <d v="2022-04-20T00:00:00"/>
    <x v="93"/>
    <x v="0"/>
    <x v="0"/>
    <x v="1"/>
    <x v="246"/>
  </r>
  <r>
    <n v="461"/>
    <n v="345"/>
    <n v="455"/>
    <n v="5"/>
    <n v="11375"/>
    <x v="302"/>
    <x v="3"/>
    <n v="215"/>
    <x v="17"/>
    <n v="267.85483870967744"/>
    <n v="0.69868127897874377"/>
    <x v="27"/>
    <n v="288.23809523809524"/>
    <n v="0.57855608789030222"/>
    <d v="2022-08-26T00:00:00"/>
    <x v="191"/>
    <x v="2"/>
    <x v="0"/>
    <x v="1"/>
    <x v="247"/>
  </r>
  <r>
    <n v="462"/>
    <n v="461"/>
    <n v="443"/>
    <n v="3"/>
    <n v="6645"/>
    <x v="185"/>
    <x v="19"/>
    <n v="314"/>
    <x v="12"/>
    <n v="274.16279069767444"/>
    <n v="0.61582831453049436"/>
    <x v="76"/>
    <n v="369.2"/>
    <n v="0.19989165763813665"/>
    <d v="2022-12-04T00:00:00"/>
    <x v="304"/>
    <x v="2"/>
    <x v="1"/>
    <x v="1"/>
    <x v="25"/>
  </r>
  <r>
    <n v="463"/>
    <n v="401"/>
    <n v="464"/>
    <n v="2"/>
    <n v="4640"/>
    <x v="219"/>
    <x v="5"/>
    <n v="15"/>
    <x v="8"/>
    <n v="271.18181818181819"/>
    <n v="0.7110291652698626"/>
    <x v="8"/>
    <n v="291.45454545454544"/>
    <n v="0.59201497192763575"/>
    <d v="2022-05-30T00:00:00"/>
    <x v="143"/>
    <x v="3"/>
    <x v="0"/>
    <x v="1"/>
    <x v="55"/>
  </r>
  <r>
    <n v="464"/>
    <n v="427"/>
    <n v="307"/>
    <n v="5"/>
    <n v="7675"/>
    <x v="246"/>
    <x v="16"/>
    <n v="191"/>
    <x v="16"/>
    <n v="300.31818181818181"/>
    <n v="2.2249129710912641E-2"/>
    <x v="57"/>
    <n v="316.60000000000002"/>
    <n v="-3.032217308907148E-2"/>
    <d v="2022-11-01T00:00:00"/>
    <x v="31"/>
    <x v="3"/>
    <x v="1"/>
    <x v="0"/>
    <x v="197"/>
  </r>
  <r>
    <n v="465"/>
    <n v="129"/>
    <n v="121"/>
    <n v="5"/>
    <n v="3025"/>
    <x v="303"/>
    <x v="16"/>
    <n v="277"/>
    <x v="10"/>
    <n v="271.74545454545455"/>
    <n v="-0.55473036263883313"/>
    <x v="10"/>
    <n v="311.2"/>
    <n v="-0.61118251928020562"/>
    <d v="2022-07-08T00:00:00"/>
    <x v="252"/>
    <x v="2"/>
    <x v="1"/>
    <x v="0"/>
    <x v="6"/>
  </r>
  <r>
    <n v="466"/>
    <n v="84"/>
    <n v="265"/>
    <n v="2"/>
    <n v="2650"/>
    <x v="228"/>
    <x v="0"/>
    <n v="101"/>
    <x v="7"/>
    <n v="249.02380952380952"/>
    <n v="6.4155272970647381E-2"/>
    <x v="77"/>
    <n v="140"/>
    <n v="0.89285714285714279"/>
    <d v="2022-06-15T00:00:00"/>
    <x v="340"/>
    <x v="2"/>
    <x v="1"/>
    <x v="1"/>
    <x v="232"/>
  </r>
  <r>
    <n v="467"/>
    <n v="172"/>
    <n v="451"/>
    <n v="2"/>
    <n v="4510"/>
    <x v="256"/>
    <x v="18"/>
    <n v="141"/>
    <x v="12"/>
    <n v="274.16279069767444"/>
    <n v="0.64500805835948749"/>
    <x v="76"/>
    <n v="369.2"/>
    <n v="0.2215601300108343"/>
    <d v="2022-07-01T00:00:00"/>
    <x v="245"/>
    <x v="2"/>
    <x v="1"/>
    <x v="0"/>
    <x v="188"/>
  </r>
  <r>
    <n v="468"/>
    <n v="348"/>
    <n v="212"/>
    <n v="5"/>
    <n v="5300"/>
    <x v="277"/>
    <x v="3"/>
    <n v="126"/>
    <x v="14"/>
    <n v="273.72549019607845"/>
    <n v="-0.22550143266475653"/>
    <x v="63"/>
    <n v="266.27272727272725"/>
    <n v="-0.20382383065892795"/>
    <d v="2022-09-18T00:00:00"/>
    <x v="341"/>
    <x v="0"/>
    <x v="1"/>
    <x v="0"/>
    <x v="86"/>
  </r>
  <r>
    <n v="469"/>
    <n v="171"/>
    <n v="336"/>
    <n v="4"/>
    <n v="6720"/>
    <x v="304"/>
    <x v="7"/>
    <n v="148"/>
    <x v="8"/>
    <n v="271.18181818181819"/>
    <n v="0.23902111967817641"/>
    <x v="8"/>
    <n v="291.45454545454544"/>
    <n v="0.15283842794759828"/>
    <d v="2022-05-19T00:00:00"/>
    <x v="188"/>
    <x v="2"/>
    <x v="1"/>
    <x v="0"/>
    <x v="87"/>
  </r>
  <r>
    <n v="470"/>
    <n v="70"/>
    <n v="407"/>
    <n v="2"/>
    <n v="4070"/>
    <x v="91"/>
    <x v="6"/>
    <n v="334"/>
    <x v="13"/>
    <n v="258.375"/>
    <n v="0.57522980164489601"/>
    <x v="34"/>
    <n v="181.57142857142858"/>
    <n v="1.2415420928402829"/>
    <d v="2022-11-16T00:00:00"/>
    <x v="342"/>
    <x v="3"/>
    <x v="1"/>
    <x v="1"/>
    <x v="37"/>
  </r>
  <r>
    <n v="471"/>
    <n v="476"/>
    <n v="109"/>
    <n v="4"/>
    <n v="2180"/>
    <x v="242"/>
    <x v="6"/>
    <n v="335"/>
    <x v="6"/>
    <n v="258.5128205128205"/>
    <n v="-0.5783574687561992"/>
    <x v="60"/>
    <n v="289.88888888888891"/>
    <n v="-0.6239938673821388"/>
    <d v="2022-02-27T00:00:00"/>
    <x v="77"/>
    <x v="0"/>
    <x v="1"/>
    <x v="1"/>
    <x v="7"/>
  </r>
  <r>
    <n v="472"/>
    <n v="49"/>
    <n v="412"/>
    <n v="3"/>
    <n v="6180"/>
    <x v="153"/>
    <x v="8"/>
    <n v="370"/>
    <x v="13"/>
    <n v="258.375"/>
    <n v="0.59458151910982093"/>
    <x v="30"/>
    <n v="317.85714285714283"/>
    <n v="0.296179775280899"/>
    <d v="2022-06-14T00:00:00"/>
    <x v="52"/>
    <x v="4"/>
    <x v="0"/>
    <x v="0"/>
    <x v="49"/>
  </r>
  <r>
    <n v="473"/>
    <n v="7"/>
    <n v="254"/>
    <n v="2"/>
    <n v="2540"/>
    <x v="305"/>
    <x v="5"/>
    <n v="76"/>
    <x v="11"/>
    <n v="262.63492063492066"/>
    <n v="-3.2878036987791681E-2"/>
    <x v="21"/>
    <n v="238.72222222222223"/>
    <n v="6.3998138235978663E-2"/>
    <d v="2022-01-14T00:00:00"/>
    <x v="343"/>
    <x v="1"/>
    <x v="1"/>
    <x v="0"/>
    <x v="205"/>
  </r>
  <r>
    <n v="474"/>
    <n v="180"/>
    <n v="338"/>
    <n v="3"/>
    <n v="5070"/>
    <x v="19"/>
    <x v="12"/>
    <n v="25"/>
    <x v="14"/>
    <n v="273.72549019607845"/>
    <n v="0.2348137535816619"/>
    <x v="58"/>
    <n v="241.83333333333334"/>
    <n v="0.3976567884217781"/>
    <d v="2022-01-21T00:00:00"/>
    <x v="210"/>
    <x v="4"/>
    <x v="1"/>
    <x v="0"/>
    <x v="67"/>
  </r>
  <r>
    <n v="475"/>
    <n v="194"/>
    <n v="268"/>
    <n v="5"/>
    <n v="6700"/>
    <x v="306"/>
    <x v="16"/>
    <n v="80"/>
    <x v="1"/>
    <n v="264.8679245283019"/>
    <n v="1.1825046302892162E-2"/>
    <x v="69"/>
    <n v="273.7"/>
    <n v="-2.0825721592985014E-2"/>
    <d v="2022-03-03T00:00:00"/>
    <x v="344"/>
    <x v="1"/>
    <x v="0"/>
    <x v="1"/>
    <x v="248"/>
  </r>
  <r>
    <n v="476"/>
    <n v="312"/>
    <n v="223"/>
    <n v="2"/>
    <n v="2230"/>
    <x v="140"/>
    <x v="4"/>
    <n v="276"/>
    <x v="16"/>
    <n v="300.31818181818181"/>
    <n v="-0.2574542152262751"/>
    <x v="51"/>
    <n v="331.16666666666669"/>
    <n v="-0.32662304982385515"/>
    <d v="2022-03-12T00:00:00"/>
    <x v="274"/>
    <x v="4"/>
    <x v="1"/>
    <x v="1"/>
    <x v="80"/>
  </r>
  <r>
    <n v="477"/>
    <n v="235"/>
    <n v="455"/>
    <n v="5"/>
    <n v="11375"/>
    <x v="123"/>
    <x v="17"/>
    <n v="71"/>
    <x v="16"/>
    <n v="300.31818181818181"/>
    <n v="0.51505978507643402"/>
    <x v="57"/>
    <n v="316.60000000000002"/>
    <n v="0.4371446620341124"/>
    <d v="2022-07-20T00:00:00"/>
    <x v="345"/>
    <x v="3"/>
    <x v="1"/>
    <x v="0"/>
    <x v="72"/>
  </r>
  <r>
    <n v="478"/>
    <n v="399"/>
    <n v="379"/>
    <n v="1"/>
    <n v="1895"/>
    <x v="307"/>
    <x v="10"/>
    <n v="12"/>
    <x v="16"/>
    <n v="300.31818181818181"/>
    <n v="0.26199485394278788"/>
    <x v="24"/>
    <n v="281.73333333333335"/>
    <n v="0.34524372929484137"/>
    <d v="2022-10-08T00:00:00"/>
    <x v="346"/>
    <x v="1"/>
    <x v="1"/>
    <x v="0"/>
    <x v="2"/>
  </r>
  <r>
    <n v="479"/>
    <n v="494"/>
    <n v="216"/>
    <n v="3"/>
    <n v="3240"/>
    <x v="118"/>
    <x v="17"/>
    <n v="9"/>
    <x v="11"/>
    <n v="262.63492063492066"/>
    <n v="-0.17756557476127166"/>
    <x v="47"/>
    <n v="271"/>
    <n v="-0.20295202952029523"/>
    <d v="2022-12-05T00:00:00"/>
    <x v="347"/>
    <x v="4"/>
    <x v="1"/>
    <x v="0"/>
    <x v="174"/>
  </r>
  <r>
    <n v="480"/>
    <n v="458"/>
    <n v="469"/>
    <n v="4"/>
    <n v="9380"/>
    <x v="158"/>
    <x v="12"/>
    <n v="51"/>
    <x v="3"/>
    <n v="265.47674418604652"/>
    <n v="0.76663308659279039"/>
    <x v="3"/>
    <n v="236.27586206896552"/>
    <n v="0.98496789258610629"/>
    <d v="2022-02-13T00:00:00"/>
    <x v="348"/>
    <x v="0"/>
    <x v="1"/>
    <x v="1"/>
    <x v="173"/>
  </r>
  <r>
    <n v="481"/>
    <n v="193"/>
    <n v="94"/>
    <n v="3"/>
    <n v="1410"/>
    <x v="136"/>
    <x v="2"/>
    <n v="370"/>
    <x v="1"/>
    <n v="264.8679245283019"/>
    <n v="-0.64510614047585135"/>
    <x v="69"/>
    <n v="273.7"/>
    <n v="-0.65655827548410661"/>
    <d v="2022-06-14T00:00:00"/>
    <x v="246"/>
    <x v="4"/>
    <x v="1"/>
    <x v="0"/>
    <x v="49"/>
  </r>
  <r>
    <n v="482"/>
    <n v="450"/>
    <n v="494"/>
    <n v="4"/>
    <n v="9880"/>
    <x v="78"/>
    <x v="15"/>
    <n v="17"/>
    <x v="16"/>
    <n v="300.31818181818181"/>
    <n v="0.64492205236869982"/>
    <x v="24"/>
    <n v="281.73333333333335"/>
    <n v="0.75343114055844751"/>
    <d v="2022-11-12T00:00:00"/>
    <x v="349"/>
    <x v="4"/>
    <x v="0"/>
    <x v="1"/>
    <x v="234"/>
  </r>
  <r>
    <n v="483"/>
    <n v="334"/>
    <n v="309"/>
    <n v="5"/>
    <n v="7725"/>
    <x v="308"/>
    <x v="7"/>
    <n v="39"/>
    <x v="15"/>
    <n v="294.95238095238096"/>
    <n v="4.7626735550532651E-2"/>
    <x v="41"/>
    <n v="274.77777777777777"/>
    <n v="0.12454508693894062"/>
    <d v="2022-04-02T00:00:00"/>
    <x v="248"/>
    <x v="1"/>
    <x v="1"/>
    <x v="0"/>
    <x v="23"/>
  </r>
  <r>
    <n v="484"/>
    <n v="115"/>
    <n v="118"/>
    <n v="1"/>
    <n v="590"/>
    <x v="7"/>
    <x v="1"/>
    <n v="481"/>
    <x v="11"/>
    <n v="262.63492063492066"/>
    <n v="-0.55070711954550955"/>
    <x v="21"/>
    <n v="238.72222222222223"/>
    <n v="-0.50570165231556907"/>
    <d v="2022-07-14T00:00:00"/>
    <x v="350"/>
    <x v="1"/>
    <x v="1"/>
    <x v="0"/>
    <x v="19"/>
  </r>
  <r>
    <n v="485"/>
    <n v="163"/>
    <n v="344"/>
    <n v="1"/>
    <n v="1720"/>
    <x v="307"/>
    <x v="2"/>
    <n v="363"/>
    <x v="1"/>
    <n v="264.8679245283019"/>
    <n v="0.298760507194757"/>
    <x v="13"/>
    <n v="320.84615384615387"/>
    <n v="7.2164948453608213E-2"/>
    <d v="2022-04-24T00:00:00"/>
    <x v="332"/>
    <x v="0"/>
    <x v="1"/>
    <x v="1"/>
    <x v="20"/>
  </r>
  <r>
    <n v="486"/>
    <n v="321"/>
    <n v="322"/>
    <n v="3"/>
    <n v="4830"/>
    <x v="309"/>
    <x v="6"/>
    <n v="328"/>
    <x v="10"/>
    <n v="271.74545454545455"/>
    <n v="0.18493242339087379"/>
    <x v="12"/>
    <n v="212.8125"/>
    <n v="0.51306901615271649"/>
    <d v="2022-01-07T00:00:00"/>
    <x v="351"/>
    <x v="2"/>
    <x v="1"/>
    <x v="0"/>
    <x v="56"/>
  </r>
  <r>
    <n v="487"/>
    <n v="129"/>
    <n v="328"/>
    <n v="4"/>
    <n v="6560"/>
    <x v="310"/>
    <x v="3"/>
    <n v="127"/>
    <x v="10"/>
    <n v="271.74545454545455"/>
    <n v="0.20701190954101434"/>
    <x v="10"/>
    <n v="311.2"/>
    <n v="5.3984575835475557E-2"/>
    <d v="2022-12-19T00:00:00"/>
    <x v="24"/>
    <x v="3"/>
    <x v="0"/>
    <x v="1"/>
    <x v="25"/>
  </r>
  <r>
    <n v="488"/>
    <n v="12"/>
    <n v="357"/>
    <n v="1"/>
    <n v="1785"/>
    <x v="150"/>
    <x v="2"/>
    <n v="221"/>
    <x v="3"/>
    <n v="265.47674418604652"/>
    <n v="0.34475055845122848"/>
    <x v="19"/>
    <n v="329.27272727272725"/>
    <n v="8.4207620099392644E-2"/>
    <d v="2022-09-16T00:00:00"/>
    <x v="352"/>
    <x v="4"/>
    <x v="1"/>
    <x v="0"/>
    <x v="230"/>
  </r>
  <r>
    <n v="489"/>
    <n v="104"/>
    <n v="276"/>
    <n v="2"/>
    <n v="2760"/>
    <x v="126"/>
    <x v="6"/>
    <n v="134"/>
    <x v="9"/>
    <n v="263.25423728813558"/>
    <n v="4.841617306206536E-2"/>
    <x v="9"/>
    <n v="257.78260869565219"/>
    <n v="7.066959015010954E-2"/>
    <d v="2022-07-11T00:00:00"/>
    <x v="3"/>
    <x v="2"/>
    <x v="1"/>
    <x v="0"/>
    <x v="71"/>
  </r>
  <r>
    <n v="490"/>
    <n v="61"/>
    <n v="170"/>
    <n v="2"/>
    <n v="1700"/>
    <x v="257"/>
    <x v="3"/>
    <n v="374"/>
    <x v="9"/>
    <n v="263.25423728813558"/>
    <n v="-0.35423641514293069"/>
    <x v="33"/>
    <n v="248.5"/>
    <n v="-0.31589537223340036"/>
    <d v="2022-01-21T00:00:00"/>
    <x v="353"/>
    <x v="3"/>
    <x v="1"/>
    <x v="1"/>
    <x v="5"/>
  </r>
  <r>
    <n v="491"/>
    <n v="202"/>
    <n v="89"/>
    <n v="1"/>
    <n v="445"/>
    <x v="311"/>
    <x v="0"/>
    <n v="441"/>
    <x v="4"/>
    <n v="250.48780487804879"/>
    <n v="-0.64469328140214222"/>
    <x v="25"/>
    <n v="303.8235294117647"/>
    <n v="-0.70706679574056142"/>
    <d v="2022-11-02T00:00:00"/>
    <x v="354"/>
    <x v="0"/>
    <x v="0"/>
    <x v="1"/>
    <x v="249"/>
  </r>
  <r>
    <n v="492"/>
    <n v="464"/>
    <n v="134"/>
    <n v="1"/>
    <n v="670"/>
    <x v="312"/>
    <x v="0"/>
    <n v="220"/>
    <x v="11"/>
    <n v="262.63492063492066"/>
    <n v="-0.48978605100930739"/>
    <x v="47"/>
    <n v="271"/>
    <n v="-0.50553505535055354"/>
    <d v="2022-01-09T00:00:00"/>
    <x v="355"/>
    <x v="3"/>
    <x v="0"/>
    <x v="1"/>
    <x v="250"/>
  </r>
  <r>
    <n v="493"/>
    <n v="335"/>
    <n v="436"/>
    <n v="1"/>
    <n v="2180"/>
    <x v="313"/>
    <x v="6"/>
    <n v="235"/>
    <x v="16"/>
    <n v="300.31818181818181"/>
    <n v="0.45179355229302254"/>
    <x v="51"/>
    <n v="331.16666666666669"/>
    <n v="0.31655762455963754"/>
    <d v="2022-03-15T00:00:00"/>
    <x v="305"/>
    <x v="0"/>
    <x v="1"/>
    <x v="1"/>
    <x v="158"/>
  </r>
  <r>
    <n v="494"/>
    <n v="15"/>
    <n v="318"/>
    <n v="5"/>
    <n v="7950"/>
    <x v="269"/>
    <x v="18"/>
    <n v="323"/>
    <x v="0"/>
    <n v="252.76271186440678"/>
    <n v="0.25809696238181457"/>
    <x v="68"/>
    <n v="215.85714285714286"/>
    <n v="0.47319655857048315"/>
    <d v="2022-09-17T00:00:00"/>
    <x v="356"/>
    <x v="4"/>
    <x v="1"/>
    <x v="0"/>
    <x v="19"/>
  </r>
  <r>
    <n v="495"/>
    <n v="441"/>
    <n v="183"/>
    <n v="1"/>
    <n v="915"/>
    <x v="90"/>
    <x v="6"/>
    <n v="296"/>
    <x v="8"/>
    <n v="271.18181818181819"/>
    <n v="-0.32517599731813607"/>
    <x v="14"/>
    <n v="260.15789473684208"/>
    <n v="-0.29658102366983607"/>
    <d v="2022-07-16T00:00:00"/>
    <x v="271"/>
    <x v="0"/>
    <x v="1"/>
    <x v="1"/>
    <x v="120"/>
  </r>
  <r>
    <n v="496"/>
    <n v="149"/>
    <n v="448"/>
    <n v="2"/>
    <n v="4480"/>
    <x v="129"/>
    <x v="8"/>
    <n v="206"/>
    <x v="17"/>
    <n v="267.85483870967744"/>
    <n v="0.67254772084060921"/>
    <x v="35"/>
    <n v="250.25925925925927"/>
    <n v="0.79014355483202592"/>
    <d v="2022-01-07T00:00:00"/>
    <x v="262"/>
    <x v="2"/>
    <x v="0"/>
    <x v="1"/>
    <x v="81"/>
  </r>
  <r>
    <n v="497"/>
    <n v="490"/>
    <n v="58"/>
    <n v="4"/>
    <n v="1160"/>
    <x v="16"/>
    <x v="18"/>
    <n v="255"/>
    <x v="11"/>
    <n v="262.63492063492066"/>
    <n v="-0.77916112655626746"/>
    <x v="47"/>
    <n v="271"/>
    <n v="-0.7859778597785978"/>
    <d v="2022-08-20T00:00:00"/>
    <x v="59"/>
    <x v="3"/>
    <x v="1"/>
    <x v="0"/>
    <x v="143"/>
  </r>
  <r>
    <n v="498"/>
    <n v="90"/>
    <n v="162"/>
    <n v="3"/>
    <n v="2430"/>
    <x v="267"/>
    <x v="6"/>
    <n v="88"/>
    <x v="7"/>
    <n v="249.02380952380952"/>
    <n v="-0.34945979539152883"/>
    <x v="59"/>
    <n v="256.89999999999998"/>
    <n v="-0.3694044375243285"/>
    <d v="2022-03-10T00:00:00"/>
    <x v="292"/>
    <x v="3"/>
    <x v="1"/>
    <x v="0"/>
    <x v="83"/>
  </r>
  <r>
    <n v="499"/>
    <n v="396"/>
    <n v="482"/>
    <n v="2"/>
    <n v="4820"/>
    <x v="306"/>
    <x v="12"/>
    <n v="362"/>
    <x v="15"/>
    <n v="294.95238095238096"/>
    <n v="0.63416209234743293"/>
    <x v="41"/>
    <n v="274.77777777777777"/>
    <n v="0.75414476344520831"/>
    <d v="2022-12-21T00:00:00"/>
    <x v="357"/>
    <x v="2"/>
    <x v="1"/>
    <x v="1"/>
    <x v="109"/>
  </r>
  <r>
    <n v="500"/>
    <n v="323"/>
    <n v="64"/>
    <n v="4"/>
    <n v="1280"/>
    <x v="6"/>
    <x v="1"/>
    <n v="265"/>
    <x v="6"/>
    <n v="258.5128205128205"/>
    <n v="-0.75243007339813528"/>
    <x v="6"/>
    <n v="260.64705882352939"/>
    <n v="-0.75445723313021884"/>
    <d v="2022-07-14T00:00:00"/>
    <x v="219"/>
    <x v="0"/>
    <x v="1"/>
    <x v="1"/>
    <x v="200"/>
  </r>
  <r>
    <n v="501"/>
    <n v="451"/>
    <n v="187"/>
    <n v="4"/>
    <n v="3740"/>
    <x v="264"/>
    <x v="11"/>
    <n v="164"/>
    <x v="13"/>
    <n v="258.375"/>
    <n v="-0.27624576681180457"/>
    <x v="20"/>
    <n v="269.70588235294116"/>
    <n v="-0.30665212649945472"/>
    <d v="2022-04-27T00:00:00"/>
    <x v="9"/>
    <x v="2"/>
    <x v="1"/>
    <x v="1"/>
    <x v="15"/>
  </r>
  <r>
    <n v="502"/>
    <n v="348"/>
    <n v="461"/>
    <n v="3"/>
    <n v="6915"/>
    <x v="314"/>
    <x v="10"/>
    <n v="364"/>
    <x v="14"/>
    <n v="273.72549019607845"/>
    <n v="0.68416905444126064"/>
    <x v="63"/>
    <n v="266.27272727272725"/>
    <n v="0.73130761351997275"/>
    <d v="2022-11-18T00:00:00"/>
    <x v="166"/>
    <x v="2"/>
    <x v="1"/>
    <x v="0"/>
    <x v="114"/>
  </r>
  <r>
    <n v="503"/>
    <n v="111"/>
    <n v="321"/>
    <n v="5"/>
    <n v="8025"/>
    <x v="315"/>
    <x v="9"/>
    <n v="19"/>
    <x v="0"/>
    <n v="252.76271186440678"/>
    <n v="0.26996580164956741"/>
    <x v="11"/>
    <n v="240.26666666666668"/>
    <n v="0.3360155382907879"/>
    <d v="2022-12-07T00:00:00"/>
    <x v="334"/>
    <x v="2"/>
    <x v="1"/>
    <x v="0"/>
    <x v="192"/>
  </r>
  <r>
    <n v="504"/>
    <n v="234"/>
    <n v="244"/>
    <n v="3"/>
    <n v="3660"/>
    <x v="138"/>
    <x v="12"/>
    <n v="453"/>
    <x v="8"/>
    <n v="271.18181818181819"/>
    <n v="-0.10023466309084816"/>
    <x v="8"/>
    <n v="291.45454545454544"/>
    <n v="-0.16281971303805365"/>
    <d v="2022-03-15T00:00:00"/>
    <x v="196"/>
    <x v="2"/>
    <x v="1"/>
    <x v="0"/>
    <x v="159"/>
  </r>
  <r>
    <n v="505"/>
    <n v="336"/>
    <n v="416"/>
    <n v="2"/>
    <n v="4160"/>
    <x v="77"/>
    <x v="4"/>
    <n v="335"/>
    <x v="14"/>
    <n v="273.72549019607845"/>
    <n v="0.51977077363896829"/>
    <x v="63"/>
    <n v="266.27272727272725"/>
    <n v="0.56230795493342445"/>
    <d v="2022-02-27T00:00:00"/>
    <x v="338"/>
    <x v="0"/>
    <x v="1"/>
    <x v="1"/>
    <x v="7"/>
  </r>
  <r>
    <n v="506"/>
    <n v="441"/>
    <n v="293"/>
    <n v="3"/>
    <n v="4395"/>
    <x v="260"/>
    <x v="16"/>
    <n v="136"/>
    <x v="8"/>
    <n v="271.18181818181819"/>
    <n v="8.0455916862219201E-2"/>
    <x v="14"/>
    <n v="260.15789473684208"/>
    <n v="0.12623912603681986"/>
    <d v="2022-10-26T00:00:00"/>
    <x v="191"/>
    <x v="3"/>
    <x v="1"/>
    <x v="0"/>
    <x v="93"/>
  </r>
  <r>
    <n v="507"/>
    <n v="481"/>
    <n v="63"/>
    <n v="1"/>
    <n v="315"/>
    <x v="316"/>
    <x v="4"/>
    <n v="388"/>
    <x v="14"/>
    <n v="273.72549019607845"/>
    <n v="-0.76984240687679084"/>
    <x v="22"/>
    <n v="280.23809523809524"/>
    <n v="-0.77519116397621068"/>
    <d v="2022-01-20T00:00:00"/>
    <x v="358"/>
    <x v="2"/>
    <x v="1"/>
    <x v="0"/>
    <x v="111"/>
  </r>
  <r>
    <n v="508"/>
    <n v="403"/>
    <n v="240"/>
    <n v="1"/>
    <n v="1200"/>
    <x v="317"/>
    <x v="2"/>
    <n v="341"/>
    <x v="8"/>
    <n v="271.18181818181819"/>
    <n v="-0.11498491451558834"/>
    <x v="52"/>
    <n v="243.3"/>
    <n v="-1.3563501849568449E-2"/>
    <d v="2022-06-12T00:00:00"/>
    <x v="359"/>
    <x v="2"/>
    <x v="1"/>
    <x v="1"/>
    <x v="185"/>
  </r>
  <r>
    <n v="509"/>
    <n v="137"/>
    <n v="432"/>
    <n v="5"/>
    <n v="10800"/>
    <x v="315"/>
    <x v="14"/>
    <n v="185"/>
    <x v="12"/>
    <n v="274.16279069767444"/>
    <n v="0.57570616676562891"/>
    <x v="18"/>
    <n v="253.6875"/>
    <n v="0.70288248337028825"/>
    <d v="2022-05-02T00:00:00"/>
    <x v="360"/>
    <x v="0"/>
    <x v="1"/>
    <x v="1"/>
    <x v="221"/>
  </r>
  <r>
    <n v="510"/>
    <n v="246"/>
    <n v="196"/>
    <n v="5"/>
    <n v="4900"/>
    <x v="233"/>
    <x v="7"/>
    <n v="437"/>
    <x v="11"/>
    <n v="262.63492063492066"/>
    <n v="-0.25371691043152433"/>
    <x v="21"/>
    <n v="238.72222222222223"/>
    <n v="-0.17896206655806379"/>
    <d v="2022-01-15T00:00:00"/>
    <x v="50"/>
    <x v="0"/>
    <x v="1"/>
    <x v="1"/>
    <x v="112"/>
  </r>
  <r>
    <n v="511"/>
    <n v="4"/>
    <n v="493"/>
    <n v="4"/>
    <n v="9860"/>
    <x v="318"/>
    <x v="8"/>
    <n v="263"/>
    <x v="13"/>
    <n v="258.375"/>
    <n v="0.90807934204160623"/>
    <x v="20"/>
    <n v="269.70588235294116"/>
    <n v="0.82791712104689208"/>
    <d v="2022-02-20T00:00:00"/>
    <x v="361"/>
    <x v="4"/>
    <x v="1"/>
    <x v="0"/>
    <x v="231"/>
  </r>
  <r>
    <n v="512"/>
    <n v="484"/>
    <n v="436"/>
    <n v="2"/>
    <n v="4360"/>
    <x v="204"/>
    <x v="7"/>
    <n v="358"/>
    <x v="2"/>
    <n v="283.468085106383"/>
    <n v="0.53809202131652012"/>
    <x v="31"/>
    <n v="323.07692307692309"/>
    <n v="0.34952380952380935"/>
    <d v="2022-07-29T00:00:00"/>
    <x v="362"/>
    <x v="3"/>
    <x v="1"/>
    <x v="0"/>
    <x v="136"/>
  </r>
  <r>
    <n v="513"/>
    <n v="60"/>
    <n v="412"/>
    <n v="5"/>
    <n v="10300"/>
    <x v="71"/>
    <x v="9"/>
    <n v="377"/>
    <x v="7"/>
    <n v="249.02380952380952"/>
    <n v="0.65446027344870461"/>
    <x v="7"/>
    <n v="276.21052631578948"/>
    <n v="0.49161585365853666"/>
    <d v="2022-08-21T00:00:00"/>
    <x v="119"/>
    <x v="0"/>
    <x v="1"/>
    <x v="1"/>
    <x v="153"/>
  </r>
  <r>
    <n v="514"/>
    <n v="477"/>
    <n v="117"/>
    <n v="3"/>
    <n v="1755"/>
    <x v="319"/>
    <x v="15"/>
    <n v="450"/>
    <x v="3"/>
    <n v="265.47674418604652"/>
    <n v="-0.559283430423547"/>
    <x v="3"/>
    <n v="236.27586206896552"/>
    <n v="-0.50481611208406307"/>
    <d v="2022-02-27T00:00:00"/>
    <x v="122"/>
    <x v="2"/>
    <x v="1"/>
    <x v="0"/>
    <x v="80"/>
  </r>
  <r>
    <n v="515"/>
    <n v="174"/>
    <n v="301"/>
    <n v="4"/>
    <n v="6020"/>
    <x v="320"/>
    <x v="6"/>
    <n v="210"/>
    <x v="8"/>
    <n v="271.18181818181819"/>
    <n v="0.10995641971169956"/>
    <x v="52"/>
    <n v="243.3"/>
    <n v="0.23715577476366612"/>
    <d v="2022-02-10T00:00:00"/>
    <x v="363"/>
    <x v="0"/>
    <x v="0"/>
    <x v="1"/>
    <x v="251"/>
  </r>
  <r>
    <n v="516"/>
    <n v="240"/>
    <n v="156"/>
    <n v="4"/>
    <n v="3120"/>
    <x v="321"/>
    <x v="15"/>
    <n v="67"/>
    <x v="3"/>
    <n v="265.47674418604652"/>
    <n v="-0.41237790723139589"/>
    <x v="3"/>
    <n v="236.27586206896552"/>
    <n v="-0.33975481611208413"/>
    <d v="2022-06-19T00:00:00"/>
    <x v="364"/>
    <x v="0"/>
    <x v="0"/>
    <x v="0"/>
    <x v="252"/>
  </r>
  <r>
    <n v="517"/>
    <n v="299"/>
    <n v="141"/>
    <n v="4"/>
    <n v="2820"/>
    <x v="322"/>
    <x v="10"/>
    <n v="125"/>
    <x v="8"/>
    <n v="271.18181818181819"/>
    <n v="-0.48005363727790817"/>
    <x v="14"/>
    <n v="260.15789473684208"/>
    <n v="-0.45802144446692283"/>
    <d v="2022-05-20T00:00:00"/>
    <x v="365"/>
    <x v="2"/>
    <x v="0"/>
    <x v="1"/>
    <x v="253"/>
  </r>
  <r>
    <n v="518"/>
    <n v="481"/>
    <n v="463"/>
    <n v="2"/>
    <n v="4630"/>
    <x v="97"/>
    <x v="14"/>
    <n v="213"/>
    <x v="14"/>
    <n v="273.72549019607845"/>
    <n v="0.69147564469914036"/>
    <x v="22"/>
    <n v="280.23809523809524"/>
    <n v="0.65216652506372141"/>
    <d v="2022-06-21T00:00:00"/>
    <x v="235"/>
    <x v="0"/>
    <x v="0"/>
    <x v="1"/>
    <x v="174"/>
  </r>
  <r>
    <n v="519"/>
    <n v="213"/>
    <n v="432"/>
    <n v="3"/>
    <n v="6480"/>
    <x v="41"/>
    <x v="13"/>
    <n v="254"/>
    <x v="0"/>
    <n v="252.76271186440678"/>
    <n v="0.70911285455642736"/>
    <x v="0"/>
    <n v="240.5"/>
    <n v="0.79625779625779636"/>
    <d v="2022-10-28T00:00:00"/>
    <x v="254"/>
    <x v="1"/>
    <x v="1"/>
    <x v="0"/>
    <x v="225"/>
  </r>
  <r>
    <n v="520"/>
    <n v="484"/>
    <n v="238"/>
    <n v="2"/>
    <n v="2380"/>
    <x v="323"/>
    <x v="6"/>
    <n v="252"/>
    <x v="2"/>
    <n v="283.468085106383"/>
    <n v="-0.16039930946483527"/>
    <x v="31"/>
    <n v="323.07692307692309"/>
    <n v="-0.26333333333333342"/>
    <d v="2022-03-23T00:00:00"/>
    <x v="28"/>
    <x v="2"/>
    <x v="1"/>
    <x v="1"/>
    <x v="22"/>
  </r>
  <r>
    <n v="521"/>
    <n v="479"/>
    <n v="131"/>
    <n v="5"/>
    <n v="3275"/>
    <x v="324"/>
    <x v="4"/>
    <n v="164"/>
    <x v="4"/>
    <n v="250.48780487804879"/>
    <n v="-0.47702044790652387"/>
    <x v="56"/>
    <n v="247.66666666666666"/>
    <n v="-0.47106325706594887"/>
    <d v="2022-04-27T00:00:00"/>
    <x v="366"/>
    <x v="2"/>
    <x v="1"/>
    <x v="1"/>
    <x v="15"/>
  </r>
  <r>
    <n v="522"/>
    <n v="159"/>
    <n v="225"/>
    <n v="1"/>
    <n v="1125"/>
    <x v="325"/>
    <x v="13"/>
    <n v="258"/>
    <x v="18"/>
    <n v="255.11627906976744"/>
    <n v="-0.11804922515952598"/>
    <x v="61"/>
    <n v="274.28571428571428"/>
    <n v="-0.1796875"/>
    <d v="2022-06-05T00:00:00"/>
    <x v="367"/>
    <x v="3"/>
    <x v="1"/>
    <x v="0"/>
    <x v="121"/>
  </r>
  <r>
    <n v="523"/>
    <n v="110"/>
    <n v="279"/>
    <n v="1"/>
    <n v="1395"/>
    <x v="326"/>
    <x v="10"/>
    <n v="290"/>
    <x v="3"/>
    <n v="265.47674418604652"/>
    <n v="5.0939512066926484E-2"/>
    <x v="16"/>
    <n v="276.67567567567568"/>
    <n v="8.4008987007913039E-3"/>
    <d v="2022-08-04T00:00:00"/>
    <x v="225"/>
    <x v="2"/>
    <x v="1"/>
    <x v="0"/>
    <x v="189"/>
  </r>
  <r>
    <n v="524"/>
    <n v="224"/>
    <n v="161"/>
    <n v="2"/>
    <n v="1610"/>
    <x v="327"/>
    <x v="10"/>
    <n v="336"/>
    <x v="14"/>
    <n v="273.72549019607845"/>
    <n v="-0.41181948424068771"/>
    <x v="22"/>
    <n v="280.23809523809524"/>
    <n v="-0.4254885301614274"/>
    <d v="2022-10-22T00:00:00"/>
    <x v="188"/>
    <x v="0"/>
    <x v="0"/>
    <x v="1"/>
    <x v="202"/>
  </r>
  <r>
    <n v="525"/>
    <n v="126"/>
    <n v="267"/>
    <n v="1"/>
    <n v="1335"/>
    <x v="63"/>
    <x v="16"/>
    <n v="437"/>
    <x v="0"/>
    <n v="252.76271186440678"/>
    <n v="5.6326694830014068E-2"/>
    <x v="45"/>
    <n v="293.41176470588238"/>
    <n v="-9.0016038492381822E-2"/>
    <d v="2022-01-15T00:00:00"/>
    <x v="368"/>
    <x v="0"/>
    <x v="1"/>
    <x v="1"/>
    <x v="112"/>
  </r>
  <r>
    <n v="526"/>
    <n v="344"/>
    <n v="110"/>
    <n v="4"/>
    <n v="2200"/>
    <x v="328"/>
    <x v="17"/>
    <n v="294"/>
    <x v="5"/>
    <n v="268.60344827586209"/>
    <n v="-0.59047435650555236"/>
    <x v="32"/>
    <n v="254.18181818181819"/>
    <n v="-0.56723891273247495"/>
    <d v="2022-11-14T00:00:00"/>
    <x v="369"/>
    <x v="3"/>
    <x v="0"/>
    <x v="0"/>
    <x v="254"/>
  </r>
  <r>
    <n v="527"/>
    <n v="447"/>
    <n v="316"/>
    <n v="1"/>
    <n v="1580"/>
    <x v="329"/>
    <x v="9"/>
    <n v="297"/>
    <x v="9"/>
    <n v="263.25423728813558"/>
    <n v="0.20036054596961117"/>
    <x v="33"/>
    <n v="248.5"/>
    <n v="0.27162977867203209"/>
    <d v="2022-04-15T00:00:00"/>
    <x v="205"/>
    <x v="3"/>
    <x v="1"/>
    <x v="1"/>
    <x v="196"/>
  </r>
  <r>
    <n v="528"/>
    <n v="450"/>
    <n v="228"/>
    <n v="4"/>
    <n v="4560"/>
    <x v="164"/>
    <x v="7"/>
    <n v="27"/>
    <x v="16"/>
    <n v="300.31818181818181"/>
    <n v="-0.24080520659906157"/>
    <x v="24"/>
    <n v="281.73333333333335"/>
    <n v="-0.19072408897302418"/>
    <d v="2022-01-25T00:00:00"/>
    <x v="370"/>
    <x v="3"/>
    <x v="0"/>
    <x v="1"/>
    <x v="255"/>
  </r>
  <r>
    <n v="529"/>
    <n v="60"/>
    <n v="100"/>
    <n v="1"/>
    <n v="500"/>
    <x v="330"/>
    <x v="19"/>
    <n v="102"/>
    <x v="7"/>
    <n v="249.02380952380952"/>
    <n v="-0.59843197246390667"/>
    <x v="7"/>
    <n v="276.21052631578948"/>
    <n v="-0.63795731707317072"/>
    <d v="2022-06-11T00:00:00"/>
    <x v="371"/>
    <x v="0"/>
    <x v="1"/>
    <x v="1"/>
    <x v="241"/>
  </r>
  <r>
    <n v="530"/>
    <n v="42"/>
    <n v="332"/>
    <n v="2"/>
    <n v="3320"/>
    <x v="316"/>
    <x v="0"/>
    <n v="323"/>
    <x v="13"/>
    <n v="258.375"/>
    <n v="0.28495403967102084"/>
    <x v="34"/>
    <n v="181.57142857142858"/>
    <n v="0.82848151062155773"/>
    <d v="2022-09-17T00:00:00"/>
    <x v="372"/>
    <x v="4"/>
    <x v="1"/>
    <x v="0"/>
    <x v="19"/>
  </r>
  <r>
    <n v="531"/>
    <n v="267"/>
    <n v="65"/>
    <n v="2"/>
    <n v="650"/>
    <x v="213"/>
    <x v="17"/>
    <n v="53"/>
    <x v="4"/>
    <n v="250.48780487804879"/>
    <n v="-0.740506329113924"/>
    <x v="75"/>
    <n v="208"/>
    <n v="-0.6875"/>
    <d v="2022-02-01T00:00:00"/>
    <x v="352"/>
    <x v="2"/>
    <x v="0"/>
    <x v="1"/>
    <x v="256"/>
  </r>
  <r>
    <n v="532"/>
    <n v="161"/>
    <n v="489"/>
    <n v="5"/>
    <n v="12225"/>
    <x v="39"/>
    <x v="5"/>
    <n v="143"/>
    <x v="15"/>
    <n v="294.95238095238096"/>
    <n v="0.65789473684210531"/>
    <x v="23"/>
    <n v="318.81818181818181"/>
    <n v="0.53378956372968345"/>
    <d v="2022-02-09T00:00:00"/>
    <x v="84"/>
    <x v="2"/>
    <x v="0"/>
    <x v="1"/>
    <x v="95"/>
  </r>
  <r>
    <n v="533"/>
    <n v="83"/>
    <n v="315"/>
    <n v="2"/>
    <n v="3150"/>
    <x v="150"/>
    <x v="8"/>
    <n v="135"/>
    <x v="5"/>
    <n v="268.60344827586209"/>
    <n v="0.17273252455228172"/>
    <x v="32"/>
    <n v="254.18181818181819"/>
    <n v="0.23927038626609431"/>
    <d v="2022-02-10T00:00:00"/>
    <x v="373"/>
    <x v="2"/>
    <x v="0"/>
    <x v="0"/>
    <x v="257"/>
  </r>
  <r>
    <n v="534"/>
    <n v="315"/>
    <n v="348"/>
    <n v="2"/>
    <n v="3480"/>
    <x v="331"/>
    <x v="4"/>
    <n v="402"/>
    <x v="9"/>
    <n v="263.25423728813558"/>
    <n v="0.32191604429564769"/>
    <x v="43"/>
    <n v="287.10000000000002"/>
    <n v="0.21212121212121193"/>
    <d v="2022-06-30T00:00:00"/>
    <x v="374"/>
    <x v="0"/>
    <x v="1"/>
    <x v="0"/>
    <x v="113"/>
  </r>
  <r>
    <n v="535"/>
    <n v="121"/>
    <n v="77"/>
    <n v="1"/>
    <n v="385"/>
    <x v="332"/>
    <x v="3"/>
    <n v="279"/>
    <x v="14"/>
    <n v="273.72549019607845"/>
    <n v="-0.71869627507163325"/>
    <x v="22"/>
    <n v="280.23809523809524"/>
    <n v="-0.72523364485981312"/>
    <d v="2022-08-13T00:00:00"/>
    <x v="268"/>
    <x v="0"/>
    <x v="0"/>
    <x v="0"/>
    <x v="208"/>
  </r>
  <r>
    <n v="536"/>
    <n v="371"/>
    <n v="62"/>
    <n v="5"/>
    <n v="1550"/>
    <x v="333"/>
    <x v="2"/>
    <n v="385"/>
    <x v="0"/>
    <n v="252.76271186440678"/>
    <n v="-0.75471065513310531"/>
    <x v="45"/>
    <n v="293.41176470588238"/>
    <n v="-0.78869286287089013"/>
    <d v="2022-07-11T00:00:00"/>
    <x v="292"/>
    <x v="3"/>
    <x v="1"/>
    <x v="1"/>
    <x v="44"/>
  </r>
  <r>
    <n v="537"/>
    <n v="169"/>
    <n v="429"/>
    <n v="2"/>
    <n v="4290"/>
    <x v="148"/>
    <x v="18"/>
    <n v="326"/>
    <x v="12"/>
    <n v="274.16279069767444"/>
    <n v="0.56476376282975638"/>
    <x v="65"/>
    <n v="258.30769230769232"/>
    <n v="0.66081000595592609"/>
    <d v="2022-04-04T00:00:00"/>
    <x v="362"/>
    <x v="2"/>
    <x v="1"/>
    <x v="1"/>
    <x v="136"/>
  </r>
  <r>
    <n v="538"/>
    <n v="433"/>
    <n v="115"/>
    <n v="4"/>
    <n v="2300"/>
    <x v="334"/>
    <x v="17"/>
    <n v="138"/>
    <x v="6"/>
    <n v="258.5128205128205"/>
    <n v="-0.55514778813727439"/>
    <x v="6"/>
    <n v="260.64705882352939"/>
    <n v="-0.55879034078086209"/>
    <d v="2022-06-11T00:00:00"/>
    <x v="372"/>
    <x v="3"/>
    <x v="1"/>
    <x v="0"/>
    <x v="238"/>
  </r>
  <r>
    <n v="539"/>
    <n v="43"/>
    <n v="158"/>
    <n v="5"/>
    <n v="3950"/>
    <x v="330"/>
    <x v="8"/>
    <n v="271"/>
    <x v="2"/>
    <n v="283.468085106383"/>
    <n v="-0.44261802897245373"/>
    <x v="31"/>
    <n v="323.07692307692309"/>
    <n v="-0.51095238095238105"/>
    <d v="2022-11-27T00:00:00"/>
    <x v="327"/>
    <x v="1"/>
    <x v="0"/>
    <x v="1"/>
    <x v="235"/>
  </r>
  <r>
    <n v="540"/>
    <n v="453"/>
    <n v="318"/>
    <n v="4"/>
    <n v="6360"/>
    <x v="335"/>
    <x v="8"/>
    <n v="408"/>
    <x v="3"/>
    <n v="265.47674418604652"/>
    <n v="0.19784503525907748"/>
    <x v="19"/>
    <n v="329.27272727272725"/>
    <n v="-3.4235229155162861E-2"/>
    <d v="2022-10-23T00:00:00"/>
    <x v="375"/>
    <x v="2"/>
    <x v="1"/>
    <x v="1"/>
    <x v="30"/>
  </r>
  <r>
    <n v="541"/>
    <n v="403"/>
    <n v="184"/>
    <n v="5"/>
    <n v="4600"/>
    <x v="336"/>
    <x v="3"/>
    <n v="444"/>
    <x v="8"/>
    <n v="271.18181818181819"/>
    <n v="-0.32148843446195108"/>
    <x v="52"/>
    <n v="243.3"/>
    <n v="-0.24373201808466916"/>
    <d v="2022-05-07T00:00:00"/>
    <x v="376"/>
    <x v="2"/>
    <x v="0"/>
    <x v="0"/>
    <x v="258"/>
  </r>
  <r>
    <n v="542"/>
    <n v="248"/>
    <n v="497"/>
    <n v="2"/>
    <n v="4970"/>
    <x v="137"/>
    <x v="9"/>
    <n v="116"/>
    <x v="17"/>
    <n v="267.85483870967744"/>
    <n v="0.85548262780755091"/>
    <x v="66"/>
    <n v="273.625"/>
    <n v="0.81635449977158525"/>
    <d v="2022-03-23T00:00:00"/>
    <x v="11"/>
    <x v="2"/>
    <x v="1"/>
    <x v="1"/>
    <x v="3"/>
  </r>
  <r>
    <n v="543"/>
    <n v="492"/>
    <n v="469"/>
    <n v="4"/>
    <n v="9380"/>
    <x v="337"/>
    <x v="2"/>
    <n v="38"/>
    <x v="6"/>
    <n v="258.5128205128205"/>
    <n v="0.81422336837928988"/>
    <x v="54"/>
    <n v="292.66666666666669"/>
    <n v="0.60250569476081983"/>
    <d v="2022-09-15T00:00:00"/>
    <x v="377"/>
    <x v="4"/>
    <x v="1"/>
    <x v="1"/>
    <x v="213"/>
  </r>
  <r>
    <n v="544"/>
    <n v="428"/>
    <n v="263"/>
    <n v="4"/>
    <n v="5260"/>
    <x v="258"/>
    <x v="14"/>
    <n v="136"/>
    <x v="17"/>
    <n v="267.85483870967744"/>
    <n v="-1.8124887095803066E-2"/>
    <x v="35"/>
    <n v="250.25925925925927"/>
    <n v="5.0910167233979564E-2"/>
    <d v="2022-10-26T00:00:00"/>
    <x v="275"/>
    <x v="3"/>
    <x v="1"/>
    <x v="0"/>
    <x v="93"/>
  </r>
  <r>
    <n v="545"/>
    <n v="91"/>
    <n v="335"/>
    <n v="2"/>
    <n v="3350"/>
    <x v="338"/>
    <x v="15"/>
    <n v="310"/>
    <x v="11"/>
    <n v="262.63492063492066"/>
    <n v="0.27553487247673147"/>
    <x v="47"/>
    <n v="271"/>
    <n v="0.23616236162361615"/>
    <d v="2022-09-03T00:00:00"/>
    <x v="330"/>
    <x v="4"/>
    <x v="1"/>
    <x v="1"/>
    <x v="32"/>
  </r>
  <r>
    <n v="546"/>
    <n v="122"/>
    <n v="309"/>
    <n v="3"/>
    <n v="4635"/>
    <x v="339"/>
    <x v="11"/>
    <n v="263"/>
    <x v="12"/>
    <n v="274.16279069767444"/>
    <n v="0.12706760539485962"/>
    <x v="50"/>
    <n v="280.66666666666669"/>
    <n v="0.10095011876484561"/>
    <d v="2022-02-20T00:00:00"/>
    <x v="166"/>
    <x v="4"/>
    <x v="1"/>
    <x v="0"/>
    <x v="231"/>
  </r>
  <r>
    <n v="547"/>
    <n v="444"/>
    <n v="59"/>
    <n v="2"/>
    <n v="590"/>
    <x v="340"/>
    <x v="19"/>
    <n v="381"/>
    <x v="9"/>
    <n v="263.25423728813558"/>
    <n v="-0.77588204996137011"/>
    <x v="33"/>
    <n v="248.5"/>
    <n v="-0.76257545271629779"/>
    <d v="2022-06-02T00:00:00"/>
    <x v="352"/>
    <x v="0"/>
    <x v="1"/>
    <x v="1"/>
    <x v="105"/>
  </r>
  <r>
    <n v="548"/>
    <n v="334"/>
    <n v="459"/>
    <n v="5"/>
    <n v="11475"/>
    <x v="341"/>
    <x v="0"/>
    <n v="167"/>
    <x v="15"/>
    <n v="294.95238095238096"/>
    <n v="0.55618340329350979"/>
    <x v="41"/>
    <n v="274.77777777777777"/>
    <n v="0.67044076021027088"/>
    <d v="2022-01-02T00:00:00"/>
    <x v="199"/>
    <x v="0"/>
    <x v="1"/>
    <x v="0"/>
    <x v="75"/>
  </r>
  <r>
    <n v="549"/>
    <n v="431"/>
    <n v="149"/>
    <n v="5"/>
    <n v="3725"/>
    <x v="305"/>
    <x v="15"/>
    <n v="12"/>
    <x v="4"/>
    <n v="250.48780487804879"/>
    <n v="-0.40516066212268742"/>
    <x v="56"/>
    <n v="247.66666666666666"/>
    <n v="-0.39838492597577391"/>
    <d v="2022-10-08T00:00:00"/>
    <x v="378"/>
    <x v="1"/>
    <x v="1"/>
    <x v="0"/>
    <x v="2"/>
  </r>
  <r>
    <n v="550"/>
    <n v="62"/>
    <n v="88"/>
    <n v="1"/>
    <n v="440"/>
    <x v="342"/>
    <x v="6"/>
    <n v="44"/>
    <x v="6"/>
    <n v="258.5128205128205"/>
    <n v="-0.65959135092243604"/>
    <x v="60"/>
    <n v="289.88888888888891"/>
    <n v="-0.69643541586814872"/>
    <d v="2022-05-20T00:00:00"/>
    <x v="147"/>
    <x v="1"/>
    <x v="1"/>
    <x v="1"/>
    <x v="56"/>
  </r>
  <r>
    <n v="551"/>
    <n v="458"/>
    <n v="79"/>
    <n v="2"/>
    <n v="790"/>
    <x v="343"/>
    <x v="14"/>
    <n v="133"/>
    <x v="3"/>
    <n v="265.47674418604652"/>
    <n v="-0.70242214532871972"/>
    <x v="3"/>
    <n v="236.27586206896552"/>
    <n v="-0.66564506713368354"/>
    <d v="2022-01-27T00:00:00"/>
    <x v="379"/>
    <x v="0"/>
    <x v="0"/>
    <x v="1"/>
    <x v="246"/>
  </r>
  <r>
    <n v="552"/>
    <n v="119"/>
    <n v="369"/>
    <n v="2"/>
    <n v="3690"/>
    <x v="175"/>
    <x v="12"/>
    <n v="21"/>
    <x v="2"/>
    <n v="283.468085106383"/>
    <n v="0.30173384372888989"/>
    <x v="31"/>
    <n v="323.07692307692309"/>
    <n v="0.14214285714285713"/>
    <d v="2022-11-16T00:00:00"/>
    <x v="380"/>
    <x v="1"/>
    <x v="1"/>
    <x v="0"/>
    <x v="183"/>
  </r>
  <r>
    <n v="553"/>
    <n v="388"/>
    <n v="107"/>
    <n v="1"/>
    <n v="535"/>
    <x v="344"/>
    <x v="4"/>
    <n v="179"/>
    <x v="6"/>
    <n v="258.5128205128205"/>
    <n v="-0.5860940289625074"/>
    <x v="6"/>
    <n v="260.64705882352939"/>
    <n v="-0.58948318663958466"/>
    <d v="2022-09-29T00:00:00"/>
    <x v="155"/>
    <x v="2"/>
    <x v="1"/>
    <x v="0"/>
    <x v="33"/>
  </r>
  <r>
    <n v="554"/>
    <n v="303"/>
    <n v="258"/>
    <n v="4"/>
    <n v="5160"/>
    <x v="185"/>
    <x v="10"/>
    <n v="300"/>
    <x v="12"/>
    <n v="274.16279069767444"/>
    <n v="-5.89532615149716E-2"/>
    <x v="65"/>
    <n v="258.30769230769232"/>
    <n v="-1.1911852293031711E-3"/>
    <d v="2022-09-20T00:00:00"/>
    <x v="381"/>
    <x v="3"/>
    <x v="0"/>
    <x v="0"/>
    <x v="259"/>
  </r>
  <r>
    <n v="555"/>
    <n v="160"/>
    <n v="400"/>
    <n v="3"/>
    <n v="6000"/>
    <x v="345"/>
    <x v="19"/>
    <n v="134"/>
    <x v="18"/>
    <n v="255.11627906976744"/>
    <n v="0.56791248860528709"/>
    <x v="34"/>
    <n v="250.30769230769232"/>
    <n v="0.59803318992009835"/>
    <d v="2022-07-11T00:00:00"/>
    <x v="382"/>
    <x v="2"/>
    <x v="1"/>
    <x v="0"/>
    <x v="71"/>
  </r>
  <r>
    <n v="556"/>
    <n v="66"/>
    <n v="230"/>
    <n v="2"/>
    <n v="2300"/>
    <x v="289"/>
    <x v="13"/>
    <n v="391"/>
    <x v="7"/>
    <n v="249.02380952380952"/>
    <n v="-7.639353666698534E-2"/>
    <x v="39"/>
    <n v="222.2"/>
    <n v="3.5103510351035094E-2"/>
    <d v="2022-04-24T00:00:00"/>
    <x v="157"/>
    <x v="4"/>
    <x v="1"/>
    <x v="0"/>
    <x v="201"/>
  </r>
  <r>
    <n v="557"/>
    <n v="125"/>
    <n v="187"/>
    <n v="5"/>
    <n v="4675"/>
    <x v="22"/>
    <x v="15"/>
    <n v="54"/>
    <x v="13"/>
    <n v="258.375"/>
    <n v="-0.27624576681180457"/>
    <x v="61"/>
    <n v="187"/>
    <n v="0"/>
    <d v="2022-10-13T00:00:00"/>
    <x v="211"/>
    <x v="1"/>
    <x v="0"/>
    <x v="1"/>
    <x v="116"/>
  </r>
  <r>
    <n v="558"/>
    <n v="280"/>
    <n v="234"/>
    <n v="2"/>
    <n v="2340"/>
    <x v="346"/>
    <x v="4"/>
    <n v="19"/>
    <x v="11"/>
    <n v="262.63492063492066"/>
    <n v="-0.10902937265804435"/>
    <x v="21"/>
    <n v="238.72222222222223"/>
    <n v="-1.9781242727484272E-2"/>
    <d v="2022-12-07T00:00:00"/>
    <x v="176"/>
    <x v="2"/>
    <x v="1"/>
    <x v="0"/>
    <x v="192"/>
  </r>
  <r>
    <n v="559"/>
    <n v="309"/>
    <n v="368"/>
    <n v="3"/>
    <n v="5520"/>
    <x v="111"/>
    <x v="7"/>
    <n v="340"/>
    <x v="17"/>
    <n v="267.85483870967744"/>
    <n v="0.37387848497621468"/>
    <x v="27"/>
    <n v="288.23809523809524"/>
    <n v="0.27672228646951913"/>
    <d v="2022-12-01T00:00:00"/>
    <x v="383"/>
    <x v="2"/>
    <x v="0"/>
    <x v="1"/>
    <x v="154"/>
  </r>
  <r>
    <n v="560"/>
    <n v="317"/>
    <n v="267"/>
    <n v="3"/>
    <n v="4005"/>
    <x v="193"/>
    <x v="18"/>
    <n v="71"/>
    <x v="5"/>
    <n v="268.60344827586209"/>
    <n v="-5.9695744271135442E-3"/>
    <x v="5"/>
    <n v="281.96875"/>
    <n v="-5.3086556577634947E-2"/>
    <d v="2022-07-20T00:00:00"/>
    <x v="362"/>
    <x v="3"/>
    <x v="1"/>
    <x v="0"/>
    <x v="72"/>
  </r>
  <r>
    <n v="561"/>
    <n v="260"/>
    <n v="370"/>
    <n v="5"/>
    <n v="9250"/>
    <x v="347"/>
    <x v="10"/>
    <n v="102"/>
    <x v="1"/>
    <n v="264.8679245283019"/>
    <n v="0.39692263855250021"/>
    <x v="13"/>
    <n v="320.84615384615387"/>
    <n v="0.15320067130184589"/>
    <d v="2022-06-11T00:00:00"/>
    <x v="384"/>
    <x v="0"/>
    <x v="1"/>
    <x v="1"/>
    <x v="241"/>
  </r>
  <r>
    <n v="562"/>
    <n v="448"/>
    <n v="170"/>
    <n v="1"/>
    <n v="850"/>
    <x v="263"/>
    <x v="18"/>
    <n v="43"/>
    <x v="9"/>
    <n v="263.25423728813558"/>
    <n v="-0.35423641514293069"/>
    <x v="9"/>
    <n v="257.78260869565219"/>
    <n v="-0.34052960026986001"/>
    <d v="2022-12-17T00:00:00"/>
    <x v="43"/>
    <x v="2"/>
    <x v="1"/>
    <x v="0"/>
    <x v="58"/>
  </r>
  <r>
    <n v="563"/>
    <n v="158"/>
    <n v="71"/>
    <n v="2"/>
    <n v="710"/>
    <x v="137"/>
    <x v="5"/>
    <n v="29"/>
    <x v="0"/>
    <n v="252.76271186440678"/>
    <n v="-0.71910413732984646"/>
    <x v="11"/>
    <n v="240.26666666666668"/>
    <n v="-0.7044950055493896"/>
    <d v="2022-05-23T00:00:00"/>
    <x v="385"/>
    <x v="2"/>
    <x v="1"/>
    <x v="0"/>
    <x v="195"/>
  </r>
  <r>
    <n v="564"/>
    <n v="274"/>
    <n v="472"/>
    <n v="3"/>
    <n v="7080"/>
    <x v="306"/>
    <x v="1"/>
    <n v="272"/>
    <x v="15"/>
    <n v="294.95238095238096"/>
    <n v="0.60025831449790124"/>
    <x v="23"/>
    <n v="318.81818181818181"/>
    <n v="0.48046763615625898"/>
    <d v="2022-04-17T00:00:00"/>
    <x v="55"/>
    <x v="4"/>
    <x v="0"/>
    <x v="1"/>
    <x v="52"/>
  </r>
  <r>
    <n v="565"/>
    <n v="471"/>
    <n v="294"/>
    <n v="2"/>
    <n v="2940"/>
    <x v="348"/>
    <x v="3"/>
    <n v="370"/>
    <x v="4"/>
    <n v="250.48780487804879"/>
    <n v="0.17370983446932819"/>
    <x v="4"/>
    <n v="159.19999999999999"/>
    <n v="0.8467336683417086"/>
    <d v="2022-06-14T00:00:00"/>
    <x v="386"/>
    <x v="4"/>
    <x v="1"/>
    <x v="0"/>
    <x v="49"/>
  </r>
  <r>
    <n v="566"/>
    <n v="398"/>
    <n v="65"/>
    <n v="4"/>
    <n v="1300"/>
    <x v="349"/>
    <x v="7"/>
    <n v="165"/>
    <x v="5"/>
    <n v="268.60344827586209"/>
    <n v="-0.75800757429873555"/>
    <x v="5"/>
    <n v="281.96875"/>
    <n v="-0.7694780006649673"/>
    <d v="2022-02-07T00:00:00"/>
    <x v="27"/>
    <x v="4"/>
    <x v="0"/>
    <x v="0"/>
    <x v="260"/>
  </r>
  <r>
    <n v="567"/>
    <n v="395"/>
    <n v="454"/>
    <n v="5"/>
    <n v="11350"/>
    <x v="350"/>
    <x v="4"/>
    <n v="147"/>
    <x v="1"/>
    <n v="264.8679245283019"/>
    <n v="0.71406183216982466"/>
    <x v="64"/>
    <n v="236.91666666666666"/>
    <n v="0.91628561378825202"/>
    <d v="2022-09-23T00:00:00"/>
    <x v="387"/>
    <x v="2"/>
    <x v="1"/>
    <x v="0"/>
    <x v="166"/>
  </r>
  <r>
    <n v="568"/>
    <n v="424"/>
    <n v="472"/>
    <n v="3"/>
    <n v="7080"/>
    <x v="56"/>
    <x v="14"/>
    <n v="181"/>
    <x v="2"/>
    <n v="283.468085106383"/>
    <n v="0.66509044509494841"/>
    <x v="31"/>
    <n v="323.07692307692309"/>
    <n v="0.46095238095238078"/>
    <d v="2022-01-07T00:00:00"/>
    <x v="388"/>
    <x v="3"/>
    <x v="1"/>
    <x v="0"/>
    <x v="163"/>
  </r>
  <r>
    <n v="569"/>
    <n v="474"/>
    <n v="261"/>
    <n v="2"/>
    <n v="2610"/>
    <x v="320"/>
    <x v="19"/>
    <n v="88"/>
    <x v="15"/>
    <n v="294.95238095238096"/>
    <n v="-0.11511139812721993"/>
    <x v="23"/>
    <n v="318.81818181818181"/>
    <n v="-0.18135158254918737"/>
    <d v="2022-03-10T00:00:00"/>
    <x v="309"/>
    <x v="3"/>
    <x v="1"/>
    <x v="0"/>
    <x v="83"/>
  </r>
  <r>
    <n v="570"/>
    <n v="346"/>
    <n v="390"/>
    <n v="5"/>
    <n v="9750"/>
    <x v="351"/>
    <x v="12"/>
    <n v="10"/>
    <x v="8"/>
    <n v="271.18181818181819"/>
    <n v="0.43814951391216894"/>
    <x v="8"/>
    <n v="291.45454545454544"/>
    <n v="0.33811603243917654"/>
    <d v="2022-11-16T00:00:00"/>
    <x v="2"/>
    <x v="3"/>
    <x v="1"/>
    <x v="1"/>
    <x v="2"/>
  </r>
  <r>
    <n v="571"/>
    <n v="132"/>
    <n v="497"/>
    <n v="4"/>
    <n v="9940"/>
    <x v="195"/>
    <x v="19"/>
    <n v="364"/>
    <x v="6"/>
    <n v="258.5128205128205"/>
    <n v="0.92253521126760574"/>
    <x v="6"/>
    <n v="260.64705882352939"/>
    <n v="0.90679304897314394"/>
    <d v="2022-11-18T00:00:00"/>
    <x v="389"/>
    <x v="2"/>
    <x v="1"/>
    <x v="0"/>
    <x v="114"/>
  </r>
  <r>
    <n v="572"/>
    <n v="17"/>
    <n v="363"/>
    <n v="4"/>
    <n v="7260"/>
    <x v="352"/>
    <x v="12"/>
    <n v="277"/>
    <x v="7"/>
    <n v="249.02380952380952"/>
    <n v="0.45769193995601887"/>
    <x v="7"/>
    <n v="276.21052631578948"/>
    <n v="0.31421493902439024"/>
    <d v="2022-07-08T00:00:00"/>
    <x v="390"/>
    <x v="2"/>
    <x v="1"/>
    <x v="0"/>
    <x v="6"/>
  </r>
  <r>
    <n v="573"/>
    <n v="63"/>
    <n v="251"/>
    <n v="1"/>
    <n v="1255"/>
    <x v="242"/>
    <x v="11"/>
    <n v="214"/>
    <x v="6"/>
    <n v="258.5128205128205"/>
    <n v="-2.9061694108311831E-2"/>
    <x v="60"/>
    <n v="289.88888888888891"/>
    <n v="-0.13415101571483334"/>
    <d v="2022-02-09T00:00:00"/>
    <x v="47"/>
    <x v="2"/>
    <x v="0"/>
    <x v="0"/>
    <x v="151"/>
  </r>
  <r>
    <n v="574"/>
    <n v="89"/>
    <n v="492"/>
    <n v="2"/>
    <n v="4920"/>
    <x v="296"/>
    <x v="9"/>
    <n v="402"/>
    <x v="17"/>
    <n v="267.85483870967744"/>
    <n v="0.83681580056602622"/>
    <x v="27"/>
    <n v="288.23809523809524"/>
    <n v="0.70692218734511814"/>
    <d v="2022-06-30T00:00:00"/>
    <x v="105"/>
    <x v="0"/>
    <x v="1"/>
    <x v="0"/>
    <x v="113"/>
  </r>
  <r>
    <n v="575"/>
    <n v="260"/>
    <n v="449"/>
    <n v="1"/>
    <n v="2245"/>
    <x v="115"/>
    <x v="16"/>
    <n v="490"/>
    <x v="1"/>
    <n v="264.8679245283019"/>
    <n v="0.69518449921641245"/>
    <x v="13"/>
    <n v="320.84615384615387"/>
    <n v="0.39942459841764566"/>
    <d v="2022-02-11T00:00:00"/>
    <x v="90"/>
    <x v="2"/>
    <x v="1"/>
    <x v="1"/>
    <x v="16"/>
  </r>
  <r>
    <n v="576"/>
    <n v="27"/>
    <n v="193"/>
    <n v="1"/>
    <n v="965"/>
    <x v="353"/>
    <x v="7"/>
    <n v="151"/>
    <x v="3"/>
    <n v="265.47674418604652"/>
    <n v="-0.27300600061320135"/>
    <x v="16"/>
    <n v="276.67567567567568"/>
    <n v="-0.30243235322848494"/>
    <d v="2022-12-28T00:00:00"/>
    <x v="236"/>
    <x v="1"/>
    <x v="1"/>
    <x v="1"/>
    <x v="244"/>
  </r>
  <r>
    <n v="577"/>
    <n v="221"/>
    <n v="406"/>
    <n v="3"/>
    <n v="6090"/>
    <x v="354"/>
    <x v="19"/>
    <n v="409"/>
    <x v="14"/>
    <n v="273.72549019607845"/>
    <n v="0.48323782234957013"/>
    <x v="22"/>
    <n v="280.23809523809524"/>
    <n v="0.44876805437553102"/>
    <d v="2022-11-04T00:00:00"/>
    <x v="208"/>
    <x v="3"/>
    <x v="0"/>
    <x v="1"/>
    <x v="261"/>
  </r>
  <r>
    <n v="578"/>
    <n v="127"/>
    <n v="384"/>
    <n v="2"/>
    <n v="3840"/>
    <x v="168"/>
    <x v="11"/>
    <n v="348"/>
    <x v="4"/>
    <n v="250.48780487804879"/>
    <n v="0.53300876338851011"/>
    <x v="75"/>
    <n v="208"/>
    <n v="0.84615384615384626"/>
    <d v="2022-01-08T00:00:00"/>
    <x v="390"/>
    <x v="3"/>
    <x v="0"/>
    <x v="0"/>
    <x v="262"/>
  </r>
  <r>
    <n v="579"/>
    <n v="464"/>
    <n v="356"/>
    <n v="4"/>
    <n v="7120"/>
    <x v="173"/>
    <x v="11"/>
    <n v="255"/>
    <x v="11"/>
    <n v="262.63492063492066"/>
    <n v="0.35549377493049672"/>
    <x v="47"/>
    <n v="271"/>
    <n v="0.31365313653136528"/>
    <d v="2022-08-20T00:00:00"/>
    <x v="391"/>
    <x v="3"/>
    <x v="1"/>
    <x v="0"/>
    <x v="143"/>
  </r>
  <r>
    <n v="580"/>
    <n v="426"/>
    <n v="438"/>
    <n v="1"/>
    <n v="2190"/>
    <x v="261"/>
    <x v="2"/>
    <n v="27"/>
    <x v="2"/>
    <n v="283.468085106383"/>
    <n v="0.54514748930421075"/>
    <x v="46"/>
    <n v="321.63636363636363"/>
    <n v="0.36178631995477684"/>
    <d v="2022-01-25T00:00:00"/>
    <x v="346"/>
    <x v="3"/>
    <x v="1"/>
    <x v="1"/>
    <x v="255"/>
  </r>
  <r>
    <n v="581"/>
    <n v="224"/>
    <n v="232"/>
    <n v="5"/>
    <n v="5800"/>
    <x v="274"/>
    <x v="19"/>
    <n v="219"/>
    <x v="14"/>
    <n v="273.72549019607845"/>
    <n v="-0.15243553008596"/>
    <x v="22"/>
    <n v="280.23809523809524"/>
    <n v="-0.17213254035683945"/>
    <d v="2022-01-24T00:00:00"/>
    <x v="96"/>
    <x v="4"/>
    <x v="1"/>
    <x v="0"/>
    <x v="226"/>
  </r>
  <r>
    <n v="582"/>
    <n v="198"/>
    <n v="383"/>
    <n v="2"/>
    <n v="3830"/>
    <x v="355"/>
    <x v="5"/>
    <n v="272"/>
    <x v="10"/>
    <n v="271.74545454545455"/>
    <n v="0.40940719925063562"/>
    <x v="15"/>
    <n v="316.58333333333331"/>
    <n v="0.2097920505396158"/>
    <d v="2022-04-17T00:00:00"/>
    <x v="392"/>
    <x v="4"/>
    <x v="1"/>
    <x v="1"/>
    <x v="52"/>
  </r>
  <r>
    <n v="583"/>
    <n v="233"/>
    <n v="419"/>
    <n v="5"/>
    <n v="10475"/>
    <x v="310"/>
    <x v="17"/>
    <n v="388"/>
    <x v="9"/>
    <n v="263.25423728813558"/>
    <n v="0.59161730620654129"/>
    <x v="9"/>
    <n v="257.78260869565219"/>
    <n v="0.62540057345252142"/>
    <d v="2022-01-20T00:00:00"/>
    <x v="285"/>
    <x v="2"/>
    <x v="1"/>
    <x v="0"/>
    <x v="111"/>
  </r>
  <r>
    <n v="584"/>
    <n v="355"/>
    <n v="210"/>
    <n v="1"/>
    <n v="1050"/>
    <x v="302"/>
    <x v="6"/>
    <n v="446"/>
    <x v="7"/>
    <n v="249.02380952380952"/>
    <n v="-0.15670714217420401"/>
    <x v="7"/>
    <n v="276.21052631578948"/>
    <n v="-0.23971036585365857"/>
    <d v="2022-04-20T00:00:00"/>
    <x v="217"/>
    <x v="4"/>
    <x v="1"/>
    <x v="0"/>
    <x v="9"/>
  </r>
  <r>
    <n v="585"/>
    <n v="118"/>
    <n v="214"/>
    <n v="2"/>
    <n v="2140"/>
    <x v="18"/>
    <x v="6"/>
    <n v="138"/>
    <x v="0"/>
    <n v="252.76271186440678"/>
    <n v="-0.15335613223362166"/>
    <x v="0"/>
    <n v="240.5"/>
    <n v="-0.11018711018711014"/>
    <d v="2022-06-11T00:00:00"/>
    <x v="187"/>
    <x v="3"/>
    <x v="1"/>
    <x v="0"/>
    <x v="238"/>
  </r>
  <r>
    <n v="586"/>
    <n v="414"/>
    <n v="115"/>
    <n v="2"/>
    <n v="1150"/>
    <x v="309"/>
    <x v="4"/>
    <n v="402"/>
    <x v="12"/>
    <n v="274.16279069767444"/>
    <n v="-0.58054118245822384"/>
    <x v="18"/>
    <n v="253.6875"/>
    <n v="-0.54668637595466862"/>
    <d v="2022-06-30T00:00:00"/>
    <x v="99"/>
    <x v="0"/>
    <x v="1"/>
    <x v="0"/>
    <x v="113"/>
  </r>
  <r>
    <n v="587"/>
    <n v="405"/>
    <n v="340"/>
    <n v="1"/>
    <n v="1700"/>
    <x v="302"/>
    <x v="3"/>
    <n v="351"/>
    <x v="16"/>
    <n v="300.31818181818181"/>
    <n v="0.1321325866505223"/>
    <x v="51"/>
    <n v="331.16666666666669"/>
    <n v="2.6673376950176131E-2"/>
    <d v="2022-10-29T00:00:00"/>
    <x v="248"/>
    <x v="2"/>
    <x v="0"/>
    <x v="0"/>
    <x v="23"/>
  </r>
  <r>
    <n v="588"/>
    <n v="313"/>
    <n v="392"/>
    <n v="5"/>
    <n v="9800"/>
    <x v="73"/>
    <x v="0"/>
    <n v="40"/>
    <x v="17"/>
    <n v="267.85483870967744"/>
    <n v="0.46347925573553317"/>
    <x v="35"/>
    <n v="250.25925925925927"/>
    <n v="0.56637561047802265"/>
    <d v="2022-10-21T00:00:00"/>
    <x v="393"/>
    <x v="2"/>
    <x v="0"/>
    <x v="1"/>
    <x v="228"/>
  </r>
  <r>
    <n v="589"/>
    <n v="113"/>
    <n v="378"/>
    <n v="1"/>
    <n v="1890"/>
    <x v="104"/>
    <x v="2"/>
    <n v="19"/>
    <x v="5"/>
    <n v="268.60344827586209"/>
    <n v="0.4072790294627382"/>
    <x v="28"/>
    <n v="242.81818181818181"/>
    <n v="0.55672032946462013"/>
    <d v="2022-12-07T00:00:00"/>
    <x v="394"/>
    <x v="2"/>
    <x v="1"/>
    <x v="0"/>
    <x v="192"/>
  </r>
  <r>
    <n v="590"/>
    <n v="474"/>
    <n v="204"/>
    <n v="2"/>
    <n v="2040"/>
    <x v="6"/>
    <x v="15"/>
    <n v="153"/>
    <x v="15"/>
    <n v="294.95238095238096"/>
    <n v="-0.30836293186955122"/>
    <x v="23"/>
    <n v="318.81818181818181"/>
    <n v="-0.36013686911890508"/>
    <d v="2022-08-29T00:00:00"/>
    <x v="87"/>
    <x v="2"/>
    <x v="1"/>
    <x v="1"/>
    <x v="78"/>
  </r>
  <r>
    <n v="591"/>
    <n v="361"/>
    <n v="69"/>
    <n v="1"/>
    <n v="345"/>
    <x v="304"/>
    <x v="19"/>
    <n v="355"/>
    <x v="10"/>
    <n v="271.74545454545455"/>
    <n v="-0.74608590927338425"/>
    <x v="12"/>
    <n v="212.8125"/>
    <n v="-0.67577092511013215"/>
    <d v="2022-03-11T00:00:00"/>
    <x v="24"/>
    <x v="2"/>
    <x v="1"/>
    <x v="1"/>
    <x v="202"/>
  </r>
  <r>
    <n v="592"/>
    <n v="291"/>
    <n v="455"/>
    <n v="5"/>
    <n v="11375"/>
    <x v="213"/>
    <x v="10"/>
    <n v="245"/>
    <x v="6"/>
    <n v="258.5128205128205"/>
    <n v="0.76006744693513206"/>
    <x v="60"/>
    <n v="289.88888888888891"/>
    <n v="0.56956688386354903"/>
    <d v="2022-05-14T00:00:00"/>
    <x v="395"/>
    <x v="0"/>
    <x v="0"/>
    <x v="1"/>
    <x v="263"/>
  </r>
  <r>
    <n v="593"/>
    <n v="360"/>
    <n v="137"/>
    <n v="2"/>
    <n v="1370"/>
    <x v="356"/>
    <x v="14"/>
    <n v="80"/>
    <x v="1"/>
    <n v="264.8679245283019"/>
    <n v="-0.48276107707650662"/>
    <x v="64"/>
    <n v="236.91666666666666"/>
    <n v="-0.42173760112557157"/>
    <d v="2022-03-03T00:00:00"/>
    <x v="396"/>
    <x v="1"/>
    <x v="1"/>
    <x v="1"/>
    <x v="248"/>
  </r>
  <r>
    <n v="594"/>
    <n v="182"/>
    <n v="152"/>
    <n v="3"/>
    <n v="2280"/>
    <x v="357"/>
    <x v="14"/>
    <n v="466"/>
    <x v="1"/>
    <n v="264.8679245283019"/>
    <n v="-0.42612907821627011"/>
    <x v="13"/>
    <n v="320.84615384615387"/>
    <n v="-0.5262526971949173"/>
    <d v="2022-07-30T00:00:00"/>
    <x v="397"/>
    <x v="1"/>
    <x v="0"/>
    <x v="0"/>
    <x v="264"/>
  </r>
  <r>
    <n v="595"/>
    <n v="490"/>
    <n v="170"/>
    <n v="5"/>
    <n v="4250"/>
    <x v="18"/>
    <x v="9"/>
    <n v="317"/>
    <x v="11"/>
    <n v="262.63492063492066"/>
    <n v="-0.35271364680285267"/>
    <x v="47"/>
    <n v="271"/>
    <n v="-0.37269372693726932"/>
    <d v="2022-07-28T00:00:00"/>
    <x v="137"/>
    <x v="2"/>
    <x v="1"/>
    <x v="1"/>
    <x v="65"/>
  </r>
  <r>
    <n v="596"/>
    <n v="215"/>
    <n v="496"/>
    <n v="2"/>
    <n v="4960"/>
    <x v="358"/>
    <x v="4"/>
    <n v="342"/>
    <x v="5"/>
    <n v="268.60344827586209"/>
    <n v="0.84658835612041838"/>
    <x v="5"/>
    <n v="281.96875"/>
    <n v="0.75906017954117266"/>
    <d v="2022-01-09T00:00:00"/>
    <x v="398"/>
    <x v="4"/>
    <x v="1"/>
    <x v="0"/>
    <x v="106"/>
  </r>
  <r>
    <n v="597"/>
    <n v="137"/>
    <n v="411"/>
    <n v="1"/>
    <n v="2055"/>
    <x v="231"/>
    <x v="19"/>
    <n v="130"/>
    <x v="12"/>
    <n v="274.16279069767444"/>
    <n v="0.49910933921452183"/>
    <x v="18"/>
    <n v="253.6875"/>
    <n v="0.62010347376201036"/>
    <d v="2022-10-29T00:00:00"/>
    <x v="399"/>
    <x v="4"/>
    <x v="1"/>
    <x v="1"/>
    <x v="74"/>
  </r>
  <r>
    <n v="598"/>
    <n v="75"/>
    <n v="240"/>
    <n v="4"/>
    <n v="4800"/>
    <x v="359"/>
    <x v="14"/>
    <n v="53"/>
    <x v="2"/>
    <n v="283.468085106383"/>
    <n v="-0.15334384147714486"/>
    <x v="36"/>
    <n v="249.5"/>
    <n v="-3.8076152304609256E-2"/>
    <d v="2022-02-01T00:00:00"/>
    <x v="400"/>
    <x v="2"/>
    <x v="1"/>
    <x v="1"/>
    <x v="256"/>
  </r>
  <r>
    <n v="599"/>
    <n v="359"/>
    <n v="302"/>
    <n v="4"/>
    <n v="6040"/>
    <x v="183"/>
    <x v="14"/>
    <n v="122"/>
    <x v="10"/>
    <n v="271.74545454545455"/>
    <n v="0.11133413622373878"/>
    <x v="15"/>
    <n v="316.58333333333331"/>
    <n v="-4.6064753882600673E-2"/>
    <d v="2022-05-02T00:00:00"/>
    <x v="401"/>
    <x v="1"/>
    <x v="0"/>
    <x v="1"/>
    <x v="265"/>
  </r>
  <r>
    <n v="600"/>
    <n v="364"/>
    <n v="138"/>
    <n v="4"/>
    <n v="2760"/>
    <x v="294"/>
    <x v="14"/>
    <n v="199"/>
    <x v="0"/>
    <n v="252.76271186440678"/>
    <n v="-0.45403339368336348"/>
    <x v="45"/>
    <n v="293.41176470588238"/>
    <n v="-0.52967121090617486"/>
    <d v="2022-06-03T00:00:00"/>
    <x v="227"/>
    <x v="0"/>
    <x v="0"/>
    <x v="0"/>
    <x v="3"/>
  </r>
  <r>
    <n v="601"/>
    <n v="197"/>
    <n v="309"/>
    <n v="4"/>
    <n v="6180"/>
    <x v="155"/>
    <x v="7"/>
    <n v="52"/>
    <x v="2"/>
    <n v="283.468085106383"/>
    <n v="9.0069804098175998E-2"/>
    <x v="2"/>
    <n v="232.44444444444446"/>
    <n v="0.32934990439770551"/>
    <d v="2022-12-22T00:00:00"/>
    <x v="124"/>
    <x v="2"/>
    <x v="1"/>
    <x v="0"/>
    <x v="132"/>
  </r>
  <r>
    <n v="602"/>
    <n v="157"/>
    <n v="473"/>
    <n v="5"/>
    <n v="11825"/>
    <x v="139"/>
    <x v="14"/>
    <n v="477"/>
    <x v="11"/>
    <n v="262.63492063492066"/>
    <n v="0.80097908860147449"/>
    <x v="21"/>
    <n v="238.72222222222223"/>
    <n v="0.98138235978589705"/>
    <d v="2022-06-26T00:00:00"/>
    <x v="185"/>
    <x v="0"/>
    <x v="1"/>
    <x v="0"/>
    <x v="6"/>
  </r>
  <r>
    <n v="603"/>
    <n v="105"/>
    <n v="187"/>
    <n v="1"/>
    <n v="935"/>
    <x v="123"/>
    <x v="11"/>
    <n v="24"/>
    <x v="12"/>
    <n v="274.16279069767444"/>
    <n v="-0.31792348799728565"/>
    <x v="50"/>
    <n v="280.66666666666669"/>
    <n v="-0.333729216152019"/>
    <d v="2022-02-17T00:00:00"/>
    <x v="378"/>
    <x v="0"/>
    <x v="1"/>
    <x v="0"/>
    <x v="26"/>
  </r>
  <r>
    <n v="604"/>
    <n v="479"/>
    <n v="314"/>
    <n v="3"/>
    <n v="4710"/>
    <x v="360"/>
    <x v="8"/>
    <n v="293"/>
    <x v="4"/>
    <n v="250.48780487804879"/>
    <n v="0.25355404089581302"/>
    <x v="56"/>
    <n v="247.66666666666666"/>
    <n v="0.26783310901749657"/>
    <d v="2022-01-12T00:00:00"/>
    <x v="402"/>
    <x v="1"/>
    <x v="1"/>
    <x v="0"/>
    <x v="107"/>
  </r>
  <r>
    <n v="605"/>
    <n v="285"/>
    <n v="122"/>
    <n v="5"/>
    <n v="3050"/>
    <x v="107"/>
    <x v="9"/>
    <n v="447"/>
    <x v="3"/>
    <n v="265.47674418604652"/>
    <n v="-0.5404493889886558"/>
    <x v="16"/>
    <n v="276.67567567567568"/>
    <n v="-0.55905050307707338"/>
    <d v="2022-12-03T00:00:00"/>
    <x v="403"/>
    <x v="4"/>
    <x v="0"/>
    <x v="0"/>
    <x v="266"/>
  </r>
  <r>
    <n v="606"/>
    <n v="93"/>
    <n v="184"/>
    <n v="2"/>
    <n v="1840"/>
    <x v="0"/>
    <x v="11"/>
    <n v="163"/>
    <x v="8"/>
    <n v="271.18181818181819"/>
    <n v="-0.32148843446195108"/>
    <x v="8"/>
    <n v="291.45454545454544"/>
    <n v="-0.36868371802869615"/>
    <d v="2022-01-10T00:00:00"/>
    <x v="138"/>
    <x v="0"/>
    <x v="0"/>
    <x v="0"/>
    <x v="157"/>
  </r>
  <r>
    <n v="607"/>
    <n v="199"/>
    <n v="172"/>
    <n v="3"/>
    <n v="2580"/>
    <x v="361"/>
    <x v="14"/>
    <n v="421"/>
    <x v="3"/>
    <n v="265.47674418604652"/>
    <n v="-0.35210897463974422"/>
    <x v="3"/>
    <n v="236.27586206896552"/>
    <n v="-0.27203736135434908"/>
    <d v="2022-02-28T00:00:00"/>
    <x v="326"/>
    <x v="2"/>
    <x v="1"/>
    <x v="1"/>
    <x v="187"/>
  </r>
  <r>
    <n v="608"/>
    <n v="122"/>
    <n v="482"/>
    <n v="4"/>
    <n v="9640"/>
    <x v="123"/>
    <x v="15"/>
    <n v="320"/>
    <x v="12"/>
    <n v="274.16279069767444"/>
    <n v="0.75807956569683599"/>
    <x v="50"/>
    <n v="280.66666666666669"/>
    <n v="0.71733966745843225"/>
    <d v="2022-11-04T00:00:00"/>
    <x v="404"/>
    <x v="1"/>
    <x v="0"/>
    <x v="1"/>
    <x v="267"/>
  </r>
  <r>
    <n v="609"/>
    <n v="415"/>
    <n v="350"/>
    <n v="1"/>
    <n v="1750"/>
    <x v="362"/>
    <x v="0"/>
    <n v="199"/>
    <x v="14"/>
    <n v="273.72549019607845"/>
    <n v="0.27865329512893977"/>
    <x v="22"/>
    <n v="280.23809523809524"/>
    <n v="0.24893797790994054"/>
    <d v="2022-06-03T00:00:00"/>
    <x v="405"/>
    <x v="0"/>
    <x v="1"/>
    <x v="0"/>
    <x v="3"/>
  </r>
  <r>
    <n v="610"/>
    <n v="315"/>
    <n v="232"/>
    <n v="1"/>
    <n v="1160"/>
    <x v="363"/>
    <x v="5"/>
    <n v="247"/>
    <x v="9"/>
    <n v="263.25423728813558"/>
    <n v="-0.11872263713623488"/>
    <x v="43"/>
    <n v="287.10000000000002"/>
    <n v="-0.19191919191919193"/>
    <d v="2022-07-20T00:00:00"/>
    <x v="406"/>
    <x v="0"/>
    <x v="1"/>
    <x v="0"/>
    <x v="118"/>
  </r>
  <r>
    <n v="611"/>
    <n v="25"/>
    <n v="222"/>
    <n v="1"/>
    <n v="1110"/>
    <x v="58"/>
    <x v="3"/>
    <n v="364"/>
    <x v="14"/>
    <n v="273.72549019607845"/>
    <n v="-0.18896848137535827"/>
    <x v="58"/>
    <n v="241.83333333333334"/>
    <n v="-8.2012405237767094E-2"/>
    <d v="2022-11-18T00:00:00"/>
    <x v="36"/>
    <x v="2"/>
    <x v="1"/>
    <x v="0"/>
    <x v="114"/>
  </r>
  <r>
    <n v="612"/>
    <n v="207"/>
    <n v="152"/>
    <n v="3"/>
    <n v="2280"/>
    <x v="236"/>
    <x v="3"/>
    <n v="173"/>
    <x v="0"/>
    <n v="252.76271186440678"/>
    <n v="-0.39864547710051634"/>
    <x v="68"/>
    <n v="215.85714285714286"/>
    <n v="-0.29583057577763072"/>
    <d v="2022-04-22T00:00:00"/>
    <x v="352"/>
    <x v="2"/>
    <x v="0"/>
    <x v="1"/>
    <x v="230"/>
  </r>
  <r>
    <n v="613"/>
    <n v="180"/>
    <n v="284"/>
    <n v="1"/>
    <n v="1420"/>
    <x v="33"/>
    <x v="1"/>
    <n v="485"/>
    <x v="14"/>
    <n v="273.72549019607845"/>
    <n v="3.7535816618911033E-2"/>
    <x v="58"/>
    <n v="241.83333333333334"/>
    <n v="0.17436250861474845"/>
    <d v="2022-06-11T00:00:00"/>
    <x v="407"/>
    <x v="2"/>
    <x v="0"/>
    <x v="1"/>
    <x v="268"/>
  </r>
  <r>
    <n v="614"/>
    <n v="117"/>
    <n v="208"/>
    <n v="3"/>
    <n v="3120"/>
    <x v="330"/>
    <x v="0"/>
    <n v="401"/>
    <x v="3"/>
    <n v="265.47674418604652"/>
    <n v="-0.21650387630852785"/>
    <x v="29"/>
    <n v="235.55555555555554"/>
    <n v="-0.11698113207547167"/>
    <d v="2022-10-22T00:00:00"/>
    <x v="227"/>
    <x v="2"/>
    <x v="0"/>
    <x v="1"/>
    <x v="269"/>
  </r>
  <r>
    <n v="615"/>
    <n v="211"/>
    <n v="338"/>
    <n v="4"/>
    <n v="6760"/>
    <x v="249"/>
    <x v="3"/>
    <n v="379"/>
    <x v="4"/>
    <n v="250.48780487804879"/>
    <n v="0.3493670886075948"/>
    <x v="25"/>
    <n v="303.8235294117647"/>
    <n v="0.11248789932236214"/>
    <d v="2022-01-20T00:00:00"/>
    <x v="408"/>
    <x v="4"/>
    <x v="0"/>
    <x v="1"/>
    <x v="270"/>
  </r>
  <r>
    <n v="616"/>
    <n v="26"/>
    <n v="143"/>
    <n v="2"/>
    <n v="1430"/>
    <x v="330"/>
    <x v="14"/>
    <n v="183"/>
    <x v="10"/>
    <n v="271.74545454545455"/>
    <n v="-0.47377224675498464"/>
    <x v="12"/>
    <n v="212.8125"/>
    <n v="-0.32804698972099855"/>
    <d v="2022-12-05T00:00:00"/>
    <x v="409"/>
    <x v="4"/>
    <x v="1"/>
    <x v="0"/>
    <x v="42"/>
  </r>
  <r>
    <n v="617"/>
    <n v="22"/>
    <n v="217"/>
    <n v="3"/>
    <n v="3255"/>
    <x v="309"/>
    <x v="12"/>
    <n v="37"/>
    <x v="17"/>
    <n v="267.85483870967744"/>
    <n v="-0.18985969771782985"/>
    <x v="35"/>
    <n v="250.25925925925927"/>
    <n v="-0.13289921562823737"/>
    <d v="2022-06-16T00:00:00"/>
    <x v="410"/>
    <x v="3"/>
    <x v="1"/>
    <x v="0"/>
    <x v="128"/>
  </r>
  <r>
    <n v="618"/>
    <n v="150"/>
    <n v="347"/>
    <n v="3"/>
    <n v="5205"/>
    <x v="364"/>
    <x v="2"/>
    <n v="201"/>
    <x v="6"/>
    <n v="258.5128205128205"/>
    <n v="0.34229319579448525"/>
    <x v="6"/>
    <n v="260.64705882352939"/>
    <n v="0.33130218912209441"/>
    <d v="2022-10-09T00:00:00"/>
    <x v="119"/>
    <x v="4"/>
    <x v="0"/>
    <x v="0"/>
    <x v="271"/>
  </r>
  <r>
    <n v="619"/>
    <n v="268"/>
    <n v="55"/>
    <n v="2"/>
    <n v="550"/>
    <x v="302"/>
    <x v="11"/>
    <n v="424"/>
    <x v="13"/>
    <n v="258.375"/>
    <n v="-0.78713110788582485"/>
    <x v="34"/>
    <n v="181.57142857142858"/>
    <n v="-0.69708890637293464"/>
    <d v="2022-01-24T00:00:00"/>
    <x v="122"/>
    <x v="2"/>
    <x v="1"/>
    <x v="0"/>
    <x v="80"/>
  </r>
  <r>
    <n v="620"/>
    <n v="67"/>
    <n v="142"/>
    <n v="4"/>
    <n v="2840"/>
    <x v="294"/>
    <x v="0"/>
    <n v="69"/>
    <x v="9"/>
    <n v="263.25423728813558"/>
    <n v="-0.46059747617821267"/>
    <x v="43"/>
    <n v="287.10000000000002"/>
    <n v="-0.50539881574364331"/>
    <d v="2022-01-26T00:00:00"/>
    <x v="411"/>
    <x v="4"/>
    <x v="1"/>
    <x v="1"/>
    <x v="224"/>
  </r>
  <r>
    <n v="621"/>
    <n v="453"/>
    <n v="459"/>
    <n v="1"/>
    <n v="2295"/>
    <x v="10"/>
    <x v="7"/>
    <n v="498"/>
    <x v="3"/>
    <n v="265.47674418604652"/>
    <n v="0.72896500372300821"/>
    <x v="19"/>
    <n v="329.27272727272725"/>
    <n v="0.39398122584207629"/>
    <d v="2022-06-09T00:00:00"/>
    <x v="143"/>
    <x v="3"/>
    <x v="0"/>
    <x v="0"/>
    <x v="20"/>
  </r>
  <r>
    <n v="622"/>
    <n v="191"/>
    <n v="58"/>
    <n v="1"/>
    <n v="290"/>
    <x v="57"/>
    <x v="11"/>
    <n v="237"/>
    <x v="19"/>
    <n v="286.92307692307691"/>
    <n v="-0.79785522788203755"/>
    <x v="40"/>
    <n v="273.58333333333331"/>
    <n v="-0.78799878160219317"/>
    <d v="2022-11-21T00:00:00"/>
    <x v="412"/>
    <x v="2"/>
    <x v="0"/>
    <x v="0"/>
    <x v="272"/>
  </r>
  <r>
    <n v="623"/>
    <n v="49"/>
    <n v="465"/>
    <n v="2"/>
    <n v="4650"/>
    <x v="365"/>
    <x v="2"/>
    <n v="365"/>
    <x v="13"/>
    <n v="258.375"/>
    <n v="0.79970972423802622"/>
    <x v="30"/>
    <n v="317.85714285714283"/>
    <n v="0.46292134831460685"/>
    <d v="2022-10-07T00:00:00"/>
    <x v="237"/>
    <x v="1"/>
    <x v="1"/>
    <x v="1"/>
    <x v="78"/>
  </r>
  <r>
    <n v="624"/>
    <n v="313"/>
    <n v="152"/>
    <n v="1"/>
    <n v="760"/>
    <x v="366"/>
    <x v="8"/>
    <n v="127"/>
    <x v="17"/>
    <n v="267.85483870967744"/>
    <n v="-0.43252845185765043"/>
    <x v="35"/>
    <n v="250.25925925925927"/>
    <n v="-0.39262986532484834"/>
    <d v="2022-12-19T00:00:00"/>
    <x v="413"/>
    <x v="3"/>
    <x v="1"/>
    <x v="1"/>
    <x v="25"/>
  </r>
  <r>
    <n v="625"/>
    <n v="245"/>
    <n v="144"/>
    <n v="4"/>
    <n v="2880"/>
    <x v="292"/>
    <x v="15"/>
    <n v="314"/>
    <x v="0"/>
    <n v="252.76271186440678"/>
    <n v="-0.43029571514785758"/>
    <x v="0"/>
    <n v="240.5"/>
    <n v="-0.40124740124740121"/>
    <d v="2022-12-04T00:00:00"/>
    <x v="259"/>
    <x v="2"/>
    <x v="1"/>
    <x v="1"/>
    <x v="25"/>
  </r>
  <r>
    <n v="626"/>
    <n v="194"/>
    <n v="478"/>
    <n v="3"/>
    <n v="7170"/>
    <x v="111"/>
    <x v="8"/>
    <n v="403"/>
    <x v="1"/>
    <n v="264.8679245283019"/>
    <n v="0.80467303034620308"/>
    <x v="69"/>
    <n v="273.7"/>
    <n v="0.74643770551698951"/>
    <d v="2022-02-02T00:00:00"/>
    <x v="410"/>
    <x v="2"/>
    <x v="0"/>
    <x v="1"/>
    <x v="273"/>
  </r>
  <r>
    <n v="627"/>
    <n v="154"/>
    <n v="75"/>
    <n v="1"/>
    <n v="375"/>
    <x v="336"/>
    <x v="6"/>
    <n v="255"/>
    <x v="4"/>
    <n v="250.48780487804879"/>
    <n v="-0.70058422590068159"/>
    <x v="4"/>
    <n v="159.19999999999999"/>
    <n v="-0.52889447236180898"/>
    <d v="2022-08-20T00:00:00"/>
    <x v="145"/>
    <x v="3"/>
    <x v="1"/>
    <x v="0"/>
    <x v="143"/>
  </r>
  <r>
    <n v="628"/>
    <n v="462"/>
    <n v="147"/>
    <n v="5"/>
    <n v="3675"/>
    <x v="367"/>
    <x v="15"/>
    <n v="229"/>
    <x v="13"/>
    <n v="258.375"/>
    <n v="-0.43105950653120462"/>
    <x v="20"/>
    <n v="269.70588235294116"/>
    <n v="-0.45496183206106866"/>
    <d v="2022-07-24T00:00:00"/>
    <x v="385"/>
    <x v="1"/>
    <x v="1"/>
    <x v="1"/>
    <x v="44"/>
  </r>
  <r>
    <n v="629"/>
    <n v="310"/>
    <n v="404"/>
    <n v="4"/>
    <n v="8080"/>
    <x v="173"/>
    <x v="3"/>
    <n v="179"/>
    <x v="3"/>
    <n v="265.47674418604652"/>
    <n v="0.52179054793920554"/>
    <x v="16"/>
    <n v="276.67567567567568"/>
    <n v="0.46019341603985531"/>
    <d v="2022-09-29T00:00:00"/>
    <x v="414"/>
    <x v="2"/>
    <x v="1"/>
    <x v="0"/>
    <x v="33"/>
  </r>
  <r>
    <n v="630"/>
    <n v="422"/>
    <n v="361"/>
    <n v="1"/>
    <n v="1805"/>
    <x v="114"/>
    <x v="7"/>
    <n v="277"/>
    <x v="7"/>
    <n v="249.02380952380952"/>
    <n v="0.4496605794052968"/>
    <x v="59"/>
    <n v="256.89999999999998"/>
    <n v="0.40521603736862599"/>
    <d v="2022-07-08T00:00:00"/>
    <x v="6"/>
    <x v="2"/>
    <x v="1"/>
    <x v="0"/>
    <x v="6"/>
  </r>
  <r>
    <n v="631"/>
    <n v="453"/>
    <n v="404"/>
    <n v="5"/>
    <n v="10100"/>
    <x v="177"/>
    <x v="0"/>
    <n v="460"/>
    <x v="3"/>
    <n v="265.47674418604652"/>
    <n v="0.52179054793920554"/>
    <x v="19"/>
    <n v="329.27272727272725"/>
    <n v="0.22694643843180562"/>
    <d v="2022-09-17T00:00:00"/>
    <x v="366"/>
    <x v="2"/>
    <x v="0"/>
    <x v="1"/>
    <x v="274"/>
  </r>
  <r>
    <n v="632"/>
    <n v="337"/>
    <n v="132"/>
    <n v="3"/>
    <n v="1980"/>
    <x v="308"/>
    <x v="18"/>
    <n v="434"/>
    <x v="3"/>
    <n v="265.47674418604652"/>
    <n v="-0.50278130611887351"/>
    <x v="16"/>
    <n v="276.67567567567568"/>
    <n v="-0.52290710168994825"/>
    <d v="2022-06-18T00:00:00"/>
    <x v="141"/>
    <x v="3"/>
    <x v="1"/>
    <x v="1"/>
    <x v="130"/>
  </r>
  <r>
    <n v="633"/>
    <n v="258"/>
    <n v="333"/>
    <n v="4"/>
    <n v="6660"/>
    <x v="180"/>
    <x v="3"/>
    <n v="62"/>
    <x v="6"/>
    <n v="258.5128205128205"/>
    <n v="0.28813727435032743"/>
    <x v="26"/>
    <n v="216.4"/>
    <n v="0.53881700554528655"/>
    <d v="2022-04-20T00:00:00"/>
    <x v="385"/>
    <x v="2"/>
    <x v="1"/>
    <x v="1"/>
    <x v="156"/>
  </r>
  <r>
    <n v="634"/>
    <n v="111"/>
    <n v="420"/>
    <n v="1"/>
    <n v="2100"/>
    <x v="368"/>
    <x v="1"/>
    <n v="13"/>
    <x v="0"/>
    <n v="252.76271186440678"/>
    <n v="0.66163749748541534"/>
    <x v="11"/>
    <n v="240.26666666666668"/>
    <n v="0.74805771365149831"/>
    <d v="2022-06-12T00:00:00"/>
    <x v="350"/>
    <x v="2"/>
    <x v="1"/>
    <x v="1"/>
    <x v="19"/>
  </r>
  <r>
    <n v="635"/>
    <n v="4"/>
    <n v="151"/>
    <n v="4"/>
    <n v="3020"/>
    <x v="369"/>
    <x v="10"/>
    <n v="116"/>
    <x v="13"/>
    <n v="258.375"/>
    <n v="-0.41557813255926468"/>
    <x v="20"/>
    <n v="269.70588235294116"/>
    <n v="-0.44013086150490732"/>
    <d v="2022-03-23T00:00:00"/>
    <x v="405"/>
    <x v="2"/>
    <x v="1"/>
    <x v="1"/>
    <x v="3"/>
  </r>
  <r>
    <n v="636"/>
    <n v="266"/>
    <n v="141"/>
    <n v="5"/>
    <n v="3525"/>
    <x v="25"/>
    <x v="3"/>
    <n v="50"/>
    <x v="6"/>
    <n v="258.5128205128205"/>
    <n v="-0.45457250545526673"/>
    <x v="6"/>
    <n v="260.64705882352939"/>
    <n v="-0.45903859174001349"/>
    <d v="2022-01-15T00:00:00"/>
    <x v="89"/>
    <x v="0"/>
    <x v="0"/>
    <x v="0"/>
    <x v="239"/>
  </r>
  <r>
    <n v="637"/>
    <n v="143"/>
    <n v="339"/>
    <n v="1"/>
    <n v="1695"/>
    <x v="102"/>
    <x v="3"/>
    <n v="197"/>
    <x v="0"/>
    <n v="252.76271186440678"/>
    <n v="0.34117883725608533"/>
    <x v="68"/>
    <n v="215.85714285714286"/>
    <n v="0.57048312375909993"/>
    <d v="2022-08-12T00:00:00"/>
    <x v="415"/>
    <x v="3"/>
    <x v="0"/>
    <x v="1"/>
    <x v="275"/>
  </r>
  <r>
    <n v="638"/>
    <n v="475"/>
    <n v="206"/>
    <n v="3"/>
    <n v="3090"/>
    <x v="86"/>
    <x v="11"/>
    <n v="243"/>
    <x v="16"/>
    <n v="300.31818181818181"/>
    <n v="-0.31406084455880123"/>
    <x v="57"/>
    <n v="316.60000000000002"/>
    <n v="-0.34933670246367665"/>
    <d v="2022-04-30T00:00:00"/>
    <x v="416"/>
    <x v="2"/>
    <x v="0"/>
    <x v="1"/>
    <x v="276"/>
  </r>
  <r>
    <n v="639"/>
    <n v="52"/>
    <n v="105"/>
    <n v="2"/>
    <n v="1050"/>
    <x v="250"/>
    <x v="0"/>
    <n v="275"/>
    <x v="1"/>
    <n v="264.8679245283019"/>
    <n v="-0.60357600797834454"/>
    <x v="1"/>
    <n v="238.16666666666666"/>
    <n v="-0.55913226032190333"/>
    <d v="2022-03-31T00:00:00"/>
    <x v="40"/>
    <x v="4"/>
    <x v="1"/>
    <x v="1"/>
    <x v="161"/>
  </r>
  <r>
    <n v="640"/>
    <n v="47"/>
    <n v="356"/>
    <n v="3"/>
    <n v="5340"/>
    <x v="370"/>
    <x v="7"/>
    <n v="45"/>
    <x v="10"/>
    <n v="271.74545454545455"/>
    <n v="0.31004951157500327"/>
    <x v="37"/>
    <n v="272.35294117647061"/>
    <n v="0.30712742980561547"/>
    <d v="2022-04-11T00:00:00"/>
    <x v="64"/>
    <x v="0"/>
    <x v="0"/>
    <x v="0"/>
    <x v="60"/>
  </r>
  <r>
    <n v="641"/>
    <n v="122"/>
    <n v="240"/>
    <n v="1"/>
    <n v="1200"/>
    <x v="205"/>
    <x v="1"/>
    <n v="419"/>
    <x v="12"/>
    <n v="274.16279069767444"/>
    <n v="-0.12460768513020615"/>
    <x v="50"/>
    <n v="280.66666666666669"/>
    <n v="-0.14489311163895491"/>
    <d v="2022-11-04T00:00:00"/>
    <x v="417"/>
    <x v="4"/>
    <x v="1"/>
    <x v="0"/>
    <x v="117"/>
  </r>
  <r>
    <n v="642"/>
    <n v="422"/>
    <n v="290"/>
    <n v="5"/>
    <n v="7250"/>
    <x v="257"/>
    <x v="4"/>
    <n v="125"/>
    <x v="7"/>
    <n v="249.02380952380952"/>
    <n v="0.16454727985467055"/>
    <x v="59"/>
    <n v="256.89999999999998"/>
    <n v="0.12884390813546132"/>
    <d v="2022-05-20T00:00:00"/>
    <x v="418"/>
    <x v="2"/>
    <x v="1"/>
    <x v="1"/>
    <x v="253"/>
  </r>
  <r>
    <n v="643"/>
    <n v="479"/>
    <n v="405"/>
    <n v="4"/>
    <n v="8100"/>
    <x v="74"/>
    <x v="11"/>
    <n v="242"/>
    <x v="4"/>
    <n v="250.48780487804879"/>
    <n v="0.61684518013631928"/>
    <x v="56"/>
    <n v="247.66666666666666"/>
    <n v="0.63526244952893673"/>
    <d v="2022-07-05T00:00:00"/>
    <x v="400"/>
    <x v="2"/>
    <x v="0"/>
    <x v="1"/>
    <x v="256"/>
  </r>
  <r>
    <n v="644"/>
    <n v="99"/>
    <n v="281"/>
    <n v="5"/>
    <n v="7025"/>
    <x v="184"/>
    <x v="7"/>
    <n v="329"/>
    <x v="4"/>
    <n v="250.48780487804879"/>
    <n v="0.12181110029211295"/>
    <x v="75"/>
    <n v="208"/>
    <n v="0.35096153846153855"/>
    <d v="2022-04-02T00:00:00"/>
    <x v="47"/>
    <x v="1"/>
    <x v="1"/>
    <x v="0"/>
    <x v="151"/>
  </r>
  <r>
    <n v="645"/>
    <n v="272"/>
    <n v="207"/>
    <n v="5"/>
    <n v="5175"/>
    <x v="289"/>
    <x v="19"/>
    <n v="42"/>
    <x v="18"/>
    <n v="255.11627906976744"/>
    <n v="-0.18860528714676394"/>
    <x v="72"/>
    <n v="252.09090909090909"/>
    <n v="-0.1788676523620627"/>
    <d v="2022-08-10T00:00:00"/>
    <x v="206"/>
    <x v="4"/>
    <x v="1"/>
    <x v="0"/>
    <x v="62"/>
  </r>
  <r>
    <n v="646"/>
    <n v="493"/>
    <n v="378"/>
    <n v="2"/>
    <n v="3780"/>
    <x v="371"/>
    <x v="14"/>
    <n v="229"/>
    <x v="4"/>
    <n v="250.48780487804879"/>
    <n v="0.50905550146056466"/>
    <x v="25"/>
    <n v="303.8235294117647"/>
    <n v="0.24414327202323327"/>
    <d v="2022-07-24T00:00:00"/>
    <x v="419"/>
    <x v="1"/>
    <x v="1"/>
    <x v="1"/>
    <x v="44"/>
  </r>
  <r>
    <n v="647"/>
    <n v="360"/>
    <n v="120"/>
    <n v="2"/>
    <n v="1200"/>
    <x v="111"/>
    <x v="19"/>
    <n v="306"/>
    <x v="1"/>
    <n v="264.8679245283019"/>
    <n v="-0.54694400911810803"/>
    <x v="64"/>
    <n v="236.91666666666666"/>
    <n v="-0.49349278930706997"/>
    <d v="2022-11-07T00:00:00"/>
    <x v="420"/>
    <x v="3"/>
    <x v="1"/>
    <x v="0"/>
    <x v="235"/>
  </r>
  <r>
    <n v="648"/>
    <n v="215"/>
    <n v="440"/>
    <n v="2"/>
    <n v="4400"/>
    <x v="34"/>
    <x v="10"/>
    <n v="292"/>
    <x v="5"/>
    <n v="268.60344827586209"/>
    <n v="0.63810257397779058"/>
    <x v="5"/>
    <n v="281.96875"/>
    <n v="0.56045661088329823"/>
    <d v="2022-02-16T00:00:00"/>
    <x v="135"/>
    <x v="2"/>
    <x v="1"/>
    <x v="1"/>
    <x v="191"/>
  </r>
  <r>
    <n v="649"/>
    <n v="292"/>
    <n v="327"/>
    <n v="5"/>
    <n v="8175"/>
    <x v="123"/>
    <x v="12"/>
    <n v="275"/>
    <x v="19"/>
    <n v="286.92307692307691"/>
    <n v="0.13967828418230566"/>
    <x v="42"/>
    <n v="312.66666666666669"/>
    <n v="4.5842217484008518E-2"/>
    <d v="2022-03-31T00:00:00"/>
    <x v="421"/>
    <x v="4"/>
    <x v="1"/>
    <x v="1"/>
    <x v="161"/>
  </r>
  <r>
    <n v="650"/>
    <n v="307"/>
    <n v="407"/>
    <n v="1"/>
    <n v="2035"/>
    <x v="342"/>
    <x v="12"/>
    <n v="103"/>
    <x v="11"/>
    <n v="262.63492063492066"/>
    <n v="0.54967968088964092"/>
    <x v="17"/>
    <n v="311.33333333333331"/>
    <n v="0.30728051391862965"/>
    <d v="2022-08-14T00:00:00"/>
    <x v="43"/>
    <x v="0"/>
    <x v="1"/>
    <x v="0"/>
    <x v="234"/>
  </r>
  <r>
    <n v="651"/>
    <n v="473"/>
    <n v="343"/>
    <n v="5"/>
    <n v="8575"/>
    <x v="372"/>
    <x v="3"/>
    <n v="460"/>
    <x v="16"/>
    <n v="300.31818181818181"/>
    <n v="0.14212199182685037"/>
    <x v="24"/>
    <n v="281.73333333333335"/>
    <n v="0.21746332229058196"/>
    <d v="2022-09-17T00:00:00"/>
    <x v="333"/>
    <x v="2"/>
    <x v="1"/>
    <x v="1"/>
    <x v="274"/>
  </r>
  <r>
    <n v="652"/>
    <n v="112"/>
    <n v="237"/>
    <n v="3"/>
    <n v="3555"/>
    <x v="82"/>
    <x v="17"/>
    <n v="342"/>
    <x v="15"/>
    <n v="294.95238095238096"/>
    <n v="-0.19648046496609628"/>
    <x v="53"/>
    <n v="322.54545454545456"/>
    <n v="-0.26521984216459982"/>
    <d v="2022-01-09T00:00:00"/>
    <x v="422"/>
    <x v="4"/>
    <x v="1"/>
    <x v="0"/>
    <x v="106"/>
  </r>
  <r>
    <n v="653"/>
    <n v="131"/>
    <n v="116"/>
    <n v="5"/>
    <n v="2900"/>
    <x v="238"/>
    <x v="1"/>
    <n v="246"/>
    <x v="5"/>
    <n v="268.60344827586209"/>
    <n v="-0.568136594133128"/>
    <x v="32"/>
    <n v="254.18181818181819"/>
    <n v="-0.54363376251788265"/>
    <d v="2022-09-01T00:00:00"/>
    <x v="330"/>
    <x v="0"/>
    <x v="1"/>
    <x v="1"/>
    <x v="218"/>
  </r>
  <r>
    <n v="654"/>
    <n v="230"/>
    <n v="453"/>
    <n v="3"/>
    <n v="6795"/>
    <x v="371"/>
    <x v="19"/>
    <n v="175"/>
    <x v="5"/>
    <n v="268.60344827586209"/>
    <n v="0.68650105911804338"/>
    <x v="5"/>
    <n v="281.96875"/>
    <n v="0.60656101075030477"/>
    <d v="2022-01-04T00:00:00"/>
    <x v="423"/>
    <x v="2"/>
    <x v="1"/>
    <x v="1"/>
    <x v="145"/>
  </r>
  <r>
    <n v="655"/>
    <n v="39"/>
    <n v="375"/>
    <n v="2"/>
    <n v="3750"/>
    <x v="148"/>
    <x v="14"/>
    <n v="366"/>
    <x v="11"/>
    <n v="262.63492063492066"/>
    <n v="0.4278375438172366"/>
    <x v="47"/>
    <n v="271"/>
    <n v="0.38376383763837629"/>
    <d v="2022-09-23T00:00:00"/>
    <x v="256"/>
    <x v="0"/>
    <x v="1"/>
    <x v="1"/>
    <x v="129"/>
  </r>
  <r>
    <n v="656"/>
    <n v="481"/>
    <n v="374"/>
    <n v="5"/>
    <n v="9350"/>
    <x v="26"/>
    <x v="14"/>
    <n v="254"/>
    <x v="14"/>
    <n v="273.72549019607845"/>
    <n v="0.36633237822349551"/>
    <x v="22"/>
    <n v="280.23809523809524"/>
    <n v="0.33457943925233646"/>
    <d v="2022-10-28T00:00:00"/>
    <x v="45"/>
    <x v="1"/>
    <x v="1"/>
    <x v="0"/>
    <x v="225"/>
  </r>
  <r>
    <n v="657"/>
    <n v="438"/>
    <n v="81"/>
    <n v="4"/>
    <n v="1620"/>
    <x v="79"/>
    <x v="16"/>
    <n v="79"/>
    <x v="7"/>
    <n v="249.02380952380952"/>
    <n v="-0.67472989769576441"/>
    <x v="59"/>
    <n v="256.89999999999998"/>
    <n v="-0.68470221876216431"/>
    <d v="2022-06-04T00:00:00"/>
    <x v="424"/>
    <x v="4"/>
    <x v="0"/>
    <x v="1"/>
    <x v="277"/>
  </r>
  <r>
    <n v="658"/>
    <n v="316"/>
    <n v="428"/>
    <n v="3"/>
    <n v="6420"/>
    <x v="44"/>
    <x v="4"/>
    <n v="70"/>
    <x v="3"/>
    <n v="265.47674418604652"/>
    <n v="0.61219394682668304"/>
    <x v="3"/>
    <n v="236.27586206896552"/>
    <n v="0.8114419147694103"/>
    <d v="2022-01-30T00:00:00"/>
    <x v="425"/>
    <x v="3"/>
    <x v="0"/>
    <x v="0"/>
    <x v="278"/>
  </r>
  <r>
    <n v="659"/>
    <n v="174"/>
    <n v="456"/>
    <n v="3"/>
    <n v="6840"/>
    <x v="181"/>
    <x v="15"/>
    <n v="76"/>
    <x v="8"/>
    <n v="271.18181818181819"/>
    <n v="0.68152866242038224"/>
    <x v="52"/>
    <n v="243.3"/>
    <n v="0.87422934648581996"/>
    <d v="2022-01-14T00:00:00"/>
    <x v="426"/>
    <x v="1"/>
    <x v="1"/>
    <x v="0"/>
    <x v="205"/>
  </r>
  <r>
    <n v="660"/>
    <n v="228"/>
    <n v="247"/>
    <n v="4"/>
    <n v="4940"/>
    <x v="373"/>
    <x v="11"/>
    <n v="147"/>
    <x v="13"/>
    <n v="258.375"/>
    <n v="-4.4025157232704393E-2"/>
    <x v="34"/>
    <n v="181.57142857142858"/>
    <n v="0.36034618410700237"/>
    <d v="2022-09-23T00:00:00"/>
    <x v="427"/>
    <x v="2"/>
    <x v="1"/>
    <x v="0"/>
    <x v="166"/>
  </r>
  <r>
    <n v="661"/>
    <n v="269"/>
    <n v="455"/>
    <n v="5"/>
    <n v="11375"/>
    <x v="42"/>
    <x v="3"/>
    <n v="345"/>
    <x v="0"/>
    <n v="252.76271186440678"/>
    <n v="0.80010728894253336"/>
    <x v="45"/>
    <n v="293.41176470588238"/>
    <n v="0.55072173215717712"/>
    <d v="2022-05-24T00:00:00"/>
    <x v="157"/>
    <x v="1"/>
    <x v="0"/>
    <x v="0"/>
    <x v="279"/>
  </r>
  <r>
    <n v="662"/>
    <n v="461"/>
    <n v="388"/>
    <n v="4"/>
    <n v="7760"/>
    <x v="374"/>
    <x v="13"/>
    <n v="303"/>
    <x v="12"/>
    <n v="274.16279069767444"/>
    <n v="0.41521757570616669"/>
    <x v="76"/>
    <n v="369.2"/>
    <n v="5.0920910075839654E-2"/>
    <d v="2022-05-08T00:00:00"/>
    <x v="428"/>
    <x v="0"/>
    <x v="1"/>
    <x v="1"/>
    <x v="24"/>
  </r>
  <r>
    <n v="663"/>
    <n v="151"/>
    <n v="496"/>
    <n v="3"/>
    <n v="7440"/>
    <x v="345"/>
    <x v="14"/>
    <n v="436"/>
    <x v="15"/>
    <n v="294.95238095238096"/>
    <n v="0.68162738133677747"/>
    <x v="53"/>
    <n v="322.54545454545456"/>
    <n v="0.53776775648252539"/>
    <d v="2022-05-02T00:00:00"/>
    <x v="375"/>
    <x v="2"/>
    <x v="1"/>
    <x v="1"/>
    <x v="144"/>
  </r>
  <r>
    <n v="664"/>
    <n v="386"/>
    <n v="295"/>
    <n v="3"/>
    <n v="4425"/>
    <x v="40"/>
    <x v="11"/>
    <n v="25"/>
    <x v="18"/>
    <n v="255.11627906976744"/>
    <n v="0.15633546034639934"/>
    <x v="67"/>
    <n v="251.91666666666666"/>
    <n v="0.17102216341382737"/>
    <d v="2022-01-21T00:00:00"/>
    <x v="429"/>
    <x v="4"/>
    <x v="1"/>
    <x v="0"/>
    <x v="67"/>
  </r>
  <r>
    <n v="665"/>
    <n v="452"/>
    <n v="226"/>
    <n v="4"/>
    <n v="4520"/>
    <x v="135"/>
    <x v="19"/>
    <n v="33"/>
    <x v="12"/>
    <n v="274.16279069767444"/>
    <n v="-0.17567223683094413"/>
    <x v="18"/>
    <n v="253.6875"/>
    <n v="-0.10914018231091405"/>
    <d v="2022-06-18T00:00:00"/>
    <x v="59"/>
    <x v="2"/>
    <x v="0"/>
    <x v="1"/>
    <x v="55"/>
  </r>
  <r>
    <n v="666"/>
    <n v="37"/>
    <n v="411"/>
    <n v="5"/>
    <n v="10275"/>
    <x v="375"/>
    <x v="13"/>
    <n v="7"/>
    <x v="1"/>
    <n v="264.8679245283019"/>
    <n v="0.55171676877048004"/>
    <x v="1"/>
    <n v="238.16666666666666"/>
    <n v="0.7256822953114066"/>
    <d v="2022-11-28T00:00:00"/>
    <x v="430"/>
    <x v="2"/>
    <x v="0"/>
    <x v="0"/>
    <x v="219"/>
  </r>
  <r>
    <n v="667"/>
    <n v="27"/>
    <n v="301"/>
    <n v="1"/>
    <n v="1505"/>
    <x v="286"/>
    <x v="14"/>
    <n v="494"/>
    <x v="3"/>
    <n v="265.47674418604652"/>
    <n v="0.13380929438044764"/>
    <x v="16"/>
    <n v="276.67567567567568"/>
    <n v="8.7916381752466632E-2"/>
    <d v="2022-06-26T00:00:00"/>
    <x v="105"/>
    <x v="1"/>
    <x v="0"/>
    <x v="1"/>
    <x v="14"/>
  </r>
  <r>
    <n v="668"/>
    <n v="435"/>
    <n v="452"/>
    <n v="4"/>
    <n v="9040"/>
    <x v="83"/>
    <x v="5"/>
    <n v="420"/>
    <x v="10"/>
    <n v="271.74545454545455"/>
    <n v="0.66332128997725137"/>
    <x v="37"/>
    <n v="272.35294117647061"/>
    <n v="0.65961123110151165"/>
    <d v="2022-05-17T00:00:00"/>
    <x v="334"/>
    <x v="3"/>
    <x v="1"/>
    <x v="1"/>
    <x v="127"/>
  </r>
  <r>
    <n v="669"/>
    <n v="101"/>
    <n v="293"/>
    <n v="1"/>
    <n v="1465"/>
    <x v="153"/>
    <x v="14"/>
    <n v="75"/>
    <x v="8"/>
    <n v="271.18181818181819"/>
    <n v="8.0455916862219201E-2"/>
    <x v="52"/>
    <n v="243.3"/>
    <n v="0.20427455815865181"/>
    <d v="2022-08-23T00:00:00"/>
    <x v="431"/>
    <x v="3"/>
    <x v="1"/>
    <x v="1"/>
    <x v="81"/>
  </r>
  <r>
    <n v="670"/>
    <n v="423"/>
    <n v="382"/>
    <n v="2"/>
    <n v="3820"/>
    <x v="141"/>
    <x v="8"/>
    <n v="83"/>
    <x v="14"/>
    <n v="273.72549019607845"/>
    <n v="0.39555873925501417"/>
    <x v="22"/>
    <n v="280.23809523809524"/>
    <n v="0.3631265930331351"/>
    <d v="2022-06-27T00:00:00"/>
    <x v="407"/>
    <x v="4"/>
    <x v="0"/>
    <x v="0"/>
    <x v="268"/>
  </r>
  <r>
    <n v="671"/>
    <n v="411"/>
    <n v="158"/>
    <n v="3"/>
    <n v="2370"/>
    <x v="124"/>
    <x v="8"/>
    <n v="109"/>
    <x v="16"/>
    <n v="300.31818181818181"/>
    <n v="-0.47389132738005146"/>
    <x v="24"/>
    <n v="281.73333333333335"/>
    <n v="-0.43918599148130621"/>
    <d v="2022-06-20T00:00:00"/>
    <x v="242"/>
    <x v="3"/>
    <x v="1"/>
    <x v="0"/>
    <x v="203"/>
  </r>
  <r>
    <n v="672"/>
    <n v="381"/>
    <n v="296"/>
    <n v="4"/>
    <n v="5920"/>
    <x v="136"/>
    <x v="12"/>
    <n v="465"/>
    <x v="6"/>
    <n v="258.5128205128205"/>
    <n v="0.14501091053362436"/>
    <x v="54"/>
    <n v="292.66666666666669"/>
    <n v="1.1389521640090994E-2"/>
    <d v="2022-04-20T00:00:00"/>
    <x v="379"/>
    <x v="0"/>
    <x v="1"/>
    <x v="1"/>
    <x v="246"/>
  </r>
  <r>
    <n v="673"/>
    <n v="400"/>
    <n v="345"/>
    <n v="2"/>
    <n v="3450"/>
    <x v="376"/>
    <x v="14"/>
    <n v="18"/>
    <x v="15"/>
    <n v="294.95238095238096"/>
    <n v="0.16968033580884723"/>
    <x v="53"/>
    <n v="322.54545454545456"/>
    <n v="6.9616685456595162E-2"/>
    <d v="2022-01-17T00:00:00"/>
    <x v="432"/>
    <x v="3"/>
    <x v="1"/>
    <x v="1"/>
    <x v="214"/>
  </r>
  <r>
    <n v="674"/>
    <n v="389"/>
    <n v="155"/>
    <n v="4"/>
    <n v="3100"/>
    <x v="145"/>
    <x v="19"/>
    <n v="376"/>
    <x v="8"/>
    <n v="271.18181818181819"/>
    <n v="-0.42842775729131743"/>
    <x v="52"/>
    <n v="243.3"/>
    <n v="-0.36292642827784627"/>
    <d v="2022-06-18T00:00:00"/>
    <x v="154"/>
    <x v="1"/>
    <x v="1"/>
    <x v="0"/>
    <x v="130"/>
  </r>
  <r>
    <n v="675"/>
    <n v="227"/>
    <n v="300"/>
    <n v="4"/>
    <n v="6000"/>
    <x v="140"/>
    <x v="8"/>
    <n v="88"/>
    <x v="3"/>
    <n v="265.47674418604652"/>
    <n v="0.13004248609346947"/>
    <x v="19"/>
    <n v="329.27272727272725"/>
    <n v="-8.8901159580342282E-2"/>
    <d v="2022-03-10T00:00:00"/>
    <x v="433"/>
    <x v="3"/>
    <x v="1"/>
    <x v="0"/>
    <x v="83"/>
  </r>
  <r>
    <n v="676"/>
    <n v="243"/>
    <n v="371"/>
    <n v="3"/>
    <n v="5565"/>
    <x v="138"/>
    <x v="1"/>
    <n v="352"/>
    <x v="13"/>
    <n v="258.375"/>
    <n v="0.4358974358974359"/>
    <x v="20"/>
    <n v="269.70588235294116"/>
    <n v="0.3755725190839696"/>
    <d v="2022-01-12T00:00:00"/>
    <x v="355"/>
    <x v="2"/>
    <x v="0"/>
    <x v="1"/>
    <x v="250"/>
  </r>
  <r>
    <n v="677"/>
    <n v="187"/>
    <n v="273"/>
    <n v="3"/>
    <n v="4095"/>
    <x v="15"/>
    <x v="16"/>
    <n v="452"/>
    <x v="3"/>
    <n v="265.47674418604652"/>
    <n v="2.8338662345057219E-2"/>
    <x v="16"/>
    <n v="276.67567567567568"/>
    <n v="-1.3285142131483796E-2"/>
    <d v="2022-07-27T00:00:00"/>
    <x v="434"/>
    <x v="2"/>
    <x v="1"/>
    <x v="0"/>
    <x v="79"/>
  </r>
  <r>
    <n v="678"/>
    <n v="441"/>
    <n v="147"/>
    <n v="3"/>
    <n v="2205"/>
    <x v="39"/>
    <x v="9"/>
    <n v="449"/>
    <x v="8"/>
    <n v="271.18181818181819"/>
    <n v="-0.4579282601407979"/>
    <x v="14"/>
    <n v="260.15789473684208"/>
    <n v="-0.43495852721019623"/>
    <d v="2022-03-25T00:00:00"/>
    <x v="161"/>
    <x v="4"/>
    <x v="1"/>
    <x v="1"/>
    <x v="64"/>
  </r>
  <r>
    <n v="679"/>
    <n v="446"/>
    <n v="440"/>
    <n v="5"/>
    <n v="11000"/>
    <x v="11"/>
    <x v="16"/>
    <n v="197"/>
    <x v="14"/>
    <n v="273.72549019607845"/>
    <n v="0.60744985673352425"/>
    <x v="44"/>
    <n v="320.57142857142856"/>
    <n v="0.37254901960784315"/>
    <d v="2022-08-12T00:00:00"/>
    <x v="435"/>
    <x v="3"/>
    <x v="1"/>
    <x v="1"/>
    <x v="275"/>
  </r>
  <r>
    <n v="680"/>
    <n v="55"/>
    <n v="227"/>
    <n v="4"/>
    <n v="4540"/>
    <x v="109"/>
    <x v="0"/>
    <n v="70"/>
    <x v="18"/>
    <n v="255.11627906976744"/>
    <n v="-0.11020966271649957"/>
    <x v="61"/>
    <n v="274.28571428571428"/>
    <n v="-0.1723958333333333"/>
    <d v="2022-01-30T00:00:00"/>
    <x v="96"/>
    <x v="3"/>
    <x v="1"/>
    <x v="0"/>
    <x v="278"/>
  </r>
  <r>
    <n v="681"/>
    <n v="27"/>
    <n v="415"/>
    <n v="4"/>
    <n v="8300"/>
    <x v="377"/>
    <x v="17"/>
    <n v="345"/>
    <x v="3"/>
    <n v="265.47674418604652"/>
    <n v="0.5632254390959659"/>
    <x v="16"/>
    <n v="276.67567567567568"/>
    <n v="0.49995115756569297"/>
    <d v="2022-05-24T00:00:00"/>
    <x v="436"/>
    <x v="1"/>
    <x v="1"/>
    <x v="0"/>
    <x v="279"/>
  </r>
  <r>
    <n v="682"/>
    <n v="110"/>
    <n v="84"/>
    <n v="5"/>
    <n v="2100"/>
    <x v="119"/>
    <x v="5"/>
    <n v="225"/>
    <x v="3"/>
    <n v="265.47674418604652"/>
    <n v="-0.68358810389382851"/>
    <x v="16"/>
    <n v="276.67567567567568"/>
    <n v="-0.69639542834814883"/>
    <d v="2022-09-23T00:00:00"/>
    <x v="437"/>
    <x v="1"/>
    <x v="1"/>
    <x v="0"/>
    <x v="172"/>
  </r>
  <r>
    <n v="683"/>
    <n v="196"/>
    <n v="196"/>
    <n v="4"/>
    <n v="3920"/>
    <x v="378"/>
    <x v="13"/>
    <n v="8"/>
    <x v="17"/>
    <n v="267.85483870967744"/>
    <n v="-0.26826037213223342"/>
    <x v="27"/>
    <n v="288.23809523809524"/>
    <n v="-0.32000660829340821"/>
    <d v="2022-11-18T00:00:00"/>
    <x v="403"/>
    <x v="1"/>
    <x v="0"/>
    <x v="0"/>
    <x v="263"/>
  </r>
  <r>
    <n v="684"/>
    <n v="271"/>
    <n v="123"/>
    <n v="2"/>
    <n v="1230"/>
    <x v="252"/>
    <x v="3"/>
    <n v="11"/>
    <x v="11"/>
    <n v="262.63492063492066"/>
    <n v="-0.53166928562794635"/>
    <x v="47"/>
    <n v="271"/>
    <n v="-0.54612546125461248"/>
    <d v="2022-05-09T00:00:00"/>
    <x v="257"/>
    <x v="4"/>
    <x v="1"/>
    <x v="1"/>
    <x v="72"/>
  </r>
  <r>
    <n v="685"/>
    <n v="189"/>
    <n v="356"/>
    <n v="1"/>
    <n v="1780"/>
    <x v="137"/>
    <x v="16"/>
    <n v="388"/>
    <x v="16"/>
    <n v="300.31818181818181"/>
    <n v="0.18540941425760549"/>
    <x v="38"/>
    <n v="264"/>
    <n v="0.3484848484848484"/>
    <d v="2022-01-20T00:00:00"/>
    <x v="438"/>
    <x v="2"/>
    <x v="1"/>
    <x v="0"/>
    <x v="111"/>
  </r>
  <r>
    <n v="686"/>
    <n v="372"/>
    <n v="166"/>
    <n v="5"/>
    <n v="4150"/>
    <x v="379"/>
    <x v="15"/>
    <n v="40"/>
    <x v="7"/>
    <n v="249.02380952380952"/>
    <n v="-0.33339707429008503"/>
    <x v="39"/>
    <n v="222.2"/>
    <n v="-0.25292529252925289"/>
    <d v="2022-10-21T00:00:00"/>
    <x v="210"/>
    <x v="2"/>
    <x v="1"/>
    <x v="1"/>
    <x v="228"/>
  </r>
  <r>
    <n v="687"/>
    <n v="205"/>
    <n v="156"/>
    <n v="4"/>
    <n v="3120"/>
    <x v="360"/>
    <x v="4"/>
    <n v="286"/>
    <x v="3"/>
    <n v="265.47674418604652"/>
    <n v="-0.41237790723139589"/>
    <x v="3"/>
    <n v="236.27586206896552"/>
    <n v="-0.33975481611208413"/>
    <d v="2022-01-02T00:00:00"/>
    <x v="439"/>
    <x v="4"/>
    <x v="1"/>
    <x v="1"/>
    <x v="125"/>
  </r>
  <r>
    <n v="688"/>
    <n v="187"/>
    <n v="496"/>
    <n v="4"/>
    <n v="9920"/>
    <x v="380"/>
    <x v="2"/>
    <n v="448"/>
    <x v="3"/>
    <n v="265.47674418604652"/>
    <n v="0.86833691034120264"/>
    <x v="16"/>
    <n v="276.67567567567568"/>
    <n v="0.79271270880140676"/>
    <d v="2022-07-28T00:00:00"/>
    <x v="132"/>
    <x v="2"/>
    <x v="1"/>
    <x v="1"/>
    <x v="116"/>
  </r>
  <r>
    <n v="689"/>
    <n v="194"/>
    <n v="257"/>
    <n v="5"/>
    <n v="6425"/>
    <x v="381"/>
    <x v="1"/>
    <n v="291"/>
    <x v="1"/>
    <n v="264.8679245283019"/>
    <n v="-2.9705086194614649E-2"/>
    <x v="69"/>
    <n v="273.7"/>
    <n v="-6.101571063207889E-2"/>
    <d v="2022-05-29T00:00:00"/>
    <x v="103"/>
    <x v="4"/>
    <x v="0"/>
    <x v="0"/>
    <x v="90"/>
  </r>
  <r>
    <n v="690"/>
    <n v="51"/>
    <n v="476"/>
    <n v="2"/>
    <n v="4760"/>
    <x v="382"/>
    <x v="18"/>
    <n v="480"/>
    <x v="19"/>
    <n v="286.92307692307691"/>
    <n v="0.65898123324396796"/>
    <x v="42"/>
    <n v="312.66666666666669"/>
    <n v="0.52238805970149249"/>
    <d v="2022-01-07T00:00:00"/>
    <x v="440"/>
    <x v="0"/>
    <x v="1"/>
    <x v="0"/>
    <x v="182"/>
  </r>
  <r>
    <n v="691"/>
    <n v="80"/>
    <n v="232"/>
    <n v="2"/>
    <n v="2320"/>
    <x v="17"/>
    <x v="8"/>
    <n v="418"/>
    <x v="17"/>
    <n v="267.85483870967744"/>
    <n v="-0.1338592159932559"/>
    <x v="66"/>
    <n v="273.625"/>
    <n v="-0.15212425765189586"/>
    <d v="2022-05-19T00:00:00"/>
    <x v="265"/>
    <x v="1"/>
    <x v="0"/>
    <x v="0"/>
    <x v="280"/>
  </r>
  <r>
    <n v="692"/>
    <n v="474"/>
    <n v="252"/>
    <n v="3"/>
    <n v="3780"/>
    <x v="293"/>
    <x v="5"/>
    <n v="470"/>
    <x v="15"/>
    <n v="294.95238095238096"/>
    <n v="-0.14562479819179852"/>
    <x v="23"/>
    <n v="318.81818181818181"/>
    <n v="-0.20958083832335328"/>
    <d v="2022-05-09T00:00:00"/>
    <x v="331"/>
    <x v="4"/>
    <x v="0"/>
    <x v="0"/>
    <x v="76"/>
  </r>
  <r>
    <n v="693"/>
    <n v="215"/>
    <n v="485"/>
    <n v="4"/>
    <n v="9700"/>
    <x v="107"/>
    <x v="1"/>
    <n v="318"/>
    <x v="5"/>
    <n v="268.60344827586209"/>
    <n v="0.80563579177097355"/>
    <x v="5"/>
    <n v="281.96875"/>
    <n v="0.72004876426909004"/>
    <d v="2022-11-27T00:00:00"/>
    <x v="441"/>
    <x v="0"/>
    <x v="1"/>
    <x v="0"/>
    <x v="34"/>
  </r>
  <r>
    <n v="694"/>
    <n v="36"/>
    <n v="150"/>
    <n v="2"/>
    <n v="1500"/>
    <x v="211"/>
    <x v="12"/>
    <n v="283"/>
    <x v="3"/>
    <n v="265.47674418604652"/>
    <n v="-0.43497875695326527"/>
    <x v="29"/>
    <n v="235.55555555555554"/>
    <n v="-0.3632075471698113"/>
    <d v="2022-11-24T00:00:00"/>
    <x v="442"/>
    <x v="4"/>
    <x v="1"/>
    <x v="1"/>
    <x v="110"/>
  </r>
  <r>
    <n v="695"/>
    <n v="400"/>
    <n v="474"/>
    <n v="4"/>
    <n v="9480"/>
    <x v="383"/>
    <x v="9"/>
    <n v="191"/>
    <x v="15"/>
    <n v="294.95238095238096"/>
    <n v="0.60703907006780744"/>
    <x v="53"/>
    <n v="322.54545454545456"/>
    <n v="0.46956031567080037"/>
    <d v="2022-11-01T00:00:00"/>
    <x v="443"/>
    <x v="3"/>
    <x v="1"/>
    <x v="0"/>
    <x v="197"/>
  </r>
  <r>
    <n v="696"/>
    <n v="80"/>
    <n v="135"/>
    <n v="2"/>
    <n v="1350"/>
    <x v="384"/>
    <x v="9"/>
    <n v="123"/>
    <x v="17"/>
    <n v="267.85483870967744"/>
    <n v="-0.49599566447883425"/>
    <x v="66"/>
    <n v="273.625"/>
    <n v="-0.50662402923709449"/>
    <d v="2022-02-08T00:00:00"/>
    <x v="343"/>
    <x v="2"/>
    <x v="0"/>
    <x v="1"/>
    <x v="121"/>
  </r>
  <r>
    <n v="697"/>
    <n v="413"/>
    <n v="178"/>
    <n v="5"/>
    <n v="4450"/>
    <x v="99"/>
    <x v="2"/>
    <n v="380"/>
    <x v="7"/>
    <n v="249.02380952380952"/>
    <n v="-0.28520891098575385"/>
    <x v="7"/>
    <n v="276.21052631578948"/>
    <n v="-0.35556402439024393"/>
    <d v="2022-01-02T00:00:00"/>
    <x v="444"/>
    <x v="2"/>
    <x v="1"/>
    <x v="0"/>
    <x v="103"/>
  </r>
  <r>
    <n v="698"/>
    <n v="10"/>
    <n v="112"/>
    <n v="3"/>
    <n v="1680"/>
    <x v="252"/>
    <x v="2"/>
    <n v="442"/>
    <x v="5"/>
    <n v="268.60344827586209"/>
    <n v="-0.58302843571474416"/>
    <x v="5"/>
    <n v="281.96875"/>
    <n v="-0.60279286268425136"/>
    <d v="2022-07-04T00:00:00"/>
    <x v="428"/>
    <x v="4"/>
    <x v="0"/>
    <x v="1"/>
    <x v="280"/>
  </r>
  <r>
    <n v="699"/>
    <n v="14"/>
    <n v="338"/>
    <n v="4"/>
    <n v="6760"/>
    <x v="385"/>
    <x v="5"/>
    <n v="218"/>
    <x v="5"/>
    <n v="268.60344827586209"/>
    <n v="0.25836061364657548"/>
    <x v="49"/>
    <n v="272.25"/>
    <n v="0.24150596877869601"/>
    <d v="2022-06-09T00:00:00"/>
    <x v="131"/>
    <x v="0"/>
    <x v="0"/>
    <x v="1"/>
    <x v="174"/>
  </r>
  <r>
    <n v="700"/>
    <n v="423"/>
    <n v="277"/>
    <n v="5"/>
    <n v="6925"/>
    <x v="376"/>
    <x v="4"/>
    <n v="331"/>
    <x v="14"/>
    <n v="273.72549019607845"/>
    <n v="1.1962750716332238E-2"/>
    <x v="22"/>
    <n v="280.23809523809524"/>
    <n v="-1.1554800339847127E-2"/>
    <d v="2022-09-09T00:00:00"/>
    <x v="445"/>
    <x v="0"/>
    <x v="0"/>
    <x v="1"/>
    <x v="113"/>
  </r>
  <r>
    <n v="701"/>
    <n v="138"/>
    <n v="427"/>
    <n v="5"/>
    <n v="10675"/>
    <x v="279"/>
    <x v="4"/>
    <n v="196"/>
    <x v="11"/>
    <n v="262.63492063492066"/>
    <n v="0.62583101655989348"/>
    <x v="47"/>
    <n v="271"/>
    <n v="0.57564575645756455"/>
    <d v="2022-10-01T00:00:00"/>
    <x v="195"/>
    <x v="2"/>
    <x v="0"/>
    <x v="0"/>
    <x v="164"/>
  </r>
  <r>
    <n v="702"/>
    <n v="498"/>
    <n v="169"/>
    <n v="4"/>
    <n v="3380"/>
    <x v="37"/>
    <x v="17"/>
    <n v="36"/>
    <x v="15"/>
    <n v="294.95238095238096"/>
    <n v="-0.42702615434291247"/>
    <x v="41"/>
    <n v="274.77777777777777"/>
    <n v="-0.38495754144763439"/>
    <d v="2022-05-19T00:00:00"/>
    <x v="378"/>
    <x v="2"/>
    <x v="0"/>
    <x v="1"/>
    <x v="281"/>
  </r>
  <r>
    <n v="703"/>
    <n v="46"/>
    <n v="228"/>
    <n v="5"/>
    <n v="5700"/>
    <x v="386"/>
    <x v="3"/>
    <n v="272"/>
    <x v="9"/>
    <n v="263.25423728813558"/>
    <n v="-0.13391707442698941"/>
    <x v="55"/>
    <n v="293.66666666666669"/>
    <n v="-0.22360953461975031"/>
    <d v="2022-04-17T00:00:00"/>
    <x v="446"/>
    <x v="4"/>
    <x v="1"/>
    <x v="1"/>
    <x v="52"/>
  </r>
  <r>
    <n v="704"/>
    <n v="1"/>
    <n v="322"/>
    <n v="2"/>
    <n v="3220"/>
    <x v="387"/>
    <x v="15"/>
    <n v="22"/>
    <x v="18"/>
    <n v="255.11627906976744"/>
    <n v="0.26216955332725611"/>
    <x v="72"/>
    <n v="252.09090909090909"/>
    <n v="0.27731698521456916"/>
    <d v="2022-11-05T00:00:00"/>
    <x v="306"/>
    <x v="1"/>
    <x v="0"/>
    <x v="0"/>
    <x v="282"/>
  </r>
  <r>
    <n v="705"/>
    <n v="478"/>
    <n v="342"/>
    <n v="3"/>
    <n v="5130"/>
    <x v="214"/>
    <x v="6"/>
    <n v="360"/>
    <x v="17"/>
    <n v="267.85483870967744"/>
    <n v="0.27681098332028653"/>
    <x v="27"/>
    <n v="288.23809523809524"/>
    <n v="0.18651908144721618"/>
    <d v="2022-06-16T00:00:00"/>
    <x v="237"/>
    <x v="1"/>
    <x v="0"/>
    <x v="1"/>
    <x v="142"/>
  </r>
  <r>
    <n v="706"/>
    <n v="444"/>
    <n v="315"/>
    <n v="4"/>
    <n v="6300"/>
    <x v="146"/>
    <x v="4"/>
    <n v="414"/>
    <x v="9"/>
    <n v="263.25423728813558"/>
    <n v="0.19656193664692245"/>
    <x v="33"/>
    <n v="248.5"/>
    <n v="0.26760563380281699"/>
    <d v="2022-08-21T00:00:00"/>
    <x v="430"/>
    <x v="1"/>
    <x v="1"/>
    <x v="1"/>
    <x v="13"/>
  </r>
  <r>
    <n v="707"/>
    <n v="110"/>
    <n v="473"/>
    <n v="2"/>
    <n v="4730"/>
    <x v="273"/>
    <x v="17"/>
    <n v="152"/>
    <x v="3"/>
    <n v="265.47674418604652"/>
    <n v="0.78170031974070331"/>
    <x v="16"/>
    <n v="276.67567567567568"/>
    <n v="0.7095828856110189"/>
    <d v="2022-08-18T00:00:00"/>
    <x v="160"/>
    <x v="1"/>
    <x v="1"/>
    <x v="1"/>
    <x v="220"/>
  </r>
  <r>
    <n v="708"/>
    <n v="191"/>
    <n v="248"/>
    <n v="2"/>
    <n v="2480"/>
    <x v="359"/>
    <x v="11"/>
    <n v="177"/>
    <x v="19"/>
    <n v="286.92307692307691"/>
    <n v="-0.13565683646112592"/>
    <x v="40"/>
    <n v="273.58333333333331"/>
    <n v="-9.3512031678342877E-2"/>
    <d v="2022-10-23T00:00:00"/>
    <x v="206"/>
    <x v="4"/>
    <x v="1"/>
    <x v="1"/>
    <x v="162"/>
  </r>
  <r>
    <n v="709"/>
    <n v="198"/>
    <n v="335"/>
    <n v="3"/>
    <n v="5025"/>
    <x v="75"/>
    <x v="10"/>
    <n v="111"/>
    <x v="10"/>
    <n v="271.74545454545455"/>
    <n v="0.23277131004951146"/>
    <x v="15"/>
    <n v="316.58333333333331"/>
    <n v="5.8173203474598534E-2"/>
    <d v="2022-08-31T00:00:00"/>
    <x v="263"/>
    <x v="0"/>
    <x v="1"/>
    <x v="0"/>
    <x v="85"/>
  </r>
  <r>
    <n v="710"/>
    <n v="93"/>
    <n v="343"/>
    <n v="3"/>
    <n v="5145"/>
    <x v="71"/>
    <x v="18"/>
    <n v="281"/>
    <x v="8"/>
    <n v="271.18181818181819"/>
    <n v="0.26483405967147156"/>
    <x v="8"/>
    <n v="291.45454545454544"/>
    <n v="0.17685589519650668"/>
    <d v="2022-05-30T00:00:00"/>
    <x v="247"/>
    <x v="0"/>
    <x v="1"/>
    <x v="1"/>
    <x v="101"/>
  </r>
  <r>
    <n v="711"/>
    <n v="385"/>
    <n v="309"/>
    <n v="1"/>
    <n v="1545"/>
    <x v="388"/>
    <x v="6"/>
    <n v="177"/>
    <x v="3"/>
    <n v="265.47674418604652"/>
    <n v="0.16394376067627348"/>
    <x v="19"/>
    <n v="329.27272727272725"/>
    <n v="-6.1568194367752516E-2"/>
    <d v="2022-10-23T00:00:00"/>
    <x v="131"/>
    <x v="4"/>
    <x v="1"/>
    <x v="1"/>
    <x v="162"/>
  </r>
  <r>
    <n v="712"/>
    <n v="456"/>
    <n v="196"/>
    <n v="4"/>
    <n v="3920"/>
    <x v="201"/>
    <x v="4"/>
    <n v="446"/>
    <x v="19"/>
    <n v="286.92307692307691"/>
    <n v="-0.31689008042895439"/>
    <x v="40"/>
    <n v="273.58333333333331"/>
    <n v="-0.28358208955223874"/>
    <d v="2022-04-20T00:00:00"/>
    <x v="187"/>
    <x v="4"/>
    <x v="1"/>
    <x v="0"/>
    <x v="9"/>
  </r>
  <r>
    <n v="713"/>
    <n v="147"/>
    <n v="258"/>
    <n v="5"/>
    <n v="6450"/>
    <x v="53"/>
    <x v="3"/>
    <n v="202"/>
    <x v="17"/>
    <n v="267.85483870967744"/>
    <n v="-3.6791714337327752E-2"/>
    <x v="35"/>
    <n v="250.25925925925927"/>
    <n v="3.0930886488086395E-2"/>
    <d v="2022-07-24T00:00:00"/>
    <x v="70"/>
    <x v="1"/>
    <x v="1"/>
    <x v="1"/>
    <x v="65"/>
  </r>
  <r>
    <n v="714"/>
    <n v="47"/>
    <n v="496"/>
    <n v="2"/>
    <n v="4960"/>
    <x v="41"/>
    <x v="2"/>
    <n v="140"/>
    <x v="10"/>
    <n v="271.74545454545455"/>
    <n v="0.82523752174494835"/>
    <x v="37"/>
    <n v="272.35294117647061"/>
    <n v="0.8211663066954642"/>
    <d v="2022-03-07T00:00:00"/>
    <x v="19"/>
    <x v="2"/>
    <x v="1"/>
    <x v="0"/>
    <x v="76"/>
  </r>
  <r>
    <n v="715"/>
    <n v="369"/>
    <n v="202"/>
    <n v="5"/>
    <n v="5050"/>
    <x v="388"/>
    <x v="13"/>
    <n v="321"/>
    <x v="15"/>
    <n v="294.95238095238096"/>
    <n v="-0.31514368743945753"/>
    <x v="41"/>
    <n v="274.77777777777777"/>
    <n v="-0.2648604933279417"/>
    <d v="2022-07-14T00:00:00"/>
    <x v="447"/>
    <x v="4"/>
    <x v="1"/>
    <x v="1"/>
    <x v="95"/>
  </r>
  <r>
    <n v="716"/>
    <n v="296"/>
    <n v="155"/>
    <n v="1"/>
    <n v="775"/>
    <x v="6"/>
    <x v="18"/>
    <n v="188"/>
    <x v="18"/>
    <n v="255.11627906976744"/>
    <n v="-0.39243391066545119"/>
    <x v="34"/>
    <n v="250.30769230769232"/>
    <n v="-0.38076213890596189"/>
    <d v="2022-08-28T00:00:00"/>
    <x v="33"/>
    <x v="4"/>
    <x v="0"/>
    <x v="1"/>
    <x v="33"/>
  </r>
  <r>
    <n v="717"/>
    <n v="448"/>
    <n v="72"/>
    <n v="5"/>
    <n v="1800"/>
    <x v="190"/>
    <x v="10"/>
    <n v="63"/>
    <x v="9"/>
    <n v="263.25423728813558"/>
    <n v="-0.72650012876641767"/>
    <x v="9"/>
    <n v="257.78260869565219"/>
    <n v="-0.72069488952605831"/>
    <d v="2022-05-03T00:00:00"/>
    <x v="392"/>
    <x v="3"/>
    <x v="0"/>
    <x v="0"/>
    <x v="270"/>
  </r>
  <r>
    <n v="718"/>
    <n v="38"/>
    <n v="191"/>
    <n v="5"/>
    <n v="4775"/>
    <x v="383"/>
    <x v="14"/>
    <n v="25"/>
    <x v="17"/>
    <n v="267.85483870967744"/>
    <n v="-0.2869271993737581"/>
    <x v="27"/>
    <n v="288.23809523809524"/>
    <n v="-0.33735337849000491"/>
    <d v="2022-01-21T00:00:00"/>
    <x v="289"/>
    <x v="4"/>
    <x v="1"/>
    <x v="0"/>
    <x v="67"/>
  </r>
  <r>
    <n v="719"/>
    <n v="272"/>
    <n v="362"/>
    <n v="2"/>
    <n v="3620"/>
    <x v="115"/>
    <x v="18"/>
    <n v="409"/>
    <x v="18"/>
    <n v="255.11627906976744"/>
    <n v="0.41896080218778486"/>
    <x v="72"/>
    <n v="252.09090909090909"/>
    <n v="0.43598990263252801"/>
    <d v="2022-11-04T00:00:00"/>
    <x v="448"/>
    <x v="3"/>
    <x v="1"/>
    <x v="1"/>
    <x v="261"/>
  </r>
  <r>
    <n v="720"/>
    <n v="426"/>
    <n v="394"/>
    <n v="5"/>
    <n v="9850"/>
    <x v="6"/>
    <x v="15"/>
    <n v="386"/>
    <x v="2"/>
    <n v="283.468085106383"/>
    <n v="0.38992719357502059"/>
    <x v="46"/>
    <n v="321.63636363636363"/>
    <n v="0.22498586772187679"/>
    <d v="2022-06-22T00:00:00"/>
    <x v="449"/>
    <x v="0"/>
    <x v="1"/>
    <x v="0"/>
    <x v="108"/>
  </r>
  <r>
    <n v="721"/>
    <n v="378"/>
    <n v="203"/>
    <n v="4"/>
    <n v="4060"/>
    <x v="20"/>
    <x v="8"/>
    <n v="238"/>
    <x v="5"/>
    <n v="268.60344827586209"/>
    <n v="-0.24423903973297389"/>
    <x v="5"/>
    <n v="281.96875"/>
    <n v="-0.28006206361520558"/>
    <d v="2022-12-14T00:00:00"/>
    <x v="187"/>
    <x v="3"/>
    <x v="0"/>
    <x v="0"/>
    <x v="227"/>
  </r>
  <r>
    <n v="722"/>
    <n v="134"/>
    <n v="450"/>
    <n v="5"/>
    <n v="11250"/>
    <x v="353"/>
    <x v="0"/>
    <n v="480"/>
    <x v="6"/>
    <n v="258.5128205128205"/>
    <n v="0.74072604641936124"/>
    <x v="6"/>
    <n v="260.64705882352939"/>
    <n v="0.72647257955314837"/>
    <d v="2022-01-07T00:00:00"/>
    <x v="172"/>
    <x v="0"/>
    <x v="1"/>
    <x v="0"/>
    <x v="182"/>
  </r>
  <r>
    <n v="723"/>
    <n v="485"/>
    <n v="323"/>
    <n v="1"/>
    <n v="1615"/>
    <x v="389"/>
    <x v="17"/>
    <n v="157"/>
    <x v="3"/>
    <n v="265.47674418604652"/>
    <n v="0.2166790766939688"/>
    <x v="3"/>
    <n v="236.27586206896552"/>
    <n v="0.36704611792177455"/>
    <d v="2022-08-10T00:00:00"/>
    <x v="433"/>
    <x v="2"/>
    <x v="1"/>
    <x v="1"/>
    <x v="207"/>
  </r>
  <r>
    <n v="724"/>
    <n v="400"/>
    <n v="358"/>
    <n v="4"/>
    <n v="7160"/>
    <x v="130"/>
    <x v="2"/>
    <n v="9"/>
    <x v="15"/>
    <n v="294.95238095238096"/>
    <n v="0.21375524701323867"/>
    <x v="53"/>
    <n v="322.54545454545456"/>
    <n v="0.10992108229988728"/>
    <d v="2022-12-05T00:00:00"/>
    <x v="450"/>
    <x v="4"/>
    <x v="1"/>
    <x v="0"/>
    <x v="174"/>
  </r>
  <r>
    <n v="725"/>
    <n v="28"/>
    <n v="459"/>
    <n v="1"/>
    <n v="2295"/>
    <x v="288"/>
    <x v="0"/>
    <n v="63"/>
    <x v="18"/>
    <n v="255.11627906976744"/>
    <n v="0.79917958067456696"/>
    <x v="61"/>
    <n v="274.28571428571428"/>
    <n v="0.67343750000000013"/>
    <d v="2022-05-03T00:00:00"/>
    <x v="283"/>
    <x v="3"/>
    <x v="1"/>
    <x v="0"/>
    <x v="270"/>
  </r>
  <r>
    <n v="726"/>
    <n v="195"/>
    <n v="497"/>
    <n v="5"/>
    <n v="12425"/>
    <x v="10"/>
    <x v="16"/>
    <n v="105"/>
    <x v="16"/>
    <n v="300.31818181818181"/>
    <n v="0.65491145754502811"/>
    <x v="51"/>
    <n v="331.16666666666669"/>
    <n v="0.50075490689481628"/>
    <d v="2022-12-23T00:00:00"/>
    <x v="451"/>
    <x v="0"/>
    <x v="0"/>
    <x v="0"/>
    <x v="283"/>
  </r>
  <r>
    <n v="727"/>
    <n v="398"/>
    <n v="361"/>
    <n v="1"/>
    <n v="1805"/>
    <x v="127"/>
    <x v="7"/>
    <n v="40"/>
    <x v="5"/>
    <n v="268.60344827586209"/>
    <n v="0.34398870274086901"/>
    <x v="5"/>
    <n v="281.96875"/>
    <n v="0.28028371938379704"/>
    <d v="2022-10-21T00:00:00"/>
    <x v="452"/>
    <x v="2"/>
    <x v="1"/>
    <x v="1"/>
    <x v="228"/>
  </r>
  <r>
    <n v="728"/>
    <n v="77"/>
    <n v="160"/>
    <n v="2"/>
    <n v="1600"/>
    <x v="236"/>
    <x v="11"/>
    <n v="260"/>
    <x v="3"/>
    <n v="265.47674418604652"/>
    <n v="-0.39731067408348297"/>
    <x v="16"/>
    <n v="276.67567567567568"/>
    <n v="-0.42170557780599782"/>
    <d v="2022-06-17T00:00:00"/>
    <x v="172"/>
    <x v="3"/>
    <x v="0"/>
    <x v="0"/>
    <x v="186"/>
  </r>
  <r>
    <n v="729"/>
    <n v="128"/>
    <n v="419"/>
    <n v="5"/>
    <n v="10475"/>
    <x v="224"/>
    <x v="4"/>
    <n v="220"/>
    <x v="10"/>
    <n v="271.74545454545455"/>
    <n v="0.54188411615147869"/>
    <x v="15"/>
    <n v="316.58333333333331"/>
    <n v="0.32350618583837853"/>
    <d v="2022-01-09T00:00:00"/>
    <x v="453"/>
    <x v="3"/>
    <x v="1"/>
    <x v="1"/>
    <x v="250"/>
  </r>
  <r>
    <n v="730"/>
    <n v="328"/>
    <n v="429"/>
    <n v="4"/>
    <n v="8580"/>
    <x v="58"/>
    <x v="7"/>
    <n v="88"/>
    <x v="14"/>
    <n v="273.72549019607845"/>
    <n v="0.56726361031518602"/>
    <x v="58"/>
    <n v="241.83333333333334"/>
    <n v="0.77394900068917982"/>
    <d v="2022-03-10T00:00:00"/>
    <x v="449"/>
    <x v="3"/>
    <x v="1"/>
    <x v="0"/>
    <x v="83"/>
  </r>
  <r>
    <n v="731"/>
    <n v="455"/>
    <n v="72"/>
    <n v="2"/>
    <n v="720"/>
    <x v="246"/>
    <x v="5"/>
    <n v="66"/>
    <x v="1"/>
    <n v="264.8679245283019"/>
    <n v="-0.72816640547086475"/>
    <x v="64"/>
    <n v="236.91666666666666"/>
    <n v="-0.69609567358424196"/>
    <d v="2022-08-04T00:00:00"/>
    <x v="301"/>
    <x v="2"/>
    <x v="1"/>
    <x v="1"/>
    <x v="102"/>
  </r>
  <r>
    <n v="732"/>
    <n v="371"/>
    <n v="97"/>
    <n v="3"/>
    <n v="1455"/>
    <x v="390"/>
    <x v="1"/>
    <n v="15"/>
    <x v="0"/>
    <n v="252.76271186440678"/>
    <n v="-0.6162408636759874"/>
    <x v="45"/>
    <n v="293.41176470588238"/>
    <n v="-0.66940657578187657"/>
    <d v="2022-05-30T00:00:00"/>
    <x v="59"/>
    <x v="3"/>
    <x v="1"/>
    <x v="1"/>
    <x v="55"/>
  </r>
  <r>
    <n v="733"/>
    <n v="486"/>
    <n v="57"/>
    <n v="2"/>
    <n v="570"/>
    <x v="287"/>
    <x v="0"/>
    <n v="485"/>
    <x v="1"/>
    <n v="264.8679245283019"/>
    <n v="-0.78479840433110137"/>
    <x v="1"/>
    <n v="238.16666666666666"/>
    <n v="-0.76067179846046185"/>
    <d v="2022-06-11T00:00:00"/>
    <x v="229"/>
    <x v="2"/>
    <x v="1"/>
    <x v="1"/>
    <x v="268"/>
  </r>
  <r>
    <n v="734"/>
    <n v="359"/>
    <n v="126"/>
    <n v="4"/>
    <n v="2520"/>
    <x v="391"/>
    <x v="7"/>
    <n v="394"/>
    <x v="10"/>
    <n v="271.74545454545455"/>
    <n v="-0.53633079084704938"/>
    <x v="15"/>
    <n v="316.58333333333331"/>
    <n v="-0.60200052645433"/>
    <d v="2022-05-27T00:00:00"/>
    <x v="317"/>
    <x v="2"/>
    <x v="0"/>
    <x v="0"/>
    <x v="284"/>
  </r>
  <r>
    <n v="735"/>
    <n v="267"/>
    <n v="54"/>
    <n v="2"/>
    <n v="540"/>
    <x v="170"/>
    <x v="15"/>
    <n v="290"/>
    <x v="4"/>
    <n v="250.48780487804879"/>
    <n v="-0.78442064264849076"/>
    <x v="75"/>
    <n v="208"/>
    <n v="-0.74038461538461542"/>
    <d v="2022-08-04T00:00:00"/>
    <x v="245"/>
    <x v="2"/>
    <x v="1"/>
    <x v="0"/>
    <x v="189"/>
  </r>
  <r>
    <n v="736"/>
    <n v="52"/>
    <n v="150"/>
    <n v="4"/>
    <n v="3000"/>
    <x v="392"/>
    <x v="3"/>
    <n v="279"/>
    <x v="1"/>
    <n v="264.8679245283019"/>
    <n v="-0.43368001139763501"/>
    <x v="1"/>
    <n v="238.16666666666666"/>
    <n v="-0.37018894331700491"/>
    <d v="2022-08-13T00:00:00"/>
    <x v="261"/>
    <x v="0"/>
    <x v="1"/>
    <x v="0"/>
    <x v="208"/>
  </r>
  <r>
    <n v="737"/>
    <n v="187"/>
    <n v="233"/>
    <n v="4"/>
    <n v="4660"/>
    <x v="372"/>
    <x v="9"/>
    <n v="245"/>
    <x v="3"/>
    <n v="265.47674418604652"/>
    <n v="-0.12233366913407206"/>
    <x v="16"/>
    <n v="276.67567567567568"/>
    <n v="-0.15785874767998442"/>
    <d v="2022-05-14T00:00:00"/>
    <x v="454"/>
    <x v="0"/>
    <x v="1"/>
    <x v="1"/>
    <x v="263"/>
  </r>
  <r>
    <n v="738"/>
    <n v="118"/>
    <n v="156"/>
    <n v="5"/>
    <n v="3900"/>
    <x v="392"/>
    <x v="13"/>
    <n v="261"/>
    <x v="0"/>
    <n v="252.76271186440678"/>
    <n v="-0.38282035807684567"/>
    <x v="0"/>
    <n v="240.5"/>
    <n v="-0.35135135135135132"/>
    <d v="2022-10-14T00:00:00"/>
    <x v="205"/>
    <x v="2"/>
    <x v="1"/>
    <x v="0"/>
    <x v="204"/>
  </r>
  <r>
    <n v="739"/>
    <n v="218"/>
    <n v="383"/>
    <n v="2"/>
    <n v="3830"/>
    <x v="109"/>
    <x v="1"/>
    <n v="9"/>
    <x v="19"/>
    <n v="286.92307692307691"/>
    <n v="0.33485254691689015"/>
    <x v="42"/>
    <n v="312.66666666666669"/>
    <n v="0.22494669509594867"/>
    <d v="2022-12-05T00:00:00"/>
    <x v="235"/>
    <x v="4"/>
    <x v="1"/>
    <x v="0"/>
    <x v="174"/>
  </r>
  <r>
    <n v="740"/>
    <n v="46"/>
    <n v="370"/>
    <n v="5"/>
    <n v="9250"/>
    <x v="393"/>
    <x v="17"/>
    <n v="103"/>
    <x v="9"/>
    <n v="263.25423728813558"/>
    <n v="0.40548544939479791"/>
    <x v="55"/>
    <n v="293.66666666666669"/>
    <n v="0.25993189557321217"/>
    <d v="2022-08-14T00:00:00"/>
    <x v="430"/>
    <x v="0"/>
    <x v="1"/>
    <x v="0"/>
    <x v="234"/>
  </r>
  <r>
    <n v="741"/>
    <n v="263"/>
    <n v="173"/>
    <n v="3"/>
    <n v="2595"/>
    <x v="394"/>
    <x v="14"/>
    <n v="142"/>
    <x v="9"/>
    <n v="263.25423728813558"/>
    <n v="-0.34284058717486476"/>
    <x v="55"/>
    <n v="293.66666666666669"/>
    <n v="-0.41089670828603864"/>
    <d v="2022-05-02T00:00:00"/>
    <x v="426"/>
    <x v="2"/>
    <x v="1"/>
    <x v="1"/>
    <x v="52"/>
  </r>
  <r>
    <n v="742"/>
    <n v="201"/>
    <n v="113"/>
    <n v="5"/>
    <n v="2825"/>
    <x v="107"/>
    <x v="13"/>
    <n v="470"/>
    <x v="2"/>
    <n v="283.468085106383"/>
    <n v="-0.60136605869548898"/>
    <x v="36"/>
    <n v="249.5"/>
    <n v="-0.5470941883767535"/>
    <d v="2022-05-09T00:00:00"/>
    <x v="42"/>
    <x v="4"/>
    <x v="1"/>
    <x v="0"/>
    <x v="76"/>
  </r>
  <r>
    <n v="743"/>
    <n v="434"/>
    <n v="366"/>
    <n v="4"/>
    <n v="7320"/>
    <x v="229"/>
    <x v="5"/>
    <n v="490"/>
    <x v="11"/>
    <n v="262.63492063492066"/>
    <n v="0.39356944276562289"/>
    <x v="47"/>
    <n v="271"/>
    <n v="0.35055350553505527"/>
    <d v="2022-02-11T00:00:00"/>
    <x v="150"/>
    <x v="2"/>
    <x v="1"/>
    <x v="1"/>
    <x v="16"/>
  </r>
  <r>
    <n v="744"/>
    <n v="99"/>
    <n v="92"/>
    <n v="4"/>
    <n v="1840"/>
    <x v="339"/>
    <x v="6"/>
    <n v="255"/>
    <x v="4"/>
    <n v="250.48780487804879"/>
    <n v="-0.63271665043816938"/>
    <x v="75"/>
    <n v="208"/>
    <n v="-0.55769230769230771"/>
    <d v="2022-08-20T00:00:00"/>
    <x v="297"/>
    <x v="3"/>
    <x v="1"/>
    <x v="0"/>
    <x v="143"/>
  </r>
  <r>
    <n v="745"/>
    <n v="357"/>
    <n v="290"/>
    <n v="4"/>
    <n v="5800"/>
    <x v="93"/>
    <x v="5"/>
    <n v="422"/>
    <x v="10"/>
    <n v="271.74545454545455"/>
    <n v="6.7175163923457681E-2"/>
    <x v="37"/>
    <n v="272.35294117647061"/>
    <n v="6.4794816414686762E-2"/>
    <d v="2022-08-11T00:00:00"/>
    <x v="455"/>
    <x v="3"/>
    <x v="1"/>
    <x v="1"/>
    <x v="25"/>
  </r>
  <r>
    <n v="746"/>
    <n v="337"/>
    <n v="453"/>
    <n v="4"/>
    <n v="9060"/>
    <x v="373"/>
    <x v="18"/>
    <n v="115"/>
    <x v="3"/>
    <n v="265.47674418604652"/>
    <n v="0.70636415400113872"/>
    <x v="16"/>
    <n v="276.67567567567568"/>
    <n v="0.63729608283676864"/>
    <d v="2022-09-28T00:00:00"/>
    <x v="199"/>
    <x v="1"/>
    <x v="1"/>
    <x v="0"/>
    <x v="61"/>
  </r>
  <r>
    <n v="747"/>
    <n v="230"/>
    <n v="104"/>
    <n v="4"/>
    <n v="2080"/>
    <x v="324"/>
    <x v="4"/>
    <n v="163"/>
    <x v="5"/>
    <n v="268.60344827586209"/>
    <n v="-0.61281211887797682"/>
    <x v="5"/>
    <n v="281.96875"/>
    <n v="-0.63116480106394768"/>
    <d v="2022-01-10T00:00:00"/>
    <x v="281"/>
    <x v="0"/>
    <x v="1"/>
    <x v="0"/>
    <x v="157"/>
  </r>
  <r>
    <n v="748"/>
    <n v="293"/>
    <n v="57"/>
    <n v="5"/>
    <n v="1425"/>
    <x v="78"/>
    <x v="18"/>
    <n v="248"/>
    <x v="17"/>
    <n v="267.85483870967744"/>
    <n v="-0.78719816944661891"/>
    <x v="35"/>
    <n v="250.25925925925927"/>
    <n v="-0.7722361994968181"/>
    <d v="2022-05-13T00:00:00"/>
    <x v="195"/>
    <x v="2"/>
    <x v="0"/>
    <x v="1"/>
    <x v="285"/>
  </r>
  <r>
    <n v="749"/>
    <n v="254"/>
    <n v="326"/>
    <n v="1"/>
    <n v="1630"/>
    <x v="126"/>
    <x v="2"/>
    <n v="201"/>
    <x v="1"/>
    <n v="264.8679245283019"/>
    <n v="0.23080210856247318"/>
    <x v="1"/>
    <n v="238.16666666666666"/>
    <n v="0.36878936319104283"/>
    <d v="2022-10-09T00:00:00"/>
    <x v="456"/>
    <x v="4"/>
    <x v="1"/>
    <x v="0"/>
    <x v="271"/>
  </r>
  <r>
    <n v="750"/>
    <n v="248"/>
    <n v="176"/>
    <n v="5"/>
    <n v="4400"/>
    <x v="76"/>
    <x v="8"/>
    <n v="434"/>
    <x v="17"/>
    <n v="267.85483870967744"/>
    <n v="-0.34292768109833205"/>
    <x v="66"/>
    <n v="273.625"/>
    <n v="-0.35678391959798994"/>
    <d v="2022-06-18T00:00:00"/>
    <x v="457"/>
    <x v="3"/>
    <x v="1"/>
    <x v="1"/>
    <x v="130"/>
  </r>
  <r>
    <n v="751"/>
    <n v="156"/>
    <n v="490"/>
    <n v="1"/>
    <n v="2450"/>
    <x v="395"/>
    <x v="9"/>
    <n v="140"/>
    <x v="12"/>
    <n v="274.16279069767444"/>
    <n v="0.78725930952582912"/>
    <x v="50"/>
    <n v="280.66666666666669"/>
    <n v="0.74584323040380029"/>
    <d v="2022-03-07T00:00:00"/>
    <x v="458"/>
    <x v="2"/>
    <x v="1"/>
    <x v="0"/>
    <x v="76"/>
  </r>
  <r>
    <n v="752"/>
    <n v="370"/>
    <n v="95"/>
    <n v="5"/>
    <n v="2375"/>
    <x v="143"/>
    <x v="5"/>
    <n v="250"/>
    <x v="5"/>
    <n v="268.60344827586209"/>
    <n v="-0.64631876243661335"/>
    <x v="5"/>
    <n v="281.96875"/>
    <n v="-0.66308323174110606"/>
    <d v="2022-10-22T00:00:00"/>
    <x v="346"/>
    <x v="2"/>
    <x v="1"/>
    <x v="0"/>
    <x v="124"/>
  </r>
  <r>
    <n v="753"/>
    <n v="61"/>
    <n v="183"/>
    <n v="5"/>
    <n v="4575"/>
    <x v="396"/>
    <x v="9"/>
    <n v="191"/>
    <x v="9"/>
    <n v="263.25423728813558"/>
    <n v="-0.30485449394797837"/>
    <x v="33"/>
    <n v="248.5"/>
    <n v="-0.26358148893360156"/>
    <d v="2022-11-01T00:00:00"/>
    <x v="459"/>
    <x v="3"/>
    <x v="1"/>
    <x v="0"/>
    <x v="197"/>
  </r>
  <r>
    <n v="754"/>
    <n v="246"/>
    <n v="302"/>
    <n v="5"/>
    <n v="7550"/>
    <x v="313"/>
    <x v="5"/>
    <n v="336"/>
    <x v="11"/>
    <n v="262.63492063492066"/>
    <n v="0.14988516862081469"/>
    <x v="21"/>
    <n v="238.72222222222223"/>
    <n v="0.26506865254828949"/>
    <d v="2022-10-22T00:00:00"/>
    <x v="273"/>
    <x v="0"/>
    <x v="1"/>
    <x v="1"/>
    <x v="202"/>
  </r>
  <r>
    <n v="755"/>
    <n v="322"/>
    <n v="417"/>
    <n v="2"/>
    <n v="4170"/>
    <x v="8"/>
    <x v="16"/>
    <n v="3"/>
    <x v="18"/>
    <n v="255.11627906976744"/>
    <n v="0.6345487693710119"/>
    <x v="67"/>
    <n v="251.91666666666666"/>
    <n v="0.65530929540191862"/>
    <d v="2022-04-15T00:00:00"/>
    <x v="353"/>
    <x v="3"/>
    <x v="0"/>
    <x v="1"/>
    <x v="5"/>
  </r>
  <r>
    <n v="756"/>
    <n v="51"/>
    <n v="439"/>
    <n v="5"/>
    <n v="10975"/>
    <x v="151"/>
    <x v="9"/>
    <n v="435"/>
    <x v="19"/>
    <n v="286.92307692307691"/>
    <n v="0.53002680965147464"/>
    <x v="42"/>
    <n v="312.66666666666669"/>
    <n v="0.40405117270788904"/>
    <d v="2022-02-26T00:00:00"/>
    <x v="331"/>
    <x v="0"/>
    <x v="0"/>
    <x v="1"/>
    <x v="76"/>
  </r>
  <r>
    <n v="757"/>
    <n v="189"/>
    <n v="136"/>
    <n v="5"/>
    <n v="3400"/>
    <x v="250"/>
    <x v="18"/>
    <n v="80"/>
    <x v="16"/>
    <n v="300.31818181818181"/>
    <n v="-0.54714696533979112"/>
    <x v="38"/>
    <n v="264"/>
    <n v="-0.48484848484848486"/>
    <d v="2022-03-03T00:00:00"/>
    <x v="435"/>
    <x v="1"/>
    <x v="1"/>
    <x v="1"/>
    <x v="248"/>
  </r>
  <r>
    <n v="758"/>
    <n v="67"/>
    <n v="274"/>
    <n v="4"/>
    <n v="5480"/>
    <x v="397"/>
    <x v="2"/>
    <n v="262"/>
    <x v="9"/>
    <n v="263.25423728813558"/>
    <n v="4.0818954416688147E-2"/>
    <x v="43"/>
    <n v="287.10000000000002"/>
    <n v="-4.5628700801114697E-2"/>
    <d v="2022-08-05T00:00:00"/>
    <x v="460"/>
    <x v="4"/>
    <x v="0"/>
    <x v="0"/>
    <x v="60"/>
  </r>
  <r>
    <n v="759"/>
    <n v="301"/>
    <n v="189"/>
    <n v="3"/>
    <n v="2835"/>
    <x v="389"/>
    <x v="15"/>
    <n v="43"/>
    <x v="12"/>
    <n v="274.16279069767444"/>
    <n v="-0.31062855204003736"/>
    <x v="18"/>
    <n v="253.6875"/>
    <n v="-0.25498891352549891"/>
    <d v="2022-12-17T00:00:00"/>
    <x v="461"/>
    <x v="2"/>
    <x v="1"/>
    <x v="0"/>
    <x v="58"/>
  </r>
  <r>
    <n v="760"/>
    <n v="463"/>
    <n v="77"/>
    <n v="4"/>
    <n v="1540"/>
    <x v="374"/>
    <x v="13"/>
    <n v="163"/>
    <x v="7"/>
    <n v="249.02380952380952"/>
    <n v="-0.69079261879720821"/>
    <x v="39"/>
    <n v="222.2"/>
    <n v="-0.65346534653465338"/>
    <d v="2022-01-10T00:00:00"/>
    <x v="250"/>
    <x v="0"/>
    <x v="1"/>
    <x v="0"/>
    <x v="157"/>
  </r>
  <r>
    <n v="761"/>
    <n v="151"/>
    <n v="239"/>
    <n v="2"/>
    <n v="2390"/>
    <x v="398"/>
    <x v="6"/>
    <n v="386"/>
    <x v="15"/>
    <n v="294.95238095238096"/>
    <n v="-0.18969970939618985"/>
    <x v="53"/>
    <n v="322.54545454545456"/>
    <n v="-0.25901916572717032"/>
    <d v="2022-06-22T00:00:00"/>
    <x v="462"/>
    <x v="0"/>
    <x v="1"/>
    <x v="0"/>
    <x v="108"/>
  </r>
  <r>
    <n v="762"/>
    <n v="398"/>
    <n v="464"/>
    <n v="5"/>
    <n v="11600"/>
    <x v="28"/>
    <x v="3"/>
    <n v="342"/>
    <x v="5"/>
    <n v="268.60344827586209"/>
    <n v="0.72745362346748821"/>
    <x v="5"/>
    <n v="281.96875"/>
    <n v="0.64557242602238718"/>
    <d v="2022-01-09T00:00:00"/>
    <x v="438"/>
    <x v="4"/>
    <x v="1"/>
    <x v="0"/>
    <x v="106"/>
  </r>
  <r>
    <n v="763"/>
    <n v="483"/>
    <n v="140"/>
    <n v="5"/>
    <n v="3500"/>
    <x v="20"/>
    <x v="3"/>
    <n v="7"/>
    <x v="19"/>
    <n v="286.92307692307691"/>
    <n v="-0.51206434316353877"/>
    <x v="42"/>
    <n v="312.66666666666669"/>
    <n v="-0.55223880597014929"/>
    <d v="2022-11-28T00:00:00"/>
    <x v="202"/>
    <x v="2"/>
    <x v="1"/>
    <x v="0"/>
    <x v="219"/>
  </r>
  <r>
    <n v="764"/>
    <n v="86"/>
    <n v="353"/>
    <n v="2"/>
    <n v="3530"/>
    <x v="399"/>
    <x v="19"/>
    <n v="264"/>
    <x v="0"/>
    <n v="252.76271186440678"/>
    <n v="0.39656675383893236"/>
    <x v="45"/>
    <n v="293.41176470588238"/>
    <n v="0.20308740978348028"/>
    <d v="2022-12-12T00:00:00"/>
    <x v="463"/>
    <x v="1"/>
    <x v="0"/>
    <x v="1"/>
    <x v="232"/>
  </r>
  <r>
    <n v="765"/>
    <n v="158"/>
    <n v="318"/>
    <n v="5"/>
    <n v="7950"/>
    <x v="347"/>
    <x v="7"/>
    <n v="99"/>
    <x v="0"/>
    <n v="252.76271186440678"/>
    <n v="0.25809696238181457"/>
    <x v="11"/>
    <n v="240.26666666666668"/>
    <n v="0.32352941176470584"/>
    <d v="2022-11-21T00:00:00"/>
    <x v="464"/>
    <x v="2"/>
    <x v="0"/>
    <x v="1"/>
    <x v="286"/>
  </r>
  <r>
    <n v="766"/>
    <n v="199"/>
    <n v="80"/>
    <n v="5"/>
    <n v="2000"/>
    <x v="306"/>
    <x v="9"/>
    <n v="404"/>
    <x v="3"/>
    <n v="265.47674418604652"/>
    <n v="-0.69865533704174143"/>
    <x v="3"/>
    <n v="236.27586206896552"/>
    <n v="-0.66141272621132519"/>
    <d v="2022-12-18T00:00:00"/>
    <x v="30"/>
    <x v="3"/>
    <x v="0"/>
    <x v="1"/>
    <x v="287"/>
  </r>
  <r>
    <n v="767"/>
    <n v="259"/>
    <n v="90"/>
    <n v="4"/>
    <n v="1800"/>
    <x v="18"/>
    <x v="4"/>
    <n v="79"/>
    <x v="9"/>
    <n v="263.25423728813558"/>
    <n v="-0.65812516095802209"/>
    <x v="9"/>
    <n v="257.78260869565219"/>
    <n v="-0.65086861190757295"/>
    <d v="2022-06-04T00:00:00"/>
    <x v="178"/>
    <x v="4"/>
    <x v="1"/>
    <x v="1"/>
    <x v="277"/>
  </r>
  <r>
    <n v="768"/>
    <n v="468"/>
    <n v="167"/>
    <n v="4"/>
    <n v="3340"/>
    <x v="237"/>
    <x v="19"/>
    <n v="377"/>
    <x v="9"/>
    <n v="263.25423728813558"/>
    <n v="-0.36563224311099662"/>
    <x v="43"/>
    <n v="287.10000000000002"/>
    <n v="-0.41832114245907359"/>
    <d v="2022-08-21T00:00:00"/>
    <x v="465"/>
    <x v="0"/>
    <x v="1"/>
    <x v="1"/>
    <x v="153"/>
  </r>
  <r>
    <n v="769"/>
    <n v="4"/>
    <n v="478"/>
    <n v="4"/>
    <n v="9560"/>
    <x v="303"/>
    <x v="13"/>
    <n v="146"/>
    <x v="13"/>
    <n v="258.375"/>
    <n v="0.85002418964683124"/>
    <x v="20"/>
    <n v="269.70588235294116"/>
    <n v="0.7723009814612869"/>
    <d v="2022-02-25T00:00:00"/>
    <x v="158"/>
    <x v="1"/>
    <x v="0"/>
    <x v="1"/>
    <x v="134"/>
  </r>
  <r>
    <n v="770"/>
    <n v="155"/>
    <n v="310"/>
    <n v="4"/>
    <n v="6200"/>
    <x v="71"/>
    <x v="11"/>
    <n v="346"/>
    <x v="9"/>
    <n v="263.25423728813558"/>
    <n v="0.17756889003347931"/>
    <x v="33"/>
    <n v="248.5"/>
    <n v="0.2474849094567404"/>
    <d v="2022-03-16T00:00:00"/>
    <x v="282"/>
    <x v="2"/>
    <x v="1"/>
    <x v="0"/>
    <x v="59"/>
  </r>
  <r>
    <n v="771"/>
    <n v="413"/>
    <n v="210"/>
    <n v="5"/>
    <n v="5250"/>
    <x v="387"/>
    <x v="11"/>
    <n v="436"/>
    <x v="7"/>
    <n v="249.02380952380952"/>
    <n v="-0.15670714217420401"/>
    <x v="7"/>
    <n v="276.21052631578948"/>
    <n v="-0.23971036585365857"/>
    <d v="2022-05-02T00:00:00"/>
    <x v="466"/>
    <x v="2"/>
    <x v="1"/>
    <x v="1"/>
    <x v="144"/>
  </r>
  <r>
    <n v="772"/>
    <n v="200"/>
    <n v="67"/>
    <n v="1"/>
    <n v="335"/>
    <x v="400"/>
    <x v="6"/>
    <n v="103"/>
    <x v="14"/>
    <n v="273.72549019607845"/>
    <n v="-0.75522922636103151"/>
    <x v="63"/>
    <n v="266.27272727272725"/>
    <n v="-0.74837828610447255"/>
    <d v="2022-08-14T00:00:00"/>
    <x v="181"/>
    <x v="0"/>
    <x v="1"/>
    <x v="0"/>
    <x v="234"/>
  </r>
  <r>
    <n v="773"/>
    <n v="295"/>
    <n v="294"/>
    <n v="5"/>
    <n v="7350"/>
    <x v="191"/>
    <x v="18"/>
    <n v="493"/>
    <x v="2"/>
    <n v="283.468085106383"/>
    <n v="3.715379419049758E-2"/>
    <x v="36"/>
    <n v="249.5"/>
    <n v="0.17835671342685377"/>
    <d v="2022-10-21T00:00:00"/>
    <x v="467"/>
    <x v="3"/>
    <x v="1"/>
    <x v="0"/>
    <x v="46"/>
  </r>
  <r>
    <n v="774"/>
    <n v="39"/>
    <n v="404"/>
    <n v="2"/>
    <n v="4040"/>
    <x v="149"/>
    <x v="7"/>
    <n v="252"/>
    <x v="11"/>
    <n v="262.63492063492066"/>
    <n v="0.53825698053910287"/>
    <x v="47"/>
    <n v="271"/>
    <n v="0.4907749077490775"/>
    <d v="2022-03-23T00:00:00"/>
    <x v="444"/>
    <x v="2"/>
    <x v="1"/>
    <x v="1"/>
    <x v="22"/>
  </r>
  <r>
    <n v="775"/>
    <n v="228"/>
    <n v="98"/>
    <n v="2"/>
    <n v="980"/>
    <x v="314"/>
    <x v="4"/>
    <n v="338"/>
    <x v="13"/>
    <n v="258.375"/>
    <n v="-0.62070633768746974"/>
    <x v="34"/>
    <n v="181.57142857142858"/>
    <n v="-0.46026750590086551"/>
    <d v="2022-01-16T00:00:00"/>
    <x v="373"/>
    <x v="4"/>
    <x v="0"/>
    <x v="1"/>
    <x v="257"/>
  </r>
  <r>
    <n v="776"/>
    <n v="37"/>
    <n v="139"/>
    <n v="3"/>
    <n v="2085"/>
    <x v="366"/>
    <x v="9"/>
    <n v="397"/>
    <x v="1"/>
    <n v="264.8679245283019"/>
    <n v="-0.47521014389514182"/>
    <x v="1"/>
    <n v="238.16666666666666"/>
    <n v="-0.41637508747375784"/>
    <d v="2022-06-16T00:00:00"/>
    <x v="468"/>
    <x v="1"/>
    <x v="1"/>
    <x v="1"/>
    <x v="21"/>
  </r>
  <r>
    <n v="777"/>
    <n v="62"/>
    <n v="241"/>
    <n v="2"/>
    <n v="2410"/>
    <x v="277"/>
    <x v="0"/>
    <n v="247"/>
    <x v="6"/>
    <n v="258.5128205128205"/>
    <n v="-6.7744495139853145E-2"/>
    <x v="60"/>
    <n v="289.88888888888891"/>
    <n v="-0.16864699118436188"/>
    <d v="2022-07-20T00:00:00"/>
    <x v="469"/>
    <x v="0"/>
    <x v="1"/>
    <x v="0"/>
    <x v="118"/>
  </r>
  <r>
    <n v="778"/>
    <n v="468"/>
    <n v="182"/>
    <n v="5"/>
    <n v="4550"/>
    <x v="186"/>
    <x v="16"/>
    <n v="445"/>
    <x v="9"/>
    <n v="263.25423728813558"/>
    <n v="-0.30865310327066697"/>
    <x v="43"/>
    <n v="287.10000000000002"/>
    <n v="-0.3660745384883316"/>
    <d v="2022-04-25T00:00:00"/>
    <x v="399"/>
    <x v="2"/>
    <x v="0"/>
    <x v="1"/>
    <x v="135"/>
  </r>
  <r>
    <n v="779"/>
    <n v="497"/>
    <n v="275"/>
    <n v="4"/>
    <n v="5500"/>
    <x v="401"/>
    <x v="3"/>
    <n v="477"/>
    <x v="17"/>
    <n v="267.85483870967744"/>
    <n v="2.667549828385618E-2"/>
    <x v="35"/>
    <n v="250.25925925925927"/>
    <n v="9.8860441024123169E-2"/>
    <d v="2022-06-26T00:00:00"/>
    <x v="375"/>
    <x v="0"/>
    <x v="1"/>
    <x v="0"/>
    <x v="6"/>
  </r>
  <r>
    <n v="780"/>
    <n v="372"/>
    <n v="182"/>
    <n v="2"/>
    <n v="1820"/>
    <x v="140"/>
    <x v="14"/>
    <n v="402"/>
    <x v="7"/>
    <n v="249.02380952380952"/>
    <n v="-0.26914618988431016"/>
    <x v="39"/>
    <n v="222.2"/>
    <n v="-0.18091809180918084"/>
    <d v="2022-06-30T00:00:00"/>
    <x v="147"/>
    <x v="0"/>
    <x v="1"/>
    <x v="0"/>
    <x v="113"/>
  </r>
  <r>
    <n v="781"/>
    <n v="354"/>
    <n v="203"/>
    <n v="5"/>
    <n v="5075"/>
    <x v="43"/>
    <x v="17"/>
    <n v="265"/>
    <x v="8"/>
    <n v="271.18181818181819"/>
    <n v="-0.25142474019443517"/>
    <x v="14"/>
    <n v="260.15789473684208"/>
    <n v="-0.21970463281408048"/>
    <d v="2022-07-14T00:00:00"/>
    <x v="140"/>
    <x v="0"/>
    <x v="1"/>
    <x v="1"/>
    <x v="200"/>
  </r>
  <r>
    <n v="782"/>
    <n v="460"/>
    <n v="103"/>
    <n v="5"/>
    <n v="2575"/>
    <x v="158"/>
    <x v="12"/>
    <n v="124"/>
    <x v="7"/>
    <n v="249.02380952380952"/>
    <n v="-0.58638493163782379"/>
    <x v="77"/>
    <n v="140"/>
    <n v="-0.26428571428571423"/>
    <d v="2022-08-22T00:00:00"/>
    <x v="138"/>
    <x v="2"/>
    <x v="1"/>
    <x v="0"/>
    <x v="120"/>
  </r>
  <r>
    <n v="783"/>
    <n v="63"/>
    <n v="344"/>
    <n v="2"/>
    <n v="3440"/>
    <x v="40"/>
    <x v="13"/>
    <n v="208"/>
    <x v="6"/>
    <n v="258.5128205128205"/>
    <n v="0.33068835548502284"/>
    <x v="60"/>
    <n v="289.88888888888891"/>
    <n v="0.18666155615178215"/>
    <d v="2022-06-24T00:00:00"/>
    <x v="470"/>
    <x v="3"/>
    <x v="0"/>
    <x v="1"/>
    <x v="288"/>
  </r>
  <r>
    <n v="784"/>
    <n v="467"/>
    <n v="436"/>
    <n v="3"/>
    <n v="6540"/>
    <x v="148"/>
    <x v="5"/>
    <n v="343"/>
    <x v="3"/>
    <n v="265.47674418604652"/>
    <n v="0.64232841312250888"/>
    <x v="3"/>
    <n v="236.27586206896552"/>
    <n v="0.84530064214827783"/>
    <d v="2022-11-09T00:00:00"/>
    <x v="143"/>
    <x v="3"/>
    <x v="0"/>
    <x v="1"/>
    <x v="289"/>
  </r>
  <r>
    <n v="785"/>
    <n v="184"/>
    <n v="79"/>
    <n v="4"/>
    <n v="1580"/>
    <x v="313"/>
    <x v="1"/>
    <n v="394"/>
    <x v="17"/>
    <n v="267.85483870967744"/>
    <n v="-0.7050641295839104"/>
    <x v="70"/>
    <n v="268"/>
    <n v="-0.70522388059701491"/>
    <d v="2022-05-27T00:00:00"/>
    <x v="5"/>
    <x v="2"/>
    <x v="1"/>
    <x v="0"/>
    <x v="284"/>
  </r>
  <r>
    <n v="786"/>
    <n v="265"/>
    <n v="339"/>
    <n v="3"/>
    <n v="5085"/>
    <x v="378"/>
    <x v="1"/>
    <n v="242"/>
    <x v="10"/>
    <n v="271.74545454545455"/>
    <n v="0.24749096748293864"/>
    <x v="15"/>
    <n v="316.58333333333331"/>
    <n v="7.0808107396683306E-2"/>
    <d v="2022-07-05T00:00:00"/>
    <x v="177"/>
    <x v="2"/>
    <x v="1"/>
    <x v="1"/>
    <x v="256"/>
  </r>
  <r>
    <n v="787"/>
    <n v="130"/>
    <n v="319"/>
    <n v="3"/>
    <n v="4785"/>
    <x v="279"/>
    <x v="19"/>
    <n v="56"/>
    <x v="1"/>
    <n v="264.8679245283019"/>
    <n v="0.20437384242769618"/>
    <x v="1"/>
    <n v="238.16666666666666"/>
    <n v="0.33939818054583637"/>
    <d v="2022-04-11T00:00:00"/>
    <x v="320"/>
    <x v="4"/>
    <x v="1"/>
    <x v="1"/>
    <x v="210"/>
  </r>
  <r>
    <n v="788"/>
    <n v="443"/>
    <n v="348"/>
    <n v="3"/>
    <n v="5220"/>
    <x v="71"/>
    <x v="16"/>
    <n v="324"/>
    <x v="7"/>
    <n v="249.02380952380952"/>
    <n v="0.3974567358256047"/>
    <x v="7"/>
    <n v="276.21052631578948"/>
    <n v="0.25990853658536572"/>
    <d v="2022-07-19T00:00:00"/>
    <x v="404"/>
    <x v="0"/>
    <x v="1"/>
    <x v="1"/>
    <x v="31"/>
  </r>
  <r>
    <n v="789"/>
    <n v="408"/>
    <n v="60"/>
    <n v="4"/>
    <n v="1200"/>
    <x v="227"/>
    <x v="7"/>
    <n v="486"/>
    <x v="9"/>
    <n v="263.25423728813558"/>
    <n v="-0.7720834406386814"/>
    <x v="33"/>
    <n v="248.5"/>
    <n v="-0.75855130784708247"/>
    <d v="2022-06-11T00:00:00"/>
    <x v="210"/>
    <x v="2"/>
    <x v="0"/>
    <x v="0"/>
    <x v="228"/>
  </r>
  <r>
    <n v="790"/>
    <n v="249"/>
    <n v="125"/>
    <n v="5"/>
    <n v="3125"/>
    <x v="197"/>
    <x v="3"/>
    <n v="71"/>
    <x v="8"/>
    <n v="271.18181818181819"/>
    <n v="-0.539054642976869"/>
    <x v="14"/>
    <n v="260.15789473684208"/>
    <n v="-0.5195225571515274"/>
    <d v="2022-07-20T00:00:00"/>
    <x v="41"/>
    <x v="3"/>
    <x v="1"/>
    <x v="0"/>
    <x v="72"/>
  </r>
  <r>
    <n v="791"/>
    <n v="241"/>
    <n v="490"/>
    <n v="1"/>
    <n v="2450"/>
    <x v="305"/>
    <x v="7"/>
    <n v="299"/>
    <x v="19"/>
    <n v="286.92307692307691"/>
    <n v="0.70777479892761397"/>
    <x v="40"/>
    <n v="273.58333333333331"/>
    <n v="0.79104477611940305"/>
    <d v="2022-04-15T00:00:00"/>
    <x v="97"/>
    <x v="3"/>
    <x v="0"/>
    <x v="1"/>
    <x v="7"/>
  </r>
  <r>
    <n v="792"/>
    <n v="202"/>
    <n v="298"/>
    <n v="4"/>
    <n v="5960"/>
    <x v="364"/>
    <x v="16"/>
    <n v="265"/>
    <x v="4"/>
    <n v="250.48780487804879"/>
    <n v="0.18967867575462516"/>
    <x v="25"/>
    <n v="303.8235294117647"/>
    <n v="-1.9167473378509214E-2"/>
    <d v="2022-07-14T00:00:00"/>
    <x v="16"/>
    <x v="0"/>
    <x v="1"/>
    <x v="1"/>
    <x v="200"/>
  </r>
  <r>
    <n v="793"/>
    <n v="376"/>
    <n v="441"/>
    <n v="2"/>
    <n v="4410"/>
    <x v="323"/>
    <x v="17"/>
    <n v="272"/>
    <x v="17"/>
    <n v="267.85483870967744"/>
    <n v="0.64641416270247465"/>
    <x v="66"/>
    <n v="273.625"/>
    <n v="0.61169483782549117"/>
    <d v="2022-04-17T00:00:00"/>
    <x v="343"/>
    <x v="4"/>
    <x v="1"/>
    <x v="1"/>
    <x v="52"/>
  </r>
  <r>
    <n v="794"/>
    <n v="371"/>
    <n v="126"/>
    <n v="5"/>
    <n v="3150"/>
    <x v="402"/>
    <x v="5"/>
    <n v="371"/>
    <x v="0"/>
    <n v="252.76271186440678"/>
    <n v="-0.5015087507543754"/>
    <x v="45"/>
    <n v="293.41176470588238"/>
    <n v="-0.57056936647955103"/>
    <d v="2022-10-10T00:00:00"/>
    <x v="386"/>
    <x v="3"/>
    <x v="1"/>
    <x v="1"/>
    <x v="55"/>
  </r>
  <r>
    <n v="795"/>
    <n v="308"/>
    <n v="416"/>
    <n v="4"/>
    <n v="8320"/>
    <x v="256"/>
    <x v="6"/>
    <n v="360"/>
    <x v="17"/>
    <n v="267.85483870967744"/>
    <n v="0.55308002649485144"/>
    <x v="35"/>
    <n v="250.25925925925927"/>
    <n v="0.66227615805830986"/>
    <d v="2022-06-16T00:00:00"/>
    <x v="170"/>
    <x v="1"/>
    <x v="1"/>
    <x v="1"/>
    <x v="142"/>
  </r>
  <r>
    <n v="796"/>
    <n v="146"/>
    <n v="387"/>
    <n v="4"/>
    <n v="7740"/>
    <x v="22"/>
    <x v="2"/>
    <n v="368"/>
    <x v="5"/>
    <n v="268.60344827586209"/>
    <n v="0.44078567302137484"/>
    <x v="28"/>
    <n v="242.81818181818181"/>
    <n v="0.59378509921377765"/>
    <d v="2022-11-07T00:00:00"/>
    <x v="471"/>
    <x v="0"/>
    <x v="0"/>
    <x v="0"/>
    <x v="18"/>
  </r>
  <r>
    <n v="797"/>
    <n v="77"/>
    <n v="151"/>
    <n v="2"/>
    <n v="1510"/>
    <x v="228"/>
    <x v="19"/>
    <n v="481"/>
    <x v="3"/>
    <n v="265.47674418604652"/>
    <n v="-0.43121194866628709"/>
    <x v="16"/>
    <n v="276.67567567567568"/>
    <n v="-0.45423463905441053"/>
    <d v="2022-07-14T00:00:00"/>
    <x v="472"/>
    <x v="1"/>
    <x v="1"/>
    <x v="0"/>
    <x v="19"/>
  </r>
  <r>
    <n v="798"/>
    <n v="407"/>
    <n v="157"/>
    <n v="3"/>
    <n v="2355"/>
    <x v="403"/>
    <x v="1"/>
    <n v="354"/>
    <x v="17"/>
    <n v="267.85483870967744"/>
    <n v="-0.41386162461612575"/>
    <x v="70"/>
    <n v="268"/>
    <n v="-0.41417910447761197"/>
    <d v="2022-09-07T00:00:00"/>
    <x v="21"/>
    <x v="0"/>
    <x v="1"/>
    <x v="1"/>
    <x v="150"/>
  </r>
  <r>
    <n v="799"/>
    <n v="357"/>
    <n v="55"/>
    <n v="5"/>
    <n v="1375"/>
    <x v="74"/>
    <x v="16"/>
    <n v="8"/>
    <x v="10"/>
    <n v="271.74545454545455"/>
    <n v="-0.79760471029037872"/>
    <x v="37"/>
    <n v="272.35294117647061"/>
    <n v="-0.79805615550755937"/>
    <d v="2022-11-18T00:00:00"/>
    <x v="128"/>
    <x v="1"/>
    <x v="1"/>
    <x v="0"/>
    <x v="263"/>
  </r>
  <r>
    <n v="800"/>
    <n v="409"/>
    <n v="235"/>
    <n v="5"/>
    <n v="5875"/>
    <x v="111"/>
    <x v="8"/>
    <n v="1"/>
    <x v="12"/>
    <n v="274.16279069767444"/>
    <n v="-0.14284502502332685"/>
    <x v="65"/>
    <n v="258.30769230769232"/>
    <n v="-9.0232281119714153E-2"/>
    <d v="2022-01-24T00:00:00"/>
    <x v="394"/>
    <x v="2"/>
    <x v="1"/>
    <x v="0"/>
    <x v="192"/>
  </r>
  <r>
    <n v="801"/>
    <n v="148"/>
    <n v="474"/>
    <n v="4"/>
    <n v="9480"/>
    <x v="289"/>
    <x v="11"/>
    <n v="333"/>
    <x v="5"/>
    <n v="268.60344827586209"/>
    <n v="0.76468322742152872"/>
    <x v="5"/>
    <n v="281.96875"/>
    <n v="0.68103734899700763"/>
    <d v="2022-10-23T00:00:00"/>
    <x v="215"/>
    <x v="2"/>
    <x v="1"/>
    <x v="0"/>
    <x v="92"/>
  </r>
  <r>
    <n v="802"/>
    <n v="63"/>
    <n v="479"/>
    <n v="4"/>
    <n v="9580"/>
    <x v="90"/>
    <x v="3"/>
    <n v="396"/>
    <x v="6"/>
    <n v="258.5128205128205"/>
    <n v="0.85290616941083131"/>
    <x v="60"/>
    <n v="289.88888888888891"/>
    <n v="0.65235722499041771"/>
    <d v="2022-11-06T00:00:00"/>
    <x v="54"/>
    <x v="3"/>
    <x v="1"/>
    <x v="1"/>
    <x v="98"/>
  </r>
  <r>
    <n v="803"/>
    <n v="410"/>
    <n v="320"/>
    <n v="4"/>
    <n v="6400"/>
    <x v="210"/>
    <x v="8"/>
    <n v="401"/>
    <x v="14"/>
    <n v="273.72549019607845"/>
    <n v="0.16905444126074487"/>
    <x v="44"/>
    <n v="320.57142857142856"/>
    <n v="-1.7825311942958333E-3"/>
    <d v="2022-10-22T00:00:00"/>
    <x v="240"/>
    <x v="2"/>
    <x v="1"/>
    <x v="1"/>
    <x v="269"/>
  </r>
  <r>
    <n v="804"/>
    <n v="223"/>
    <n v="477"/>
    <n v="4"/>
    <n v="9540"/>
    <x v="239"/>
    <x v="7"/>
    <n v="121"/>
    <x v="8"/>
    <n v="271.18181818181819"/>
    <n v="0.75896748240026812"/>
    <x v="8"/>
    <n v="291.45454545454544"/>
    <n v="0.63661883967560828"/>
    <d v="2022-07-21T00:00:00"/>
    <x v="93"/>
    <x v="2"/>
    <x v="1"/>
    <x v="0"/>
    <x v="18"/>
  </r>
  <r>
    <n v="805"/>
    <n v="35"/>
    <n v="277"/>
    <n v="4"/>
    <n v="5540"/>
    <x v="387"/>
    <x v="2"/>
    <n v="108"/>
    <x v="18"/>
    <n v="255.11627906976744"/>
    <n v="8.5779398359161263E-2"/>
    <x v="34"/>
    <n v="250.30769230769232"/>
    <n v="0.10663798401966806"/>
    <d v="2022-10-01T00:00:00"/>
    <x v="473"/>
    <x v="0"/>
    <x v="0"/>
    <x v="0"/>
    <x v="290"/>
  </r>
  <r>
    <n v="806"/>
    <n v="398"/>
    <n v="127"/>
    <n v="5"/>
    <n v="3175"/>
    <x v="156"/>
    <x v="7"/>
    <n v="191"/>
    <x v="5"/>
    <n v="268.60344827586209"/>
    <n v="-0.52718402978368317"/>
    <x v="5"/>
    <n v="281.96875"/>
    <n v="-0.54959547822232069"/>
    <d v="2022-11-01T00:00:00"/>
    <x v="421"/>
    <x v="3"/>
    <x v="1"/>
    <x v="0"/>
    <x v="197"/>
  </r>
  <r>
    <n v="807"/>
    <n v="132"/>
    <n v="154"/>
    <n v="3"/>
    <n v="2310"/>
    <x v="404"/>
    <x v="11"/>
    <n v="443"/>
    <x v="6"/>
    <n v="258.5128205128205"/>
    <n v="-0.40428486411426301"/>
    <x v="6"/>
    <n v="260.64705882352939"/>
    <n v="-0.40916271721958919"/>
    <d v="2022-03-29T00:00:00"/>
    <x v="474"/>
    <x v="2"/>
    <x v="0"/>
    <x v="0"/>
    <x v="291"/>
  </r>
  <r>
    <n v="808"/>
    <n v="415"/>
    <n v="84"/>
    <n v="5"/>
    <n v="2100"/>
    <x v="303"/>
    <x v="18"/>
    <n v="191"/>
    <x v="14"/>
    <n v="273.72549019607845"/>
    <n v="-0.69312320916905446"/>
    <x v="22"/>
    <n v="280.23809523809524"/>
    <n v="-0.70025488530161428"/>
    <d v="2022-11-01T00:00:00"/>
    <x v="67"/>
    <x v="3"/>
    <x v="1"/>
    <x v="0"/>
    <x v="197"/>
  </r>
  <r>
    <n v="809"/>
    <n v="384"/>
    <n v="423"/>
    <n v="5"/>
    <n v="10575"/>
    <x v="253"/>
    <x v="17"/>
    <n v="249"/>
    <x v="0"/>
    <n v="252.76271186440678"/>
    <n v="0.6735063367531684"/>
    <x v="11"/>
    <n v="240.26666666666668"/>
    <n v="0.76054384017758037"/>
    <d v="2022-08-08T00:00:00"/>
    <x v="432"/>
    <x v="2"/>
    <x v="1"/>
    <x v="0"/>
    <x v="169"/>
  </r>
  <r>
    <n v="810"/>
    <n v="311"/>
    <n v="470"/>
    <n v="2"/>
    <n v="4700"/>
    <x v="310"/>
    <x v="11"/>
    <n v="418"/>
    <x v="3"/>
    <n v="265.47674418604652"/>
    <n v="0.77039989487976879"/>
    <x v="16"/>
    <n v="276.67567567567568"/>
    <n v="0.69873986519488129"/>
    <d v="2022-05-19T00:00:00"/>
    <x v="428"/>
    <x v="1"/>
    <x v="1"/>
    <x v="0"/>
    <x v="280"/>
  </r>
  <r>
    <n v="811"/>
    <n v="328"/>
    <n v="59"/>
    <n v="1"/>
    <n v="295"/>
    <x v="140"/>
    <x v="14"/>
    <n v="126"/>
    <x v="14"/>
    <n v="273.72549019607845"/>
    <n v="-0.78445558739255017"/>
    <x v="58"/>
    <n v="241.83333333333334"/>
    <n v="-0.75603032391454172"/>
    <d v="2022-09-18T00:00:00"/>
    <x v="404"/>
    <x v="0"/>
    <x v="1"/>
    <x v="0"/>
    <x v="86"/>
  </r>
  <r>
    <n v="812"/>
    <n v="74"/>
    <n v="332"/>
    <n v="3"/>
    <n v="4980"/>
    <x v="67"/>
    <x v="16"/>
    <n v="497"/>
    <x v="19"/>
    <n v="286.92307692307691"/>
    <n v="0.15710455764075082"/>
    <x v="73"/>
    <n v="320.25"/>
    <n v="3.669008587041378E-2"/>
    <d v="2022-09-22T00:00:00"/>
    <x v="475"/>
    <x v="0"/>
    <x v="1"/>
    <x v="1"/>
    <x v="17"/>
  </r>
  <r>
    <n v="813"/>
    <n v="152"/>
    <n v="94"/>
    <n v="5"/>
    <n v="2350"/>
    <x v="92"/>
    <x v="16"/>
    <n v="332"/>
    <x v="2"/>
    <n v="283.468085106383"/>
    <n v="-0.66839300457854844"/>
    <x v="36"/>
    <n v="249.5"/>
    <n v="-0.62324649298597201"/>
    <d v="2022-10-24T00:00:00"/>
    <x v="476"/>
    <x v="0"/>
    <x v="1"/>
    <x v="1"/>
    <x v="12"/>
  </r>
  <r>
    <n v="814"/>
    <n v="319"/>
    <n v="148"/>
    <n v="1"/>
    <n v="740"/>
    <x v="376"/>
    <x v="6"/>
    <n v="445"/>
    <x v="9"/>
    <n v="263.25423728813558"/>
    <n v="-0.43780582024208081"/>
    <x v="33"/>
    <n v="248.5"/>
    <n v="-0.40442655935613681"/>
    <d v="2022-04-25T00:00:00"/>
    <x v="477"/>
    <x v="2"/>
    <x v="1"/>
    <x v="1"/>
    <x v="135"/>
  </r>
  <r>
    <n v="815"/>
    <n v="19"/>
    <n v="378"/>
    <n v="2"/>
    <n v="3780"/>
    <x v="362"/>
    <x v="15"/>
    <n v="167"/>
    <x v="10"/>
    <n v="271.74545454545455"/>
    <n v="0.39100762745885187"/>
    <x v="37"/>
    <n v="272.35294117647061"/>
    <n v="0.38790496760259163"/>
    <d v="2022-01-02T00:00:00"/>
    <x v="478"/>
    <x v="0"/>
    <x v="1"/>
    <x v="0"/>
    <x v="75"/>
  </r>
  <r>
    <n v="816"/>
    <n v="242"/>
    <n v="265"/>
    <n v="4"/>
    <n v="5300"/>
    <x v="286"/>
    <x v="19"/>
    <n v="415"/>
    <x v="4"/>
    <n v="250.48780487804879"/>
    <n v="5.7935735150924872E-2"/>
    <x v="25"/>
    <n v="303.8235294117647"/>
    <n v="-0.12778315585672795"/>
    <d v="2022-04-10T00:00:00"/>
    <x v="479"/>
    <x v="3"/>
    <x v="1"/>
    <x v="0"/>
    <x v="60"/>
  </r>
  <r>
    <n v="817"/>
    <n v="354"/>
    <n v="431"/>
    <n v="1"/>
    <n v="2155"/>
    <x v="405"/>
    <x v="12"/>
    <n v="229"/>
    <x v="8"/>
    <n v="271.18181818181819"/>
    <n v="0.58933959101575595"/>
    <x v="14"/>
    <n v="260.15789473684208"/>
    <n v="0.65668622294153356"/>
    <d v="2022-07-24T00:00:00"/>
    <x v="203"/>
    <x v="1"/>
    <x v="1"/>
    <x v="1"/>
    <x v="44"/>
  </r>
  <r>
    <n v="818"/>
    <n v="354"/>
    <n v="382"/>
    <n v="4"/>
    <n v="7640"/>
    <x v="80"/>
    <x v="8"/>
    <n v="119"/>
    <x v="8"/>
    <n v="271.18181818181819"/>
    <n v="0.40864901106268858"/>
    <x v="14"/>
    <n v="260.15789473684208"/>
    <n v="0.46833906534493241"/>
    <d v="2022-05-09T00:00:00"/>
    <x v="147"/>
    <x v="2"/>
    <x v="1"/>
    <x v="1"/>
    <x v="96"/>
  </r>
  <r>
    <n v="819"/>
    <n v="245"/>
    <n v="281"/>
    <n v="1"/>
    <n v="1405"/>
    <x v="255"/>
    <x v="3"/>
    <n v="341"/>
    <x v="0"/>
    <n v="252.76271186440678"/>
    <n v="0.11171461141286132"/>
    <x v="0"/>
    <n v="240.5"/>
    <n v="0.16839916839916835"/>
    <d v="2022-06-12T00:00:00"/>
    <x v="480"/>
    <x v="2"/>
    <x v="1"/>
    <x v="1"/>
    <x v="185"/>
  </r>
  <r>
    <n v="820"/>
    <n v="386"/>
    <n v="149"/>
    <n v="5"/>
    <n v="3725"/>
    <x v="130"/>
    <x v="0"/>
    <n v="407"/>
    <x v="18"/>
    <n v="255.11627906976744"/>
    <n v="-0.41595259799453055"/>
    <x v="67"/>
    <n v="251.91666666666666"/>
    <n v="-0.4085345683096262"/>
    <d v="2022-03-01T00:00:00"/>
    <x v="9"/>
    <x v="1"/>
    <x v="1"/>
    <x v="0"/>
    <x v="45"/>
  </r>
  <r>
    <n v="821"/>
    <n v="434"/>
    <n v="257"/>
    <n v="2"/>
    <n v="2570"/>
    <x v="406"/>
    <x v="2"/>
    <n v="264"/>
    <x v="11"/>
    <n v="262.63492063492066"/>
    <n v="-2.1455336637253852E-2"/>
    <x v="47"/>
    <n v="271"/>
    <n v="-5.1660516605166018E-2"/>
    <d v="2022-12-12T00:00:00"/>
    <x v="152"/>
    <x v="1"/>
    <x v="1"/>
    <x v="1"/>
    <x v="232"/>
  </r>
  <r>
    <n v="822"/>
    <n v="402"/>
    <n v="218"/>
    <n v="1"/>
    <n v="1090"/>
    <x v="197"/>
    <x v="6"/>
    <n v="91"/>
    <x v="16"/>
    <n v="300.31818181818181"/>
    <n v="-0.27410322385348873"/>
    <x v="51"/>
    <n v="331.16666666666669"/>
    <n v="-0.34172118772018123"/>
    <d v="2022-05-06T00:00:00"/>
    <x v="359"/>
    <x v="2"/>
    <x v="0"/>
    <x v="1"/>
    <x v="292"/>
  </r>
  <r>
    <n v="823"/>
    <n v="326"/>
    <n v="198"/>
    <n v="2"/>
    <n v="1980"/>
    <x v="193"/>
    <x v="2"/>
    <n v="362"/>
    <x v="18"/>
    <n v="255.11627906976744"/>
    <n v="-0.22388331814038287"/>
    <x v="67"/>
    <n v="251.91666666666666"/>
    <n v="-0.21402580218326162"/>
    <d v="2022-12-21T00:00:00"/>
    <x v="372"/>
    <x v="2"/>
    <x v="1"/>
    <x v="1"/>
    <x v="109"/>
  </r>
  <r>
    <n v="824"/>
    <n v="491"/>
    <n v="111"/>
    <n v="4"/>
    <n v="2220"/>
    <x v="279"/>
    <x v="1"/>
    <n v="473"/>
    <x v="4"/>
    <n v="250.48780487804879"/>
    <n v="-0.5568646543330088"/>
    <x v="4"/>
    <n v="159.19999999999999"/>
    <n v="-0.30276381909547734"/>
    <d v="2022-08-26T00:00:00"/>
    <x v="346"/>
    <x v="2"/>
    <x v="0"/>
    <x v="0"/>
    <x v="124"/>
  </r>
  <r>
    <n v="825"/>
    <n v="240"/>
    <n v="306"/>
    <n v="5"/>
    <n v="7650"/>
    <x v="407"/>
    <x v="19"/>
    <n v="482"/>
    <x v="3"/>
    <n v="265.47674418604652"/>
    <n v="0.15264333581533873"/>
    <x v="3"/>
    <n v="236.27586206896552"/>
    <n v="0.29509632224168114"/>
    <d v="2022-04-28T00:00:00"/>
    <x v="481"/>
    <x v="3"/>
    <x v="0"/>
    <x v="1"/>
    <x v="293"/>
  </r>
  <r>
    <n v="826"/>
    <n v="352"/>
    <n v="391"/>
    <n v="1"/>
    <n v="1955"/>
    <x v="26"/>
    <x v="12"/>
    <n v="367"/>
    <x v="9"/>
    <n v="263.25423728813558"/>
    <n v="0.48525624517125943"/>
    <x v="33"/>
    <n v="248.5"/>
    <n v="0.57344064386317917"/>
    <d v="2022-11-02T00:00:00"/>
    <x v="461"/>
    <x v="4"/>
    <x v="1"/>
    <x v="1"/>
    <x v="237"/>
  </r>
  <r>
    <n v="827"/>
    <n v="305"/>
    <n v="252"/>
    <n v="1"/>
    <n v="1260"/>
    <x v="152"/>
    <x v="10"/>
    <n v="172"/>
    <x v="2"/>
    <n v="283.468085106383"/>
    <n v="-0.11101103355100206"/>
    <x v="46"/>
    <n v="321.63636363636363"/>
    <n v="-0.21650650084793666"/>
    <d v="2022-06-25T00:00:00"/>
    <x v="482"/>
    <x v="2"/>
    <x v="1"/>
    <x v="1"/>
    <x v="131"/>
  </r>
  <r>
    <n v="828"/>
    <n v="269"/>
    <n v="398"/>
    <n v="4"/>
    <n v="7960"/>
    <x v="137"/>
    <x v="15"/>
    <n v="466"/>
    <x v="0"/>
    <n v="252.76271186440678"/>
    <n v="0.57459934285522696"/>
    <x v="45"/>
    <n v="293.41176470588238"/>
    <n v="0.35645549318364056"/>
    <d v="2022-07-30T00:00:00"/>
    <x v="228"/>
    <x v="1"/>
    <x v="1"/>
    <x v="0"/>
    <x v="264"/>
  </r>
  <r>
    <n v="829"/>
    <n v="380"/>
    <n v="100"/>
    <n v="2"/>
    <n v="1000"/>
    <x v="96"/>
    <x v="9"/>
    <n v="57"/>
    <x v="17"/>
    <n v="267.85483870967744"/>
    <n v="-0.62666345516950683"/>
    <x v="35"/>
    <n v="250.25925925925927"/>
    <n v="-0.60041438508213707"/>
    <d v="2022-04-18T00:00:00"/>
    <x v="368"/>
    <x v="2"/>
    <x v="1"/>
    <x v="1"/>
    <x v="165"/>
  </r>
  <r>
    <n v="830"/>
    <n v="44"/>
    <n v="310"/>
    <n v="3"/>
    <n v="4650"/>
    <x v="35"/>
    <x v="7"/>
    <n v="48"/>
    <x v="15"/>
    <n v="294.95238095238096"/>
    <n v="5.1017113335485975E-2"/>
    <x v="53"/>
    <n v="322.54545454545456"/>
    <n v="-3.8895152198421656E-2"/>
    <d v="2022-10-22T00:00:00"/>
    <x v="483"/>
    <x v="0"/>
    <x v="0"/>
    <x v="1"/>
    <x v="294"/>
  </r>
  <r>
    <n v="831"/>
    <n v="183"/>
    <n v="286"/>
    <n v="2"/>
    <n v="2860"/>
    <x v="172"/>
    <x v="14"/>
    <n v="11"/>
    <x v="17"/>
    <n v="267.85483870967744"/>
    <n v="6.774251821521049E-2"/>
    <x v="35"/>
    <n v="250.25925925925927"/>
    <n v="0.14281485866508792"/>
    <d v="2022-05-09T00:00:00"/>
    <x v="455"/>
    <x v="4"/>
    <x v="1"/>
    <x v="1"/>
    <x v="72"/>
  </r>
  <r>
    <n v="832"/>
    <n v="65"/>
    <n v="201"/>
    <n v="2"/>
    <n v="2010"/>
    <x v="384"/>
    <x v="1"/>
    <n v="125"/>
    <x v="16"/>
    <n v="300.31818181818181"/>
    <n v="-0.33070985318601487"/>
    <x v="24"/>
    <n v="281.73333333333335"/>
    <n v="-0.28655939422621868"/>
    <d v="2022-05-20T00:00:00"/>
    <x v="484"/>
    <x v="2"/>
    <x v="1"/>
    <x v="1"/>
    <x v="253"/>
  </r>
  <r>
    <n v="833"/>
    <n v="425"/>
    <n v="258"/>
    <n v="4"/>
    <n v="5160"/>
    <x v="406"/>
    <x v="15"/>
    <n v="72"/>
    <x v="1"/>
    <n v="264.8679245283019"/>
    <n v="-2.5929619603932252E-2"/>
    <x v="13"/>
    <n v="320.84615384615387"/>
    <n v="-0.1958762886597939"/>
    <d v="2022-12-11T00:00:00"/>
    <x v="485"/>
    <x v="4"/>
    <x v="1"/>
    <x v="0"/>
    <x v="212"/>
  </r>
  <r>
    <n v="834"/>
    <n v="230"/>
    <n v="179"/>
    <n v="4"/>
    <n v="3580"/>
    <x v="408"/>
    <x v="19"/>
    <n v="68"/>
    <x v="5"/>
    <n v="268.60344827586209"/>
    <n v="-0.33359008922267164"/>
    <x v="5"/>
    <n v="281.96875"/>
    <n v="-0.36517787875429453"/>
    <d v="2022-11-17T00:00:00"/>
    <x v="332"/>
    <x v="0"/>
    <x v="1"/>
    <x v="0"/>
    <x v="58"/>
  </r>
  <r>
    <n v="835"/>
    <n v="497"/>
    <n v="113"/>
    <n v="2"/>
    <n v="1130"/>
    <x v="244"/>
    <x v="17"/>
    <n v="219"/>
    <x v="17"/>
    <n v="267.85483870967744"/>
    <n v="-0.57812970434154276"/>
    <x v="35"/>
    <n v="250.25925925925927"/>
    <n v="-0.54846825514281483"/>
    <d v="2022-01-24T00:00:00"/>
    <x v="486"/>
    <x v="4"/>
    <x v="1"/>
    <x v="0"/>
    <x v="226"/>
  </r>
  <r>
    <n v="836"/>
    <n v="82"/>
    <n v="73"/>
    <n v="1"/>
    <n v="365"/>
    <x v="409"/>
    <x v="8"/>
    <n v="218"/>
    <x v="11"/>
    <n v="262.63492063492066"/>
    <n v="-0.72204762480357787"/>
    <x v="62"/>
    <n v="168"/>
    <n v="-0.56547619047619047"/>
    <d v="2022-06-09T00:00:00"/>
    <x v="235"/>
    <x v="0"/>
    <x v="1"/>
    <x v="1"/>
    <x v="174"/>
  </r>
  <r>
    <n v="837"/>
    <n v="104"/>
    <n v="420"/>
    <n v="2"/>
    <n v="4200"/>
    <x v="189"/>
    <x v="2"/>
    <n v="26"/>
    <x v="9"/>
    <n v="263.25423728813558"/>
    <n v="0.59541591552923001"/>
    <x v="9"/>
    <n v="257.78260869565219"/>
    <n v="0.62927981109799291"/>
    <d v="2022-09-15T00:00:00"/>
    <x v="487"/>
    <x v="4"/>
    <x v="0"/>
    <x v="0"/>
    <x v="295"/>
  </r>
  <r>
    <n v="838"/>
    <n v="364"/>
    <n v="496"/>
    <n v="1"/>
    <n v="2480"/>
    <x v="410"/>
    <x v="2"/>
    <n v="417"/>
    <x v="0"/>
    <n v="252.76271186440678"/>
    <n v="0.96231475893515728"/>
    <x v="45"/>
    <n v="293.41176470588238"/>
    <n v="0.69045709703287872"/>
    <d v="2022-02-16T00:00:00"/>
    <x v="440"/>
    <x v="4"/>
    <x v="0"/>
    <x v="1"/>
    <x v="296"/>
  </r>
  <r>
    <n v="839"/>
    <n v="334"/>
    <n v="223"/>
    <n v="2"/>
    <n v="2230"/>
    <x v="43"/>
    <x v="4"/>
    <n v="216"/>
    <x v="15"/>
    <n v="294.95238095238096"/>
    <n v="-0.24394575395544082"/>
    <x v="41"/>
    <n v="274.77777777777777"/>
    <n v="-0.18843509906995548"/>
    <d v="2022-04-04T00:00:00"/>
    <x v="293"/>
    <x v="4"/>
    <x v="1"/>
    <x v="1"/>
    <x v="177"/>
  </r>
  <r>
    <n v="840"/>
    <n v="356"/>
    <n v="97"/>
    <n v="2"/>
    <n v="970"/>
    <x v="9"/>
    <x v="3"/>
    <n v="491"/>
    <x v="2"/>
    <n v="283.468085106383"/>
    <n v="-0.65780980259701272"/>
    <x v="46"/>
    <n v="321.63636363636363"/>
    <n v="-0.69841718485019788"/>
    <d v="2022-07-10T00:00:00"/>
    <x v="297"/>
    <x v="2"/>
    <x v="0"/>
    <x v="0"/>
    <x v="297"/>
  </r>
  <r>
    <n v="841"/>
    <n v="446"/>
    <n v="445"/>
    <n v="5"/>
    <n v="11125"/>
    <x v="69"/>
    <x v="15"/>
    <n v="307"/>
    <x v="14"/>
    <n v="273.72549019607845"/>
    <n v="0.62571633237822333"/>
    <x v="44"/>
    <n v="320.57142857142856"/>
    <n v="0.3881461675579323"/>
    <d v="2022-07-22T00:00:00"/>
    <x v="334"/>
    <x v="1"/>
    <x v="1"/>
    <x v="0"/>
    <x v="197"/>
  </r>
  <r>
    <n v="842"/>
    <n v="88"/>
    <n v="206"/>
    <n v="4"/>
    <n v="4120"/>
    <x v="395"/>
    <x v="15"/>
    <n v="492"/>
    <x v="18"/>
    <n v="255.11627906976744"/>
    <n v="-0.1925250683682771"/>
    <x v="34"/>
    <n v="250.30769230769232"/>
    <n v="-0.17701290719114937"/>
    <d v="2022-05-07T00:00:00"/>
    <x v="352"/>
    <x v="3"/>
    <x v="0"/>
    <x v="0"/>
    <x v="230"/>
  </r>
  <r>
    <n v="843"/>
    <n v="347"/>
    <n v="265"/>
    <n v="1"/>
    <n v="1325"/>
    <x v="394"/>
    <x v="11"/>
    <n v="264"/>
    <x v="3"/>
    <n v="265.47674418604652"/>
    <n v="-1.7958039507687262E-3"/>
    <x v="16"/>
    <n v="276.67567567567568"/>
    <n v="-4.2199863241183966E-2"/>
    <d v="2022-12-12T00:00:00"/>
    <x v="320"/>
    <x v="1"/>
    <x v="1"/>
    <x v="1"/>
    <x v="232"/>
  </r>
  <r>
    <n v="844"/>
    <n v="342"/>
    <n v="269"/>
    <n v="4"/>
    <n v="5380"/>
    <x v="411"/>
    <x v="13"/>
    <n v="190"/>
    <x v="4"/>
    <n v="250.48780487804879"/>
    <n v="7.3904576436222058E-2"/>
    <x v="25"/>
    <n v="303.8235294117647"/>
    <n v="-0.11461761858664077"/>
    <d v="2022-05-08T00:00:00"/>
    <x v="61"/>
    <x v="1"/>
    <x v="1"/>
    <x v="1"/>
    <x v="48"/>
  </r>
  <r>
    <n v="845"/>
    <n v="474"/>
    <n v="405"/>
    <n v="2"/>
    <n v="4050"/>
    <x v="394"/>
    <x v="8"/>
    <n v="18"/>
    <x v="15"/>
    <n v="294.95238095238096"/>
    <n v="0.37310300290603804"/>
    <x v="23"/>
    <n v="318.81818181818181"/>
    <n v="0.27031650983746802"/>
    <d v="2022-01-17T00:00:00"/>
    <x v="488"/>
    <x v="3"/>
    <x v="1"/>
    <x v="1"/>
    <x v="214"/>
  </r>
  <r>
    <n v="846"/>
    <n v="69"/>
    <n v="197"/>
    <n v="2"/>
    <n v="1970"/>
    <x v="183"/>
    <x v="13"/>
    <n v="125"/>
    <x v="14"/>
    <n v="273.72549019607845"/>
    <n v="-0.28030085959885398"/>
    <x v="63"/>
    <n v="266.27272727272725"/>
    <n v="-0.26015705018777735"/>
    <d v="2022-05-20T00:00:00"/>
    <x v="117"/>
    <x v="2"/>
    <x v="1"/>
    <x v="1"/>
    <x v="253"/>
  </r>
  <r>
    <n v="847"/>
    <n v="206"/>
    <n v="93"/>
    <n v="2"/>
    <n v="930"/>
    <x v="412"/>
    <x v="9"/>
    <n v="155"/>
    <x v="15"/>
    <n v="294.95238095238096"/>
    <n v="-0.68469486599935425"/>
    <x v="41"/>
    <n v="274.77777777777777"/>
    <n v="-0.66154468257177523"/>
    <d v="2022-01-03T00:00:00"/>
    <x v="70"/>
    <x v="3"/>
    <x v="0"/>
    <x v="1"/>
    <x v="65"/>
  </r>
  <r>
    <n v="848"/>
    <n v="319"/>
    <n v="193"/>
    <n v="1"/>
    <n v="965"/>
    <x v="193"/>
    <x v="7"/>
    <n v="43"/>
    <x v="9"/>
    <n v="263.25423728813558"/>
    <n v="-0.26686840072109197"/>
    <x v="33"/>
    <n v="248.5"/>
    <n v="-0.22334004024144871"/>
    <d v="2022-12-17T00:00:00"/>
    <x v="255"/>
    <x v="2"/>
    <x v="1"/>
    <x v="0"/>
    <x v="58"/>
  </r>
  <r>
    <n v="849"/>
    <n v="59"/>
    <n v="150"/>
    <n v="4"/>
    <n v="3000"/>
    <x v="390"/>
    <x v="9"/>
    <n v="343"/>
    <x v="0"/>
    <n v="252.76271186440678"/>
    <n v="-0.40655803661235168"/>
    <x v="0"/>
    <n v="240.5"/>
    <n v="-0.37629937629937626"/>
    <d v="2022-11-09T00:00:00"/>
    <x v="374"/>
    <x v="3"/>
    <x v="1"/>
    <x v="1"/>
    <x v="289"/>
  </r>
  <r>
    <n v="850"/>
    <n v="16"/>
    <n v="207"/>
    <n v="2"/>
    <n v="2070"/>
    <x v="170"/>
    <x v="3"/>
    <n v="26"/>
    <x v="11"/>
    <n v="262.63492063492066"/>
    <n v="-0.21183367581288537"/>
    <x v="47"/>
    <n v="271"/>
    <n v="-0.23616236162361626"/>
    <d v="2022-09-15T00:00:00"/>
    <x v="162"/>
    <x v="4"/>
    <x v="1"/>
    <x v="0"/>
    <x v="295"/>
  </r>
  <r>
    <n v="851"/>
    <n v="220"/>
    <n v="305"/>
    <n v="4"/>
    <n v="6100"/>
    <x v="398"/>
    <x v="6"/>
    <n v="306"/>
    <x v="8"/>
    <n v="271.18181818181819"/>
    <n v="0.12470667113643974"/>
    <x v="48"/>
    <n v="281.75"/>
    <n v="8.2519964507542065E-2"/>
    <d v="2022-11-07T00:00:00"/>
    <x v="489"/>
    <x v="3"/>
    <x v="1"/>
    <x v="0"/>
    <x v="235"/>
  </r>
  <r>
    <n v="852"/>
    <n v="474"/>
    <n v="171"/>
    <n v="3"/>
    <n v="2565"/>
    <x v="225"/>
    <x v="3"/>
    <n v="260"/>
    <x v="15"/>
    <n v="294.95238095238096"/>
    <n v="-0.42024539877300615"/>
    <x v="23"/>
    <n v="318.81818181818181"/>
    <n v="-0.46364414029084688"/>
    <d v="2022-06-17T00:00:00"/>
    <x v="490"/>
    <x v="3"/>
    <x v="1"/>
    <x v="0"/>
    <x v="186"/>
  </r>
  <r>
    <n v="853"/>
    <n v="118"/>
    <n v="466"/>
    <n v="3"/>
    <n v="6990"/>
    <x v="15"/>
    <x v="14"/>
    <n v="188"/>
    <x v="0"/>
    <n v="252.76271186440678"/>
    <n v="0.84362636625762755"/>
    <x v="0"/>
    <n v="240.5"/>
    <n v="0.93762993762993774"/>
    <d v="2022-08-28T00:00:00"/>
    <x v="491"/>
    <x v="4"/>
    <x v="1"/>
    <x v="1"/>
    <x v="33"/>
  </r>
  <r>
    <n v="854"/>
    <n v="207"/>
    <n v="57"/>
    <n v="2"/>
    <n v="570"/>
    <x v="314"/>
    <x v="13"/>
    <n v="152"/>
    <x v="0"/>
    <n v="252.76271186440678"/>
    <n v="-0.7744920539126936"/>
    <x v="68"/>
    <n v="215.85714285714286"/>
    <n v="-0.73593646591661144"/>
    <d v="2022-08-18T00:00:00"/>
    <x v="144"/>
    <x v="1"/>
    <x v="1"/>
    <x v="1"/>
    <x v="220"/>
  </r>
  <r>
    <n v="855"/>
    <n v="239"/>
    <n v="397"/>
    <n v="2"/>
    <n v="3970"/>
    <x v="48"/>
    <x v="6"/>
    <n v="65"/>
    <x v="9"/>
    <n v="263.25423728813558"/>
    <n v="0.50804790110739129"/>
    <x v="33"/>
    <n v="248.5"/>
    <n v="0.59758551307847085"/>
    <d v="2022-03-03T00:00:00"/>
    <x v="492"/>
    <x v="3"/>
    <x v="1"/>
    <x v="1"/>
    <x v="141"/>
  </r>
  <r>
    <n v="856"/>
    <n v="367"/>
    <n v="289"/>
    <n v="1"/>
    <n v="1445"/>
    <x v="146"/>
    <x v="1"/>
    <n v="281"/>
    <x v="19"/>
    <n v="286.92307692307691"/>
    <n v="7.238605898123307E-3"/>
    <x v="40"/>
    <n v="273.58333333333331"/>
    <n v="5.6350898568382712E-2"/>
    <d v="2022-05-30T00:00:00"/>
    <x v="445"/>
    <x v="0"/>
    <x v="1"/>
    <x v="1"/>
    <x v="101"/>
  </r>
  <r>
    <n v="857"/>
    <n v="87"/>
    <n v="191"/>
    <n v="3"/>
    <n v="2865"/>
    <x v="30"/>
    <x v="18"/>
    <n v="430"/>
    <x v="7"/>
    <n v="249.02380952380952"/>
    <n v="-0.23300506740606175"/>
    <x v="7"/>
    <n v="276.21052631578948"/>
    <n v="-0.30849847560975607"/>
    <d v="2022-08-26T00:00:00"/>
    <x v="493"/>
    <x v="4"/>
    <x v="0"/>
    <x v="1"/>
    <x v="298"/>
  </r>
  <r>
    <n v="858"/>
    <n v="309"/>
    <n v="244"/>
    <n v="3"/>
    <n v="3660"/>
    <x v="262"/>
    <x v="19"/>
    <n v="299"/>
    <x v="17"/>
    <n v="267.85483870967744"/>
    <n v="-8.9058830613596762E-2"/>
    <x v="27"/>
    <n v="288.23809523809524"/>
    <n v="-0.15347761440607965"/>
    <d v="2022-04-15T00:00:00"/>
    <x v="7"/>
    <x v="3"/>
    <x v="1"/>
    <x v="1"/>
    <x v="7"/>
  </r>
  <r>
    <n v="859"/>
    <n v="271"/>
    <n v="392"/>
    <n v="3"/>
    <n v="5880"/>
    <x v="130"/>
    <x v="11"/>
    <n v="132"/>
    <x v="11"/>
    <n v="262.63492063492066"/>
    <n v="0.49256617913695133"/>
    <x v="47"/>
    <n v="271"/>
    <n v="0.44649446494464939"/>
    <d v="2022-02-09T00:00:00"/>
    <x v="313"/>
    <x v="3"/>
    <x v="1"/>
    <x v="0"/>
    <x v="91"/>
  </r>
  <r>
    <n v="860"/>
    <n v="354"/>
    <n v="493"/>
    <n v="2"/>
    <n v="4930"/>
    <x v="413"/>
    <x v="16"/>
    <n v="68"/>
    <x v="8"/>
    <n v="271.18181818181819"/>
    <n v="0.81796848809922884"/>
    <x v="14"/>
    <n v="260.15789473684208"/>
    <n v="0.89500303459437602"/>
    <d v="2022-11-17T00:00:00"/>
    <x v="235"/>
    <x v="0"/>
    <x v="1"/>
    <x v="0"/>
    <x v="58"/>
  </r>
  <r>
    <n v="861"/>
    <n v="266"/>
    <n v="339"/>
    <n v="5"/>
    <n v="8475"/>
    <x v="362"/>
    <x v="1"/>
    <n v="42"/>
    <x v="6"/>
    <n v="258.5128205128205"/>
    <n v="0.31134695496925224"/>
    <x v="6"/>
    <n v="260.64705882352939"/>
    <n v="0.30060934326337185"/>
    <d v="2022-08-10T00:00:00"/>
    <x v="494"/>
    <x v="4"/>
    <x v="1"/>
    <x v="0"/>
    <x v="62"/>
  </r>
  <r>
    <n v="862"/>
    <n v="441"/>
    <n v="316"/>
    <n v="4"/>
    <n v="6320"/>
    <x v="300"/>
    <x v="14"/>
    <n v="488"/>
    <x v="8"/>
    <n v="271.18181818181819"/>
    <n v="0.16526986255447529"/>
    <x v="14"/>
    <n v="260.15789473684208"/>
    <n v="0.21464697552093881"/>
    <d v="2022-06-26T00:00:00"/>
    <x v="308"/>
    <x v="1"/>
    <x v="0"/>
    <x v="0"/>
    <x v="222"/>
  </r>
  <r>
    <n v="863"/>
    <n v="245"/>
    <n v="284"/>
    <n v="4"/>
    <n v="5680"/>
    <x v="204"/>
    <x v="7"/>
    <n v="324"/>
    <x v="0"/>
    <n v="252.76271186440678"/>
    <n v="0.12358345068061416"/>
    <x v="0"/>
    <n v="240.5"/>
    <n v="0.18087318087318094"/>
    <d v="2022-07-19T00:00:00"/>
    <x v="495"/>
    <x v="0"/>
    <x v="1"/>
    <x v="1"/>
    <x v="31"/>
  </r>
  <r>
    <n v="864"/>
    <n v="369"/>
    <n v="206"/>
    <n v="4"/>
    <n v="4120"/>
    <x v="265"/>
    <x v="9"/>
    <n v="346"/>
    <x v="15"/>
    <n v="294.95238095238096"/>
    <n v="-0.30158217629964479"/>
    <x v="41"/>
    <n v="274.77777777777777"/>
    <n v="-0.25030327537403962"/>
    <d v="2022-03-16T00:00:00"/>
    <x v="39"/>
    <x v="2"/>
    <x v="1"/>
    <x v="0"/>
    <x v="59"/>
  </r>
  <r>
    <n v="865"/>
    <n v="176"/>
    <n v="217"/>
    <n v="4"/>
    <n v="4340"/>
    <x v="414"/>
    <x v="4"/>
    <n v="313"/>
    <x v="0"/>
    <n v="252.76271186440678"/>
    <n v="-0.14148729296586871"/>
    <x v="0"/>
    <n v="240.5"/>
    <n v="-9.7713097713097663E-2"/>
    <d v="2022-12-01T00:00:00"/>
    <x v="496"/>
    <x v="0"/>
    <x v="1"/>
    <x v="0"/>
    <x v="18"/>
  </r>
  <r>
    <n v="866"/>
    <n v="467"/>
    <n v="72"/>
    <n v="2"/>
    <n v="720"/>
    <x v="415"/>
    <x v="5"/>
    <n v="233"/>
    <x v="3"/>
    <n v="265.47674418604652"/>
    <n v="-0.72878980333756727"/>
    <x v="3"/>
    <n v="236.27586206896552"/>
    <n v="-0.69527145359019271"/>
    <d v="2022-02-24T00:00:00"/>
    <x v="497"/>
    <x v="4"/>
    <x v="1"/>
    <x v="0"/>
    <x v="83"/>
  </r>
  <r>
    <n v="867"/>
    <n v="237"/>
    <n v="121"/>
    <n v="3"/>
    <n v="1815"/>
    <x v="416"/>
    <x v="18"/>
    <n v="77"/>
    <x v="17"/>
    <n v="267.85483870967744"/>
    <n v="-0.54826278075510326"/>
    <x v="27"/>
    <n v="288.23809523809524"/>
    <n v="-0.58020816124235919"/>
    <d v="2022-03-24T00:00:00"/>
    <x v="498"/>
    <x v="2"/>
    <x v="1"/>
    <x v="1"/>
    <x v="178"/>
  </r>
  <r>
    <n v="868"/>
    <n v="300"/>
    <n v="140"/>
    <n v="4"/>
    <n v="2800"/>
    <x v="321"/>
    <x v="9"/>
    <n v="107"/>
    <x v="0"/>
    <n v="252.76271186440678"/>
    <n v="-0.44612083417152815"/>
    <x v="0"/>
    <n v="240.5"/>
    <n v="-0.41787941787941785"/>
    <d v="2022-07-02T00:00:00"/>
    <x v="499"/>
    <x v="4"/>
    <x v="1"/>
    <x v="1"/>
    <x v="172"/>
  </r>
  <r>
    <n v="869"/>
    <n v="137"/>
    <n v="295"/>
    <n v="2"/>
    <n v="2950"/>
    <x v="417"/>
    <x v="13"/>
    <n v="375"/>
    <x v="12"/>
    <n v="274.16279069767444"/>
    <n v="7.6003053694121636E-2"/>
    <x v="18"/>
    <n v="253.6875"/>
    <n v="0.16284799211628487"/>
    <d v="2022-04-23T00:00:00"/>
    <x v="500"/>
    <x v="2"/>
    <x v="1"/>
    <x v="0"/>
    <x v="223"/>
  </r>
  <r>
    <n v="870"/>
    <n v="194"/>
    <n v="325"/>
    <n v="4"/>
    <n v="6500"/>
    <x v="407"/>
    <x v="12"/>
    <n v="62"/>
    <x v="1"/>
    <n v="264.8679245283019"/>
    <n v="0.22702664197179079"/>
    <x v="69"/>
    <n v="273.7"/>
    <n v="0.18743149433686512"/>
    <d v="2022-04-20T00:00:00"/>
    <x v="102"/>
    <x v="2"/>
    <x v="1"/>
    <x v="1"/>
    <x v="156"/>
  </r>
  <r>
    <n v="871"/>
    <n v="215"/>
    <n v="147"/>
    <n v="3"/>
    <n v="2205"/>
    <x v="77"/>
    <x v="5"/>
    <n v="368"/>
    <x v="5"/>
    <n v="268.60344827586209"/>
    <n v="-0.45272482187560181"/>
    <x v="5"/>
    <n v="281.96875"/>
    <n v="-0.4786656322730799"/>
    <d v="2022-11-07T00:00:00"/>
    <x v="93"/>
    <x v="0"/>
    <x v="1"/>
    <x v="0"/>
    <x v="18"/>
  </r>
  <r>
    <n v="872"/>
    <n v="307"/>
    <n v="419"/>
    <n v="1"/>
    <n v="2095"/>
    <x v="81"/>
    <x v="17"/>
    <n v="64"/>
    <x v="11"/>
    <n v="262.63492063492066"/>
    <n v="0.59537048229179246"/>
    <x v="17"/>
    <n v="311.33333333333331"/>
    <n v="0.34582441113490381"/>
    <d v="2022-05-26T00:00:00"/>
    <x v="9"/>
    <x v="0"/>
    <x v="1"/>
    <x v="0"/>
    <x v="10"/>
  </r>
  <r>
    <n v="873"/>
    <n v="424"/>
    <n v="457"/>
    <n v="1"/>
    <n v="2285"/>
    <x v="26"/>
    <x v="10"/>
    <n v="286"/>
    <x v="2"/>
    <n v="283.468085106383"/>
    <n v="0.61217443518726999"/>
    <x v="31"/>
    <n v="323.07692307692309"/>
    <n v="0.41452380952380952"/>
    <d v="2022-01-02T00:00:00"/>
    <x v="501"/>
    <x v="4"/>
    <x v="1"/>
    <x v="1"/>
    <x v="125"/>
  </r>
  <r>
    <n v="874"/>
    <n v="439"/>
    <n v="392"/>
    <n v="2"/>
    <n v="3920"/>
    <x v="414"/>
    <x v="7"/>
    <n v="74"/>
    <x v="5"/>
    <n v="268.60344827586209"/>
    <n v="0.45940047499839509"/>
    <x v="28"/>
    <n v="242.81818181818181"/>
    <n v="0.61437663796330955"/>
    <d v="2022-10-23T00:00:00"/>
    <x v="98"/>
    <x v="2"/>
    <x v="1"/>
    <x v="1"/>
    <x v="138"/>
  </r>
  <r>
    <n v="875"/>
    <n v="83"/>
    <n v="282"/>
    <n v="5"/>
    <n v="7050"/>
    <x v="418"/>
    <x v="4"/>
    <n v="6"/>
    <x v="5"/>
    <n v="268.60344827586209"/>
    <n v="4.9874831503947448E-2"/>
    <x v="32"/>
    <n v="254.18181818181819"/>
    <n v="0.10944206008583679"/>
    <d v="2022-05-29T00:00:00"/>
    <x v="374"/>
    <x v="3"/>
    <x v="0"/>
    <x v="1"/>
    <x v="299"/>
  </r>
  <r>
    <n v="876"/>
    <n v="329"/>
    <n v="265"/>
    <n v="2"/>
    <n v="2650"/>
    <x v="152"/>
    <x v="14"/>
    <n v="258"/>
    <x v="1"/>
    <n v="264.8679245283019"/>
    <n v="4.9864653084474853E-4"/>
    <x v="64"/>
    <n v="236.91666666666666"/>
    <n v="0.11853675694688715"/>
    <d v="2022-06-05T00:00:00"/>
    <x v="343"/>
    <x v="3"/>
    <x v="1"/>
    <x v="0"/>
    <x v="121"/>
  </r>
  <r>
    <n v="877"/>
    <n v="91"/>
    <n v="146"/>
    <n v="1"/>
    <n v="730"/>
    <x v="179"/>
    <x v="16"/>
    <n v="138"/>
    <x v="11"/>
    <n v="262.63492063492066"/>
    <n v="-0.44409524960715585"/>
    <x v="47"/>
    <n v="271"/>
    <n v="-0.46125461254612543"/>
    <d v="2022-06-11T00:00:00"/>
    <x v="367"/>
    <x v="3"/>
    <x v="1"/>
    <x v="0"/>
    <x v="238"/>
  </r>
  <r>
    <n v="878"/>
    <n v="296"/>
    <n v="58"/>
    <n v="2"/>
    <n v="580"/>
    <x v="419"/>
    <x v="0"/>
    <n v="419"/>
    <x v="18"/>
    <n v="255.11627906976744"/>
    <n v="-0.7726526891522334"/>
    <x v="34"/>
    <n v="250.30769230769232"/>
    <n v="-0.76828518746158569"/>
    <d v="2022-11-04T00:00:00"/>
    <x v="444"/>
    <x v="4"/>
    <x v="1"/>
    <x v="0"/>
    <x v="117"/>
  </r>
  <r>
    <n v="879"/>
    <n v="437"/>
    <n v="379"/>
    <n v="2"/>
    <n v="3790"/>
    <x v="34"/>
    <x v="17"/>
    <n v="148"/>
    <x v="8"/>
    <n v="271.18181818181819"/>
    <n v="0.39758632249413339"/>
    <x v="48"/>
    <n v="281.75"/>
    <n v="0.34516415261756883"/>
    <d v="2022-05-19T00:00:00"/>
    <x v="189"/>
    <x v="2"/>
    <x v="1"/>
    <x v="0"/>
    <x v="87"/>
  </r>
  <r>
    <n v="880"/>
    <n v="193"/>
    <n v="201"/>
    <n v="4"/>
    <n v="4020"/>
    <x v="334"/>
    <x v="6"/>
    <n v="105"/>
    <x v="1"/>
    <n v="264.8679245283019"/>
    <n v="-0.24113121527283088"/>
    <x v="69"/>
    <n v="273.7"/>
    <n v="-0.2656192911947387"/>
    <d v="2022-12-23T00:00:00"/>
    <x v="502"/>
    <x v="0"/>
    <x v="1"/>
    <x v="0"/>
    <x v="283"/>
  </r>
  <r>
    <n v="881"/>
    <n v="144"/>
    <n v="337"/>
    <n v="3"/>
    <n v="5055"/>
    <x v="103"/>
    <x v="16"/>
    <n v="365"/>
    <x v="3"/>
    <n v="265.47674418604652"/>
    <n v="0.2694143927116639"/>
    <x v="29"/>
    <n v="235.55555555555554"/>
    <n v="0.43066037735849072"/>
    <d v="2022-10-07T00:00:00"/>
    <x v="414"/>
    <x v="1"/>
    <x v="1"/>
    <x v="1"/>
    <x v="78"/>
  </r>
  <r>
    <n v="882"/>
    <n v="27"/>
    <n v="160"/>
    <n v="1"/>
    <n v="800"/>
    <x v="162"/>
    <x v="8"/>
    <n v="416"/>
    <x v="3"/>
    <n v="265.47674418604652"/>
    <n v="-0.39731067408348297"/>
    <x v="16"/>
    <n v="276.67567567567568"/>
    <n v="-0.42170557780599782"/>
    <d v="2022-05-22T00:00:00"/>
    <x v="499"/>
    <x v="4"/>
    <x v="1"/>
    <x v="1"/>
    <x v="137"/>
  </r>
  <r>
    <n v="883"/>
    <n v="375"/>
    <n v="197"/>
    <n v="5"/>
    <n v="4925"/>
    <x v="27"/>
    <x v="7"/>
    <n v="315"/>
    <x v="3"/>
    <n v="265.47674418604652"/>
    <n v="-0.25793876746528843"/>
    <x v="3"/>
    <n v="236.27586206896552"/>
    <n v="-0.16622883829538826"/>
    <d v="2022-07-05T00:00:00"/>
    <x v="503"/>
    <x v="0"/>
    <x v="1"/>
    <x v="0"/>
    <x v="0"/>
  </r>
  <r>
    <n v="884"/>
    <n v="453"/>
    <n v="437"/>
    <n v="2"/>
    <n v="4370"/>
    <x v="11"/>
    <x v="17"/>
    <n v="81"/>
    <x v="3"/>
    <n v="265.47674418604652"/>
    <n v="0.64609522140948705"/>
    <x v="19"/>
    <n v="329.27272727272725"/>
    <n v="0.32716731087796802"/>
    <d v="2022-09-21T00:00:00"/>
    <x v="19"/>
    <x v="2"/>
    <x v="1"/>
    <x v="0"/>
    <x v="20"/>
  </r>
  <r>
    <n v="885"/>
    <n v="388"/>
    <n v="205"/>
    <n v="2"/>
    <n v="2050"/>
    <x v="358"/>
    <x v="13"/>
    <n v="262"/>
    <x v="6"/>
    <n v="258.5128205128205"/>
    <n v="-0.20700257885340201"/>
    <x v="6"/>
    <n v="260.64705882352939"/>
    <n v="-0.21349582487023244"/>
    <d v="2022-08-05T00:00:00"/>
    <x v="64"/>
    <x v="4"/>
    <x v="1"/>
    <x v="0"/>
    <x v="60"/>
  </r>
  <r>
    <n v="886"/>
    <n v="312"/>
    <n v="476"/>
    <n v="2"/>
    <n v="4760"/>
    <x v="367"/>
    <x v="16"/>
    <n v="239"/>
    <x v="16"/>
    <n v="300.31818181818181"/>
    <n v="0.58498562131073117"/>
    <x v="51"/>
    <n v="331.16666666666669"/>
    <n v="0.43734272773024663"/>
    <d v="2022-07-25T00:00:00"/>
    <x v="346"/>
    <x v="0"/>
    <x v="1"/>
    <x v="1"/>
    <x v="35"/>
  </r>
  <r>
    <n v="887"/>
    <n v="486"/>
    <n v="230"/>
    <n v="2"/>
    <n v="2300"/>
    <x v="267"/>
    <x v="1"/>
    <n v="358"/>
    <x v="1"/>
    <n v="264.8679245283019"/>
    <n v="-0.13164268414304037"/>
    <x v="1"/>
    <n v="238.16666666666666"/>
    <n v="-3.4289713086074092E-2"/>
    <d v="2022-07-29T00:00:00"/>
    <x v="123"/>
    <x v="3"/>
    <x v="1"/>
    <x v="0"/>
    <x v="136"/>
  </r>
  <r>
    <n v="888"/>
    <n v="295"/>
    <n v="219"/>
    <n v="5"/>
    <n v="5475"/>
    <x v="153"/>
    <x v="11"/>
    <n v="331"/>
    <x v="2"/>
    <n v="283.468085106383"/>
    <n v="-0.22742625534789462"/>
    <x v="36"/>
    <n v="249.5"/>
    <n v="-0.12224448897795592"/>
    <d v="2022-09-09T00:00:00"/>
    <x v="99"/>
    <x v="0"/>
    <x v="1"/>
    <x v="1"/>
    <x v="113"/>
  </r>
  <r>
    <n v="889"/>
    <n v="1"/>
    <n v="206"/>
    <n v="3"/>
    <n v="3090"/>
    <x v="285"/>
    <x v="5"/>
    <n v="31"/>
    <x v="18"/>
    <n v="255.11627906976744"/>
    <n v="-0.1925250683682771"/>
    <x v="72"/>
    <n v="252.09090909090909"/>
    <n v="-0.18283447529751173"/>
    <d v="2022-01-19T00:00:00"/>
    <x v="252"/>
    <x v="3"/>
    <x v="1"/>
    <x v="1"/>
    <x v="187"/>
  </r>
  <r>
    <n v="890"/>
    <n v="347"/>
    <n v="343"/>
    <n v="3"/>
    <n v="5145"/>
    <x v="420"/>
    <x v="2"/>
    <n v="74"/>
    <x v="3"/>
    <n v="265.47674418604652"/>
    <n v="0.29201524243353338"/>
    <x v="16"/>
    <n v="276.67567567567568"/>
    <n v="0.239718667578392"/>
    <d v="2022-10-23T00:00:00"/>
    <x v="504"/>
    <x v="2"/>
    <x v="1"/>
    <x v="1"/>
    <x v="138"/>
  </r>
  <r>
    <n v="891"/>
    <n v="308"/>
    <n v="147"/>
    <n v="2"/>
    <n v="1470"/>
    <x v="207"/>
    <x v="11"/>
    <n v="80"/>
    <x v="17"/>
    <n v="267.85483870967744"/>
    <n v="-0.45119527909917512"/>
    <x v="35"/>
    <n v="250.25925925925927"/>
    <n v="-0.41260914607074151"/>
    <d v="2022-03-03T00:00:00"/>
    <x v="251"/>
    <x v="1"/>
    <x v="1"/>
    <x v="1"/>
    <x v="248"/>
  </r>
  <r>
    <n v="892"/>
    <n v="52"/>
    <n v="423"/>
    <n v="3"/>
    <n v="6345"/>
    <x v="336"/>
    <x v="6"/>
    <n v="496"/>
    <x v="1"/>
    <n v="264.8679245283019"/>
    <n v="0.59702236785866925"/>
    <x v="1"/>
    <n v="238.16666666666666"/>
    <n v="0.77606717984604634"/>
    <d v="2022-11-02T00:00:00"/>
    <x v="505"/>
    <x v="3"/>
    <x v="1"/>
    <x v="0"/>
    <x v="115"/>
  </r>
  <r>
    <n v="893"/>
    <n v="75"/>
    <n v="494"/>
    <n v="4"/>
    <n v="9880"/>
    <x v="421"/>
    <x v="3"/>
    <n v="477"/>
    <x v="2"/>
    <n v="283.468085106383"/>
    <n v="0.7427005929595436"/>
    <x v="36"/>
    <n v="249.5"/>
    <n v="0.97995991983967934"/>
    <d v="2022-06-26T00:00:00"/>
    <x v="467"/>
    <x v="0"/>
    <x v="1"/>
    <x v="0"/>
    <x v="6"/>
  </r>
  <r>
    <n v="894"/>
    <n v="148"/>
    <n v="270"/>
    <n v="2"/>
    <n v="2700"/>
    <x v="292"/>
    <x v="5"/>
    <n v="196"/>
    <x v="5"/>
    <n v="268.60344827586209"/>
    <n v="5.199306759098743E-3"/>
    <x v="5"/>
    <n v="281.96875"/>
    <n v="-4.2447079685248856E-2"/>
    <d v="2022-10-01T00:00:00"/>
    <x v="136"/>
    <x v="2"/>
    <x v="1"/>
    <x v="0"/>
    <x v="164"/>
  </r>
  <r>
    <n v="895"/>
    <n v="481"/>
    <n v="470"/>
    <n v="2"/>
    <n v="4700"/>
    <x v="422"/>
    <x v="1"/>
    <n v="400"/>
    <x v="14"/>
    <n v="273.72549019607845"/>
    <n v="0.71704871060171915"/>
    <x v="22"/>
    <n v="280.23809523809524"/>
    <n v="0.67714528462192014"/>
    <d v="2022-07-23T00:00:00"/>
    <x v="260"/>
    <x v="1"/>
    <x v="0"/>
    <x v="0"/>
    <x v="155"/>
  </r>
  <r>
    <n v="896"/>
    <n v="194"/>
    <n v="278"/>
    <n v="4"/>
    <n v="5560"/>
    <x v="369"/>
    <x v="9"/>
    <n v="271"/>
    <x v="1"/>
    <n v="264.8679245283019"/>
    <n v="4.9579712209716353E-2"/>
    <x v="69"/>
    <n v="273.7"/>
    <n v="1.5710632078918652E-2"/>
    <d v="2022-11-27T00:00:00"/>
    <x v="281"/>
    <x v="1"/>
    <x v="1"/>
    <x v="1"/>
    <x v="235"/>
  </r>
  <r>
    <n v="897"/>
    <n v="422"/>
    <n v="244"/>
    <n v="3"/>
    <n v="3660"/>
    <x v="243"/>
    <x v="5"/>
    <n v="265"/>
    <x v="7"/>
    <n v="249.02380952380952"/>
    <n v="-2.0174012811932318E-2"/>
    <x v="59"/>
    <n v="256.89999999999998"/>
    <n v="-5.0214091086025592E-2"/>
    <d v="2022-07-14T00:00:00"/>
    <x v="506"/>
    <x v="0"/>
    <x v="1"/>
    <x v="1"/>
    <x v="200"/>
  </r>
  <r>
    <n v="898"/>
    <n v="52"/>
    <n v="142"/>
    <n v="3"/>
    <n v="2130"/>
    <x v="363"/>
    <x v="10"/>
    <n v="366"/>
    <x v="1"/>
    <n v="264.8679245283019"/>
    <n v="-0.46388374412309452"/>
    <x v="1"/>
    <n v="238.16666666666666"/>
    <n v="-0.40377886634009796"/>
    <d v="2022-09-23T00:00:00"/>
    <x v="507"/>
    <x v="0"/>
    <x v="1"/>
    <x v="1"/>
    <x v="129"/>
  </r>
  <r>
    <n v="899"/>
    <n v="73"/>
    <n v="160"/>
    <n v="4"/>
    <n v="3200"/>
    <x v="400"/>
    <x v="4"/>
    <n v="302"/>
    <x v="16"/>
    <n v="300.31818181818181"/>
    <n v="-0.46723172392916601"/>
    <x v="38"/>
    <n v="264"/>
    <n v="-0.39393939393939392"/>
    <d v="2022-10-25T00:00:00"/>
    <x v="155"/>
    <x v="2"/>
    <x v="1"/>
    <x v="1"/>
    <x v="184"/>
  </r>
  <r>
    <n v="900"/>
    <n v="208"/>
    <n v="476"/>
    <n v="5"/>
    <n v="11900"/>
    <x v="3"/>
    <x v="18"/>
    <n v="326"/>
    <x v="17"/>
    <n v="267.85483870967744"/>
    <n v="0.77708195339314745"/>
    <x v="70"/>
    <n v="268"/>
    <n v="0.77611940298507465"/>
    <d v="2022-04-04T00:00:00"/>
    <x v="370"/>
    <x v="2"/>
    <x v="1"/>
    <x v="1"/>
    <x v="136"/>
  </r>
  <r>
    <n v="901"/>
    <n v="458"/>
    <n v="343"/>
    <n v="3"/>
    <n v="5145"/>
    <x v="186"/>
    <x v="12"/>
    <n v="282"/>
    <x v="3"/>
    <n v="265.47674418604652"/>
    <n v="0.29201524243353338"/>
    <x v="3"/>
    <n v="236.27586206896552"/>
    <n v="0.45169293636894325"/>
    <d v="2022-06-23T00:00:00"/>
    <x v="479"/>
    <x v="0"/>
    <x v="0"/>
    <x v="0"/>
    <x v="300"/>
  </r>
  <r>
    <n v="902"/>
    <n v="444"/>
    <n v="328"/>
    <n v="3"/>
    <n v="4920"/>
    <x v="246"/>
    <x v="19"/>
    <n v="292"/>
    <x v="9"/>
    <n v="263.25423728813558"/>
    <n v="0.24594385784187489"/>
    <x v="33"/>
    <n v="248.5"/>
    <n v="0.31991951710261568"/>
    <d v="2022-02-16T00:00:00"/>
    <x v="117"/>
    <x v="2"/>
    <x v="1"/>
    <x v="1"/>
    <x v="191"/>
  </r>
  <r>
    <n v="903"/>
    <n v="369"/>
    <n v="379"/>
    <n v="5"/>
    <n v="9475"/>
    <x v="81"/>
    <x v="16"/>
    <n v="267"/>
    <x v="15"/>
    <n v="294.95238095238096"/>
    <n v="0.28495318049725538"/>
    <x v="41"/>
    <n v="274.77777777777777"/>
    <n v="0.37929640113222818"/>
    <d v="2022-12-15T00:00:00"/>
    <x v="228"/>
    <x v="2"/>
    <x v="1"/>
    <x v="0"/>
    <x v="36"/>
  </r>
  <r>
    <n v="904"/>
    <n v="6"/>
    <n v="70"/>
    <n v="5"/>
    <n v="1750"/>
    <x v="323"/>
    <x v="4"/>
    <n v="433"/>
    <x v="12"/>
    <n v="274.16279069767444"/>
    <n v="-0.74467724149631009"/>
    <x v="50"/>
    <n v="280.66666666666669"/>
    <n v="-0.75059382422802856"/>
    <d v="2022-09-28T00:00:00"/>
    <x v="444"/>
    <x v="4"/>
    <x v="0"/>
    <x v="0"/>
    <x v="117"/>
  </r>
  <r>
    <n v="905"/>
    <n v="318"/>
    <n v="280"/>
    <n v="1"/>
    <n v="1400"/>
    <x v="302"/>
    <x v="1"/>
    <n v="382"/>
    <x v="15"/>
    <n v="294.95238095238096"/>
    <n v="-5.0694220213109542E-2"/>
    <x v="41"/>
    <n v="274.77777777777777"/>
    <n v="1.9005256773150014E-2"/>
    <d v="2022-10-16T00:00:00"/>
    <x v="95"/>
    <x v="1"/>
    <x v="1"/>
    <x v="0"/>
    <x v="51"/>
  </r>
  <r>
    <n v="906"/>
    <n v="269"/>
    <n v="315"/>
    <n v="1"/>
    <n v="1575"/>
    <x v="335"/>
    <x v="2"/>
    <n v="41"/>
    <x v="0"/>
    <n v="252.76271186440678"/>
    <n v="0.2462281231140615"/>
    <x v="45"/>
    <n v="293.41176470588238"/>
    <n v="7.3576583801122641E-2"/>
    <d v="2022-10-08T00:00:00"/>
    <x v="332"/>
    <x v="2"/>
    <x v="1"/>
    <x v="0"/>
    <x v="58"/>
  </r>
  <r>
    <n v="907"/>
    <n v="55"/>
    <n v="353"/>
    <n v="1"/>
    <n v="1765"/>
    <x v="152"/>
    <x v="19"/>
    <n v="129"/>
    <x v="18"/>
    <n v="255.11627906976744"/>
    <n v="0.38368277119416594"/>
    <x v="61"/>
    <n v="274.28571428571428"/>
    <n v="0.28697916666666679"/>
    <d v="2022-11-03T00:00:00"/>
    <x v="132"/>
    <x v="1"/>
    <x v="1"/>
    <x v="1"/>
    <x v="116"/>
  </r>
  <r>
    <n v="908"/>
    <n v="327"/>
    <n v="342"/>
    <n v="2"/>
    <n v="3420"/>
    <x v="328"/>
    <x v="1"/>
    <n v="335"/>
    <x v="19"/>
    <n v="286.92307692307691"/>
    <n v="0.19195710455764092"/>
    <x v="73"/>
    <n v="320.25"/>
    <n v="6.7915690866510614E-2"/>
    <d v="2022-02-27T00:00:00"/>
    <x v="120"/>
    <x v="0"/>
    <x v="1"/>
    <x v="1"/>
    <x v="7"/>
  </r>
  <r>
    <n v="909"/>
    <n v="364"/>
    <n v="299"/>
    <n v="3"/>
    <n v="4485"/>
    <x v="261"/>
    <x v="14"/>
    <n v="194"/>
    <x v="0"/>
    <n v="252.76271186440678"/>
    <n v="0.18292764701937902"/>
    <x v="45"/>
    <n v="293.41176470588238"/>
    <n v="1.9045709703287894E-2"/>
    <d v="2022-12-29T00:00:00"/>
    <x v="508"/>
    <x v="2"/>
    <x v="1"/>
    <x v="0"/>
    <x v="10"/>
  </r>
  <r>
    <n v="910"/>
    <n v="378"/>
    <n v="397"/>
    <n v="1"/>
    <n v="1985"/>
    <x v="67"/>
    <x v="5"/>
    <n v="56"/>
    <x v="5"/>
    <n v="268.60344827586209"/>
    <n v="0.47801527697541557"/>
    <x v="5"/>
    <n v="281.96875"/>
    <n v="0.40795744209243034"/>
    <d v="2022-04-11T00:00:00"/>
    <x v="242"/>
    <x v="4"/>
    <x v="1"/>
    <x v="1"/>
    <x v="210"/>
  </r>
  <r>
    <n v="911"/>
    <n v="462"/>
    <n v="231"/>
    <n v="2"/>
    <n v="2310"/>
    <x v="342"/>
    <x v="18"/>
    <n v="493"/>
    <x v="13"/>
    <n v="258.375"/>
    <n v="-0.10595065312046448"/>
    <x v="20"/>
    <n v="269.70588235294116"/>
    <n v="-0.14351145038167934"/>
    <d v="2022-10-21T00:00:00"/>
    <x v="412"/>
    <x v="3"/>
    <x v="1"/>
    <x v="0"/>
    <x v="46"/>
  </r>
  <r>
    <n v="912"/>
    <n v="89"/>
    <n v="120"/>
    <n v="5"/>
    <n v="3000"/>
    <x v="423"/>
    <x v="19"/>
    <n v="222"/>
    <x v="17"/>
    <n v="267.85483870967744"/>
    <n v="-0.5519961462034082"/>
    <x v="27"/>
    <n v="288.23809523809524"/>
    <n v="-0.58367751528167844"/>
    <d v="2022-05-13T00:00:00"/>
    <x v="442"/>
    <x v="3"/>
    <x v="1"/>
    <x v="0"/>
    <x v="50"/>
  </r>
  <r>
    <n v="913"/>
    <n v="465"/>
    <n v="177"/>
    <n v="1"/>
    <n v="885"/>
    <x v="381"/>
    <x v="8"/>
    <n v="167"/>
    <x v="9"/>
    <n v="263.25423728813558"/>
    <n v="-0.32764614988411023"/>
    <x v="9"/>
    <n v="257.78260869565219"/>
    <n v="-0.31337493675156014"/>
    <d v="2022-01-02T00:00:00"/>
    <x v="337"/>
    <x v="0"/>
    <x v="1"/>
    <x v="0"/>
    <x v="75"/>
  </r>
  <r>
    <n v="914"/>
    <n v="208"/>
    <n v="412"/>
    <n v="4"/>
    <n v="8240"/>
    <x v="407"/>
    <x v="6"/>
    <n v="212"/>
    <x v="17"/>
    <n v="267.85483870967744"/>
    <n v="0.53814656470163169"/>
    <x v="70"/>
    <n v="268"/>
    <n v="0.53731343283582089"/>
    <d v="2022-09-11T00:00:00"/>
    <x v="150"/>
    <x v="0"/>
    <x v="0"/>
    <x v="1"/>
    <x v="127"/>
  </r>
  <r>
    <n v="915"/>
    <n v="357"/>
    <n v="279"/>
    <n v="2"/>
    <n v="2790"/>
    <x v="12"/>
    <x v="15"/>
    <n v="499"/>
    <x v="10"/>
    <n v="271.74545454545455"/>
    <n v="2.6696105981533602E-2"/>
    <x v="37"/>
    <n v="272.35294117647061"/>
    <n v="2.4406047516198681E-2"/>
    <d v="2022-08-25T00:00:00"/>
    <x v="77"/>
    <x v="1"/>
    <x v="0"/>
    <x v="0"/>
    <x v="301"/>
  </r>
  <r>
    <n v="916"/>
    <n v="416"/>
    <n v="472"/>
    <n v="1"/>
    <n v="2360"/>
    <x v="424"/>
    <x v="19"/>
    <n v="401"/>
    <x v="6"/>
    <n v="258.5128205128205"/>
    <n v="0.82582820868875229"/>
    <x v="6"/>
    <n v="260.64705882352939"/>
    <n v="0.81087790566463558"/>
    <d v="2022-10-22T00:00:00"/>
    <x v="320"/>
    <x v="2"/>
    <x v="1"/>
    <x v="1"/>
    <x v="269"/>
  </r>
  <r>
    <n v="917"/>
    <n v="374"/>
    <n v="52"/>
    <n v="3"/>
    <n v="780"/>
    <x v="425"/>
    <x v="18"/>
    <n v="463"/>
    <x v="7"/>
    <n v="249.02380952380952"/>
    <n v="-0.79118462568123149"/>
    <x v="77"/>
    <n v="140"/>
    <n v="-0.62857142857142856"/>
    <d v="2022-11-04T00:00:00"/>
    <x v="509"/>
    <x v="3"/>
    <x v="1"/>
    <x v="1"/>
    <x v="186"/>
  </r>
  <r>
    <n v="918"/>
    <n v="145"/>
    <n v="144"/>
    <n v="5"/>
    <n v="3600"/>
    <x v="299"/>
    <x v="0"/>
    <n v="347"/>
    <x v="4"/>
    <n v="250.48780487804879"/>
    <n v="-0.42512171372930874"/>
    <x v="75"/>
    <n v="208"/>
    <n v="-0.30769230769230771"/>
    <d v="2022-01-27T00:00:00"/>
    <x v="510"/>
    <x v="4"/>
    <x v="0"/>
    <x v="0"/>
    <x v="302"/>
  </r>
  <r>
    <n v="919"/>
    <n v="289"/>
    <n v="258"/>
    <n v="2"/>
    <n v="2580"/>
    <x v="221"/>
    <x v="1"/>
    <n v="54"/>
    <x v="5"/>
    <n v="268.60344827586209"/>
    <n v="-3.9476217985750184E-2"/>
    <x v="28"/>
    <n v="242.81818181818181"/>
    <n v="6.2523399475851837E-2"/>
    <d v="2022-10-13T00:00:00"/>
    <x v="132"/>
    <x v="1"/>
    <x v="1"/>
    <x v="1"/>
    <x v="116"/>
  </r>
  <r>
    <n v="920"/>
    <n v="173"/>
    <n v="173"/>
    <n v="2"/>
    <n v="1730"/>
    <x v="426"/>
    <x v="18"/>
    <n v="246"/>
    <x v="5"/>
    <n v="268.60344827586209"/>
    <n v="-0.35592785159509599"/>
    <x v="5"/>
    <n v="281.96875"/>
    <n v="-0.38645683253906682"/>
    <d v="2022-09-01T00:00:00"/>
    <x v="467"/>
    <x v="0"/>
    <x v="1"/>
    <x v="1"/>
    <x v="218"/>
  </r>
  <r>
    <n v="921"/>
    <n v="390"/>
    <n v="494"/>
    <n v="3"/>
    <n v="7410"/>
    <x v="41"/>
    <x v="11"/>
    <n v="65"/>
    <x v="5"/>
    <n v="268.60344827586209"/>
    <n v="0.83914243532961019"/>
    <x v="32"/>
    <n v="254.18181818181819"/>
    <n v="0.94349070100143062"/>
    <d v="2022-03-03T00:00:00"/>
    <x v="499"/>
    <x v="3"/>
    <x v="1"/>
    <x v="1"/>
    <x v="141"/>
  </r>
  <r>
    <n v="922"/>
    <n v="482"/>
    <n v="198"/>
    <n v="2"/>
    <n v="1980"/>
    <x v="91"/>
    <x v="18"/>
    <n v="44"/>
    <x v="18"/>
    <n v="255.11627906976744"/>
    <n v="-0.22388331814038287"/>
    <x v="34"/>
    <n v="250.30769230769232"/>
    <n v="-0.20897357098955138"/>
    <d v="2022-05-20T00:00:00"/>
    <x v="39"/>
    <x v="1"/>
    <x v="1"/>
    <x v="1"/>
    <x v="56"/>
  </r>
  <r>
    <n v="923"/>
    <n v="465"/>
    <n v="71"/>
    <n v="5"/>
    <n v="1775"/>
    <x v="156"/>
    <x v="8"/>
    <n v="321"/>
    <x v="9"/>
    <n v="263.25423728813558"/>
    <n v="-0.73029873808910639"/>
    <x v="9"/>
    <n v="257.78260869565219"/>
    <n v="-0.7245741271715298"/>
    <d v="2022-07-14T00:00:00"/>
    <x v="409"/>
    <x v="4"/>
    <x v="1"/>
    <x v="1"/>
    <x v="95"/>
  </r>
  <r>
    <n v="924"/>
    <n v="114"/>
    <n v="228"/>
    <n v="2"/>
    <n v="2280"/>
    <x v="149"/>
    <x v="14"/>
    <n v="50"/>
    <x v="11"/>
    <n v="262.63492063492066"/>
    <n v="-0.13187477335912012"/>
    <x v="47"/>
    <n v="271"/>
    <n v="-0.15867158671586712"/>
    <d v="2022-01-15T00:00:00"/>
    <x v="216"/>
    <x v="0"/>
    <x v="1"/>
    <x v="0"/>
    <x v="239"/>
  </r>
  <r>
    <n v="925"/>
    <n v="46"/>
    <n v="290"/>
    <n v="3"/>
    <n v="4350"/>
    <x v="194"/>
    <x v="5"/>
    <n v="460"/>
    <x v="9"/>
    <n v="263.25423728813558"/>
    <n v="0.10159670357970652"/>
    <x v="55"/>
    <n v="293.66666666666669"/>
    <n v="-1.2485811577752637E-2"/>
    <d v="2022-09-17T00:00:00"/>
    <x v="391"/>
    <x v="2"/>
    <x v="1"/>
    <x v="1"/>
    <x v="274"/>
  </r>
  <r>
    <n v="926"/>
    <n v="222"/>
    <n v="168"/>
    <n v="3"/>
    <n v="2520"/>
    <x v="113"/>
    <x v="13"/>
    <n v="79"/>
    <x v="15"/>
    <n v="294.95238095238096"/>
    <n v="-0.43041653212786568"/>
    <x v="23"/>
    <n v="318.81818181818181"/>
    <n v="-0.47305389221556882"/>
    <d v="2022-06-04T00:00:00"/>
    <x v="511"/>
    <x v="4"/>
    <x v="1"/>
    <x v="1"/>
    <x v="277"/>
  </r>
  <r>
    <n v="927"/>
    <n v="210"/>
    <n v="374"/>
    <n v="2"/>
    <n v="3740"/>
    <x v="268"/>
    <x v="8"/>
    <n v="209"/>
    <x v="19"/>
    <n v="286.92307692307691"/>
    <n v="0.30348525469168908"/>
    <x v="40"/>
    <n v="273.58333333333331"/>
    <n v="0.36704233932378938"/>
    <d v="2022-03-08T00:00:00"/>
    <x v="156"/>
    <x v="2"/>
    <x v="1"/>
    <x v="1"/>
    <x v="132"/>
  </r>
  <r>
    <n v="928"/>
    <n v="399"/>
    <n v="67"/>
    <n v="2"/>
    <n v="670"/>
    <x v="203"/>
    <x v="18"/>
    <n v="451"/>
    <x v="16"/>
    <n v="300.31818181818181"/>
    <n v="-0.77690328439533829"/>
    <x v="24"/>
    <n v="281.73333333333335"/>
    <n v="-0.76218646474207286"/>
    <d v="2022-01-23T00:00:00"/>
    <x v="512"/>
    <x v="2"/>
    <x v="1"/>
    <x v="0"/>
    <x v="28"/>
  </r>
  <r>
    <n v="929"/>
    <n v="498"/>
    <n v="244"/>
    <n v="2"/>
    <n v="2440"/>
    <x v="427"/>
    <x v="3"/>
    <n v="49"/>
    <x v="15"/>
    <n v="294.95238095238096"/>
    <n v="-0.17274782047142401"/>
    <x v="41"/>
    <n v="274.77777777777777"/>
    <n v="-0.11200970481196926"/>
    <d v="2022-04-21T00:00:00"/>
    <x v="513"/>
    <x v="4"/>
    <x v="1"/>
    <x v="0"/>
    <x v="6"/>
  </r>
  <r>
    <n v="930"/>
    <n v="170"/>
    <n v="312"/>
    <n v="1"/>
    <n v="1560"/>
    <x v="428"/>
    <x v="11"/>
    <n v="162"/>
    <x v="17"/>
    <n v="267.85483870967744"/>
    <n v="0.16481001987113864"/>
    <x v="70"/>
    <n v="268"/>
    <n v="0.16417910447761197"/>
    <d v="2022-03-19T00:00:00"/>
    <x v="44"/>
    <x v="4"/>
    <x v="1"/>
    <x v="1"/>
    <x v="89"/>
  </r>
  <r>
    <n v="931"/>
    <n v="205"/>
    <n v="212"/>
    <n v="4"/>
    <n v="4240"/>
    <x v="382"/>
    <x v="9"/>
    <n v="414"/>
    <x v="3"/>
    <n v="265.47674418604652"/>
    <n v="-0.20143664316061494"/>
    <x v="3"/>
    <n v="236.27586206896552"/>
    <n v="-0.10274372446001168"/>
    <d v="2022-08-21T00:00:00"/>
    <x v="514"/>
    <x v="1"/>
    <x v="1"/>
    <x v="1"/>
    <x v="13"/>
  </r>
  <r>
    <n v="932"/>
    <n v="188"/>
    <n v="233"/>
    <n v="2"/>
    <n v="2330"/>
    <x v="55"/>
    <x v="10"/>
    <n v="445"/>
    <x v="15"/>
    <n v="294.95238095238096"/>
    <n v="-0.21004197610590902"/>
    <x v="74"/>
    <n v="193.5"/>
    <n v="0.20413436692506459"/>
    <d v="2022-04-25T00:00:00"/>
    <x v="159"/>
    <x v="2"/>
    <x v="1"/>
    <x v="1"/>
    <x v="135"/>
  </r>
  <r>
    <n v="933"/>
    <n v="246"/>
    <n v="400"/>
    <n v="4"/>
    <n v="8000"/>
    <x v="8"/>
    <x v="15"/>
    <n v="191"/>
    <x v="11"/>
    <n v="262.63492063492066"/>
    <n v="0.52302671340505236"/>
    <x v="21"/>
    <n v="238.72222222222223"/>
    <n v="0.67558761926925759"/>
    <d v="2022-11-01T00:00:00"/>
    <x v="174"/>
    <x v="3"/>
    <x v="1"/>
    <x v="0"/>
    <x v="197"/>
  </r>
  <r>
    <n v="934"/>
    <n v="187"/>
    <n v="168"/>
    <n v="3"/>
    <n v="2520"/>
    <x v="76"/>
    <x v="14"/>
    <n v="126"/>
    <x v="3"/>
    <n v="265.47674418604652"/>
    <n v="-0.36717620778765714"/>
    <x v="16"/>
    <n v="276.67567567567568"/>
    <n v="-0.39279085669629776"/>
    <d v="2022-09-18T00:00:00"/>
    <x v="515"/>
    <x v="0"/>
    <x v="1"/>
    <x v="0"/>
    <x v="86"/>
  </r>
  <r>
    <n v="935"/>
    <n v="9"/>
    <n v="321"/>
    <n v="1"/>
    <n v="1605"/>
    <x v="77"/>
    <x v="15"/>
    <n v="217"/>
    <x v="9"/>
    <n v="263.25423728813558"/>
    <n v="0.21935359258305431"/>
    <x v="43"/>
    <n v="287.10000000000002"/>
    <n v="0.11807732497387669"/>
    <d v="2022-09-22T00:00:00"/>
    <x v="385"/>
    <x v="2"/>
    <x v="1"/>
    <x v="1"/>
    <x v="240"/>
  </r>
  <r>
    <n v="936"/>
    <n v="302"/>
    <n v="229"/>
    <n v="5"/>
    <n v="5725"/>
    <x v="126"/>
    <x v="4"/>
    <n v="42"/>
    <x v="15"/>
    <n v="294.95238095238096"/>
    <n v="-0.22360348724572165"/>
    <x v="41"/>
    <n v="274.77777777777777"/>
    <n v="-0.16659927213910231"/>
    <d v="2022-08-10T00:00:00"/>
    <x v="516"/>
    <x v="4"/>
    <x v="1"/>
    <x v="0"/>
    <x v="62"/>
  </r>
  <r>
    <n v="937"/>
    <n v="166"/>
    <n v="166"/>
    <n v="5"/>
    <n v="4150"/>
    <x v="429"/>
    <x v="4"/>
    <n v="407"/>
    <x v="5"/>
    <n v="268.60344827586209"/>
    <n v="-0.38198857436292455"/>
    <x v="28"/>
    <n v="242.81818181818181"/>
    <n v="-0.31636091351553719"/>
    <d v="2022-03-01T00:00:00"/>
    <x v="517"/>
    <x v="1"/>
    <x v="1"/>
    <x v="0"/>
    <x v="45"/>
  </r>
  <r>
    <n v="938"/>
    <n v="329"/>
    <n v="71"/>
    <n v="2"/>
    <n v="710"/>
    <x v="430"/>
    <x v="4"/>
    <n v="117"/>
    <x v="1"/>
    <n v="264.8679245283019"/>
    <n v="-0.73194187206154726"/>
    <x v="64"/>
    <n v="236.91666666666666"/>
    <n v="-0.7003165670066831"/>
    <d v="2022-05-25T00:00:00"/>
    <x v="162"/>
    <x v="3"/>
    <x v="1"/>
    <x v="0"/>
    <x v="8"/>
  </r>
  <r>
    <n v="939"/>
    <n v="35"/>
    <n v="345"/>
    <n v="2"/>
    <n v="3450"/>
    <x v="312"/>
    <x v="11"/>
    <n v="91"/>
    <x v="18"/>
    <n v="255.11627906976744"/>
    <n v="0.35232452142206006"/>
    <x v="34"/>
    <n v="250.30769230769232"/>
    <n v="0.37830362630608483"/>
    <d v="2022-05-06T00:00:00"/>
    <x v="454"/>
    <x v="2"/>
    <x v="1"/>
    <x v="1"/>
    <x v="292"/>
  </r>
  <r>
    <n v="940"/>
    <n v="342"/>
    <n v="259"/>
    <n v="5"/>
    <n v="6475"/>
    <x v="6"/>
    <x v="9"/>
    <n v="380"/>
    <x v="4"/>
    <n v="250.48780487804879"/>
    <n v="3.3982473222979426E-2"/>
    <x v="25"/>
    <n v="303.8235294117647"/>
    <n v="-0.14753146176185861"/>
    <d v="2022-01-02T00:00:00"/>
    <x v="518"/>
    <x v="2"/>
    <x v="1"/>
    <x v="0"/>
    <x v="103"/>
  </r>
  <r>
    <n v="941"/>
    <n v="44"/>
    <n v="439"/>
    <n v="5"/>
    <n v="10975"/>
    <x v="297"/>
    <x v="6"/>
    <n v="469"/>
    <x v="15"/>
    <n v="294.95238095238096"/>
    <n v="0.48837584759444619"/>
    <x v="53"/>
    <n v="322.54545454545456"/>
    <n v="0.36104847801578344"/>
    <d v="2022-04-08T00:00:00"/>
    <x v="446"/>
    <x v="2"/>
    <x v="0"/>
    <x v="0"/>
    <x v="303"/>
  </r>
  <r>
    <n v="942"/>
    <n v="128"/>
    <n v="246"/>
    <n v="4"/>
    <n v="4920"/>
    <x v="132"/>
    <x v="2"/>
    <n v="479"/>
    <x v="10"/>
    <n v="271.74545454545455"/>
    <n v="-9.4741067844239302E-2"/>
    <x v="15"/>
    <n v="316.58333333333331"/>
    <n v="-0.22295340879178727"/>
    <d v="2022-08-20T00:00:00"/>
    <x v="261"/>
    <x v="2"/>
    <x v="1"/>
    <x v="0"/>
    <x v="208"/>
  </r>
  <r>
    <n v="943"/>
    <n v="447"/>
    <n v="118"/>
    <n v="3"/>
    <n v="1770"/>
    <x v="209"/>
    <x v="8"/>
    <n v="9"/>
    <x v="9"/>
    <n v="263.25423728813558"/>
    <n v="-0.55176409992274011"/>
    <x v="33"/>
    <n v="248.5"/>
    <n v="-0.52515090543259557"/>
    <d v="2022-12-05T00:00:00"/>
    <x v="500"/>
    <x v="4"/>
    <x v="1"/>
    <x v="0"/>
    <x v="174"/>
  </r>
  <r>
    <n v="944"/>
    <n v="48"/>
    <n v="116"/>
    <n v="5"/>
    <n v="2900"/>
    <x v="393"/>
    <x v="17"/>
    <n v="477"/>
    <x v="12"/>
    <n v="274.16279069767444"/>
    <n v="-0.57689371447959958"/>
    <x v="65"/>
    <n v="258.30769230769232"/>
    <n v="-0.55092316855270995"/>
    <d v="2022-06-26T00:00:00"/>
    <x v="519"/>
    <x v="0"/>
    <x v="1"/>
    <x v="0"/>
    <x v="6"/>
  </r>
  <r>
    <n v="945"/>
    <n v="415"/>
    <n v="307"/>
    <n v="3"/>
    <n v="4605"/>
    <x v="89"/>
    <x v="18"/>
    <n v="498"/>
    <x v="14"/>
    <n v="273.72549019607845"/>
    <n v="0.12156160458452714"/>
    <x v="22"/>
    <n v="280.23809523809524"/>
    <n v="9.5497026338147828E-2"/>
    <d v="2022-06-09T00:00:00"/>
    <x v="19"/>
    <x v="3"/>
    <x v="1"/>
    <x v="0"/>
    <x v="20"/>
  </r>
  <r>
    <n v="946"/>
    <n v="298"/>
    <n v="84"/>
    <n v="5"/>
    <n v="2100"/>
    <x v="165"/>
    <x v="2"/>
    <n v="93"/>
    <x v="18"/>
    <n v="255.11627906976744"/>
    <n v="-0.67073837739288966"/>
    <x v="67"/>
    <n v="251.91666666666666"/>
    <n v="-0.66655640092623214"/>
    <d v="2022-12-10T00:00:00"/>
    <x v="230"/>
    <x v="3"/>
    <x v="0"/>
    <x v="1"/>
    <x v="181"/>
  </r>
  <r>
    <n v="947"/>
    <n v="3"/>
    <n v="180"/>
    <n v="3"/>
    <n v="2700"/>
    <x v="431"/>
    <x v="10"/>
    <n v="200"/>
    <x v="18"/>
    <n v="255.11627906976744"/>
    <n v="-0.29443938012762083"/>
    <x v="72"/>
    <n v="252.09090909090909"/>
    <n v="-0.28597187161918503"/>
    <d v="2022-08-10T00:00:00"/>
    <x v="509"/>
    <x v="0"/>
    <x v="0"/>
    <x v="0"/>
    <x v="304"/>
  </r>
  <r>
    <n v="948"/>
    <n v="60"/>
    <n v="334"/>
    <n v="1"/>
    <n v="1670"/>
    <x v="41"/>
    <x v="17"/>
    <n v="381"/>
    <x v="7"/>
    <n v="249.02380952380952"/>
    <n v="0.34123721197055179"/>
    <x v="7"/>
    <n v="276.21052631578948"/>
    <n v="0.20922256097560976"/>
    <d v="2022-06-02T00:00:00"/>
    <x v="9"/>
    <x v="0"/>
    <x v="1"/>
    <x v="1"/>
    <x v="105"/>
  </r>
  <r>
    <n v="949"/>
    <n v="59"/>
    <n v="234"/>
    <n v="2"/>
    <n v="2340"/>
    <x v="422"/>
    <x v="6"/>
    <n v="18"/>
    <x v="0"/>
    <n v="252.76271186440678"/>
    <n v="-7.4230537115268613E-2"/>
    <x v="0"/>
    <n v="240.5"/>
    <n v="-2.7027027027026973E-2"/>
    <d v="2022-01-17T00:00:00"/>
    <x v="520"/>
    <x v="3"/>
    <x v="1"/>
    <x v="1"/>
    <x v="214"/>
  </r>
  <r>
    <n v="950"/>
    <n v="119"/>
    <n v="426"/>
    <n v="1"/>
    <n v="2130"/>
    <x v="309"/>
    <x v="7"/>
    <n v="327"/>
    <x v="2"/>
    <n v="283.468085106383"/>
    <n v="0.50281468137806784"/>
    <x v="31"/>
    <n v="323.07692307692309"/>
    <n v="0.31857142857142851"/>
    <d v="2022-01-04T00:00:00"/>
    <x v="456"/>
    <x v="4"/>
    <x v="1"/>
    <x v="1"/>
    <x v="160"/>
  </r>
  <r>
    <n v="951"/>
    <n v="199"/>
    <n v="494"/>
    <n v="1"/>
    <n v="2470"/>
    <x v="429"/>
    <x v="2"/>
    <n v="340"/>
    <x v="3"/>
    <n v="265.47674418604652"/>
    <n v="0.86080329376724629"/>
    <x v="3"/>
    <n v="236.27586206896552"/>
    <n v="1.0907764156450672"/>
    <d v="2022-12-01T00:00:00"/>
    <x v="521"/>
    <x v="2"/>
    <x v="1"/>
    <x v="1"/>
    <x v="154"/>
  </r>
  <r>
    <n v="952"/>
    <n v="272"/>
    <n v="353"/>
    <n v="3"/>
    <n v="5295"/>
    <x v="63"/>
    <x v="15"/>
    <n v="490"/>
    <x v="18"/>
    <n v="255.11627906976744"/>
    <n v="0.38368277119416594"/>
    <x v="72"/>
    <n v="252.09090909090909"/>
    <n v="0.40028849621348717"/>
    <d v="2022-02-11T00:00:00"/>
    <x v="386"/>
    <x v="2"/>
    <x v="1"/>
    <x v="1"/>
    <x v="16"/>
  </r>
  <r>
    <n v="953"/>
    <n v="386"/>
    <n v="288"/>
    <n v="2"/>
    <n v="2880"/>
    <x v="101"/>
    <x v="14"/>
    <n v="67"/>
    <x v="18"/>
    <n v="255.11627906976744"/>
    <n v="0.12889699179580671"/>
    <x v="67"/>
    <n v="251.91666666666666"/>
    <n v="0.14323519682434682"/>
    <d v="2022-06-19T00:00:00"/>
    <x v="338"/>
    <x v="0"/>
    <x v="1"/>
    <x v="0"/>
    <x v="252"/>
  </r>
  <r>
    <n v="954"/>
    <n v="464"/>
    <n v="430"/>
    <n v="2"/>
    <n v="4300"/>
    <x v="359"/>
    <x v="18"/>
    <n v="132"/>
    <x v="11"/>
    <n v="262.63492063492066"/>
    <n v="0.63725371691043131"/>
    <x v="47"/>
    <n v="271"/>
    <n v="0.58671586715867163"/>
    <d v="2022-02-09T00:00:00"/>
    <x v="87"/>
    <x v="3"/>
    <x v="1"/>
    <x v="0"/>
    <x v="91"/>
  </r>
  <r>
    <n v="955"/>
    <n v="494"/>
    <n v="471"/>
    <n v="5"/>
    <n v="11775"/>
    <x v="148"/>
    <x v="0"/>
    <n v="95"/>
    <x v="11"/>
    <n v="262.63492063492066"/>
    <n v="0.79336395503444934"/>
    <x v="47"/>
    <n v="271"/>
    <n v="0.73800738007380073"/>
    <d v="2022-05-23T00:00:00"/>
    <x v="145"/>
    <x v="0"/>
    <x v="0"/>
    <x v="1"/>
    <x v="143"/>
  </r>
  <r>
    <n v="956"/>
    <n v="242"/>
    <n v="313"/>
    <n v="3"/>
    <n v="4695"/>
    <x v="432"/>
    <x v="17"/>
    <n v="75"/>
    <x v="4"/>
    <n v="250.48780487804879"/>
    <n v="0.24956183057448866"/>
    <x v="25"/>
    <n v="303.8235294117647"/>
    <n v="3.0203291384317543E-2"/>
    <d v="2022-08-23T00:00:00"/>
    <x v="49"/>
    <x v="3"/>
    <x v="1"/>
    <x v="1"/>
    <x v="81"/>
  </r>
  <r>
    <n v="957"/>
    <n v="434"/>
    <n v="340"/>
    <n v="4"/>
    <n v="6800"/>
    <x v="420"/>
    <x v="9"/>
    <n v="419"/>
    <x v="11"/>
    <n v="262.63492063492066"/>
    <n v="0.29457270639429467"/>
    <x v="47"/>
    <n v="271"/>
    <n v="0.25461254612546136"/>
    <d v="2022-11-04T00:00:00"/>
    <x v="522"/>
    <x v="4"/>
    <x v="1"/>
    <x v="0"/>
    <x v="117"/>
  </r>
  <r>
    <n v="958"/>
    <n v="110"/>
    <n v="148"/>
    <n v="2"/>
    <n v="1480"/>
    <x v="433"/>
    <x v="2"/>
    <n v="42"/>
    <x v="3"/>
    <n v="265.47674418604652"/>
    <n v="-0.44251237352722173"/>
    <x v="16"/>
    <n v="276.67567567567568"/>
    <n v="-0.46507765947054802"/>
    <d v="2022-08-10T00:00:00"/>
    <x v="298"/>
    <x v="4"/>
    <x v="1"/>
    <x v="0"/>
    <x v="62"/>
  </r>
  <r>
    <n v="959"/>
    <n v="168"/>
    <n v="391"/>
    <n v="2"/>
    <n v="3910"/>
    <x v="376"/>
    <x v="18"/>
    <n v="316"/>
    <x v="18"/>
    <n v="255.11627906976744"/>
    <n v="0.53263445761166817"/>
    <x v="72"/>
    <n v="252.09090909090909"/>
    <n v="0.55102776776054818"/>
    <d v="2022-08-14T00:00:00"/>
    <x v="521"/>
    <x v="4"/>
    <x v="1"/>
    <x v="0"/>
    <x v="154"/>
  </r>
  <r>
    <n v="960"/>
    <n v="13"/>
    <n v="181"/>
    <n v="4"/>
    <n v="3620"/>
    <x v="48"/>
    <x v="15"/>
    <n v="117"/>
    <x v="3"/>
    <n v="265.47674418604652"/>
    <n v="-0.3182077000569401"/>
    <x v="16"/>
    <n v="276.67567567567568"/>
    <n v="-0.34580443489303503"/>
    <d v="2022-05-25T00:00:00"/>
    <x v="8"/>
    <x v="3"/>
    <x v="1"/>
    <x v="0"/>
    <x v="8"/>
  </r>
  <r>
    <n v="961"/>
    <n v="141"/>
    <n v="279"/>
    <n v="1"/>
    <n v="1395"/>
    <x v="371"/>
    <x v="2"/>
    <n v="243"/>
    <x v="12"/>
    <n v="274.16279069767444"/>
    <n v="1.7643566036135372E-2"/>
    <x v="65"/>
    <n v="258.30769230769232"/>
    <n v="8.0107206670637199E-2"/>
    <d v="2022-04-30T00:00:00"/>
    <x v="405"/>
    <x v="2"/>
    <x v="1"/>
    <x v="1"/>
    <x v="276"/>
  </r>
  <r>
    <n v="962"/>
    <n v="120"/>
    <n v="229"/>
    <n v="5"/>
    <n v="5725"/>
    <x v="71"/>
    <x v="17"/>
    <n v="6"/>
    <x v="16"/>
    <n v="300.31818181818181"/>
    <n v="-0.23747540487361884"/>
    <x v="38"/>
    <n v="264"/>
    <n v="-0.13257575757575757"/>
    <d v="2022-05-29T00:00:00"/>
    <x v="184"/>
    <x v="3"/>
    <x v="1"/>
    <x v="1"/>
    <x v="299"/>
  </r>
  <r>
    <n v="963"/>
    <n v="316"/>
    <n v="97"/>
    <n v="4"/>
    <n v="1940"/>
    <x v="261"/>
    <x v="9"/>
    <n v="283"/>
    <x v="3"/>
    <n v="265.47674418604652"/>
    <n v="-0.63461959616311159"/>
    <x v="3"/>
    <n v="236.27586206896552"/>
    <n v="-0.58946293053123178"/>
    <d v="2022-11-24T00:00:00"/>
    <x v="523"/>
    <x v="4"/>
    <x v="1"/>
    <x v="1"/>
    <x v="110"/>
  </r>
  <r>
    <n v="964"/>
    <n v="448"/>
    <n v="484"/>
    <n v="1"/>
    <n v="2420"/>
    <x v="316"/>
    <x v="2"/>
    <n v="404"/>
    <x v="9"/>
    <n v="263.25423728813558"/>
    <n v="0.83852691218130326"/>
    <x v="9"/>
    <n v="257.78260869565219"/>
    <n v="0.87755102040816313"/>
    <d v="2022-12-18T00:00:00"/>
    <x v="524"/>
    <x v="3"/>
    <x v="1"/>
    <x v="1"/>
    <x v="287"/>
  </r>
  <r>
    <n v="965"/>
    <n v="143"/>
    <n v="200"/>
    <n v="4"/>
    <n v="4000"/>
    <x v="68"/>
    <x v="0"/>
    <n v="379"/>
    <x v="0"/>
    <n v="252.76271186440678"/>
    <n v="-0.20874404881646891"/>
    <x v="68"/>
    <n v="215.85714285714286"/>
    <n v="-7.3461283917935161E-2"/>
    <d v="2022-01-20T00:00:00"/>
    <x v="392"/>
    <x v="4"/>
    <x v="1"/>
    <x v="1"/>
    <x v="270"/>
  </r>
  <r>
    <n v="966"/>
    <n v="168"/>
    <n v="206"/>
    <n v="4"/>
    <n v="4120"/>
    <x v="244"/>
    <x v="14"/>
    <n v="136"/>
    <x v="18"/>
    <n v="255.11627906976744"/>
    <n v="-0.1925250683682771"/>
    <x v="72"/>
    <n v="252.09090909090909"/>
    <n v="-0.18283447529751173"/>
    <d v="2022-10-26T00:00:00"/>
    <x v="525"/>
    <x v="3"/>
    <x v="1"/>
    <x v="0"/>
    <x v="93"/>
  </r>
  <r>
    <n v="967"/>
    <n v="435"/>
    <n v="116"/>
    <n v="4"/>
    <n v="2320"/>
    <x v="214"/>
    <x v="14"/>
    <n v="20"/>
    <x v="10"/>
    <n v="271.74545454545455"/>
    <n v="-0.57312993443061688"/>
    <x v="37"/>
    <n v="272.35294117647061"/>
    <n v="-0.57408207343412532"/>
    <d v="2022-05-10T00:00:00"/>
    <x v="346"/>
    <x v="0"/>
    <x v="0"/>
    <x v="1"/>
    <x v="124"/>
  </r>
  <r>
    <n v="968"/>
    <n v="375"/>
    <n v="212"/>
    <n v="3"/>
    <n v="3180"/>
    <x v="118"/>
    <x v="19"/>
    <n v="369"/>
    <x v="3"/>
    <n v="265.47674418604652"/>
    <n v="-0.20143664316061494"/>
    <x v="3"/>
    <n v="236.27586206896552"/>
    <n v="-0.10274372446001168"/>
    <d v="2022-04-27T00:00:00"/>
    <x v="526"/>
    <x v="2"/>
    <x v="1"/>
    <x v="0"/>
    <x v="174"/>
  </r>
  <r>
    <n v="969"/>
    <n v="416"/>
    <n v="202"/>
    <n v="4"/>
    <n v="4040"/>
    <x v="101"/>
    <x v="3"/>
    <n v="499"/>
    <x v="6"/>
    <n v="258.5128205128205"/>
    <n v="-0.21860741916286441"/>
    <x v="6"/>
    <n v="260.64705882352939"/>
    <n v="-0.22500564206725338"/>
    <d v="2022-08-25T00:00:00"/>
    <x v="527"/>
    <x v="1"/>
    <x v="1"/>
    <x v="0"/>
    <x v="301"/>
  </r>
  <r>
    <n v="970"/>
    <n v="25"/>
    <n v="332"/>
    <n v="3"/>
    <n v="4980"/>
    <x v="75"/>
    <x v="9"/>
    <n v="153"/>
    <x v="14"/>
    <n v="273.72549019607845"/>
    <n v="0.21289398280802274"/>
    <x v="58"/>
    <n v="241.83333333333334"/>
    <n v="0.37284631288766357"/>
    <d v="2022-08-29T00:00:00"/>
    <x v="36"/>
    <x v="2"/>
    <x v="1"/>
    <x v="1"/>
    <x v="78"/>
  </r>
  <r>
    <n v="971"/>
    <n v="236"/>
    <n v="420"/>
    <n v="5"/>
    <n v="10500"/>
    <x v="117"/>
    <x v="10"/>
    <n v="34"/>
    <x v="2"/>
    <n v="283.468085106383"/>
    <n v="0.48164827741499661"/>
    <x v="46"/>
    <n v="321.63636363636363"/>
    <n v="0.30582249858677213"/>
    <d v="2022-04-03T00:00:00"/>
    <x v="121"/>
    <x v="4"/>
    <x v="1"/>
    <x v="1"/>
    <x v="47"/>
  </r>
  <r>
    <n v="972"/>
    <n v="418"/>
    <n v="139"/>
    <n v="2"/>
    <n v="1390"/>
    <x v="408"/>
    <x v="17"/>
    <n v="337"/>
    <x v="12"/>
    <n v="274.16279069767444"/>
    <n v="-0.49300195097124444"/>
    <x v="76"/>
    <n v="369.2"/>
    <n v="-0.62351029252437695"/>
    <d v="2022-11-10T00:00:00"/>
    <x v="460"/>
    <x v="2"/>
    <x v="1"/>
    <x v="0"/>
    <x v="149"/>
  </r>
  <r>
    <n v="973"/>
    <n v="141"/>
    <n v="112"/>
    <n v="4"/>
    <n v="2240"/>
    <x v="9"/>
    <x v="13"/>
    <n v="200"/>
    <x v="12"/>
    <n v="274.16279069767444"/>
    <n v="-0.59148358639409615"/>
    <x v="65"/>
    <n v="258.30769230769232"/>
    <n v="-0.56640857653365106"/>
    <d v="2022-08-10T00:00:00"/>
    <x v="147"/>
    <x v="0"/>
    <x v="1"/>
    <x v="0"/>
    <x v="304"/>
  </r>
  <r>
    <n v="974"/>
    <n v="294"/>
    <n v="485"/>
    <n v="3"/>
    <n v="7275"/>
    <x v="333"/>
    <x v="18"/>
    <n v="8"/>
    <x v="5"/>
    <n v="268.60344827586209"/>
    <n v="0.80563579177097355"/>
    <x v="5"/>
    <n v="281.96875"/>
    <n v="0.72004876426909004"/>
    <d v="2022-11-18T00:00:00"/>
    <x v="395"/>
    <x v="1"/>
    <x v="1"/>
    <x v="0"/>
    <x v="263"/>
  </r>
  <r>
    <n v="975"/>
    <n v="497"/>
    <n v="120"/>
    <n v="1"/>
    <n v="600"/>
    <x v="328"/>
    <x v="14"/>
    <n v="280"/>
    <x v="17"/>
    <n v="267.85483870967744"/>
    <n v="-0.5519961462034082"/>
    <x v="35"/>
    <n v="250.25925925925927"/>
    <n v="-0.52049726209856439"/>
    <d v="2022-01-02T00:00:00"/>
    <x v="28"/>
    <x v="2"/>
    <x v="1"/>
    <x v="1"/>
    <x v="22"/>
  </r>
  <r>
    <n v="976"/>
    <n v="359"/>
    <n v="359"/>
    <n v="4"/>
    <n v="7180"/>
    <x v="320"/>
    <x v="5"/>
    <n v="94"/>
    <x v="10"/>
    <n v="271.74545454545455"/>
    <n v="0.32108925465007365"/>
    <x v="15"/>
    <n v="316.58333333333331"/>
    <n v="0.13398262700710717"/>
    <d v="2022-06-11T00:00:00"/>
    <x v="74"/>
    <x v="3"/>
    <x v="0"/>
    <x v="0"/>
    <x v="305"/>
  </r>
  <r>
    <n v="977"/>
    <n v="175"/>
    <n v="198"/>
    <n v="3"/>
    <n v="2970"/>
    <x v="279"/>
    <x v="3"/>
    <n v="331"/>
    <x v="4"/>
    <n v="250.48780487804879"/>
    <n v="-0.2095423563777995"/>
    <x v="75"/>
    <n v="208"/>
    <n v="-4.8076923076923128E-2"/>
    <d v="2022-09-09T00:00:00"/>
    <x v="528"/>
    <x v="0"/>
    <x v="1"/>
    <x v="1"/>
    <x v="113"/>
  </r>
  <r>
    <n v="978"/>
    <n v="236"/>
    <n v="363"/>
    <n v="4"/>
    <n v="7260"/>
    <x v="233"/>
    <x v="1"/>
    <n v="405"/>
    <x v="2"/>
    <n v="283.468085106383"/>
    <n v="0.28056743976581844"/>
    <x v="46"/>
    <n v="321.63636363636363"/>
    <n v="0.12860373092142452"/>
    <d v="2022-08-25T00:00:00"/>
    <x v="111"/>
    <x v="3"/>
    <x v="1"/>
    <x v="1"/>
    <x v="88"/>
  </r>
  <r>
    <n v="979"/>
    <n v="195"/>
    <n v="103"/>
    <n v="1"/>
    <n v="515"/>
    <x v="32"/>
    <x v="7"/>
    <n v="42"/>
    <x v="16"/>
    <n v="300.31818181818181"/>
    <n v="-0.65703042227940056"/>
    <x v="51"/>
    <n v="331.16666666666669"/>
    <n v="-0.68897835933568197"/>
    <d v="2022-08-10T00:00:00"/>
    <x v="529"/>
    <x v="4"/>
    <x v="1"/>
    <x v="0"/>
    <x v="62"/>
  </r>
  <r>
    <n v="980"/>
    <n v="364"/>
    <n v="401"/>
    <n v="2"/>
    <n v="4010"/>
    <x v="138"/>
    <x v="17"/>
    <n v="271"/>
    <x v="0"/>
    <n v="252.76271186440678"/>
    <n v="0.58646818212298002"/>
    <x v="45"/>
    <n v="293.41176470588238"/>
    <n v="0.36668003207698474"/>
    <d v="2022-11-27T00:00:00"/>
    <x v="240"/>
    <x v="1"/>
    <x v="1"/>
    <x v="1"/>
    <x v="235"/>
  </r>
  <r>
    <n v="981"/>
    <n v="347"/>
    <n v="139"/>
    <n v="1"/>
    <n v="695"/>
    <x v="356"/>
    <x v="13"/>
    <n v="56"/>
    <x v="3"/>
    <n v="265.47674418604652"/>
    <n v="-0.47641364811002584"/>
    <x v="16"/>
    <n v="276.67567567567568"/>
    <n v="-0.49760672071896062"/>
    <d v="2022-04-11T00:00:00"/>
    <x v="316"/>
    <x v="4"/>
    <x v="1"/>
    <x v="1"/>
    <x v="210"/>
  </r>
  <r>
    <n v="982"/>
    <n v="149"/>
    <n v="468"/>
    <n v="1"/>
    <n v="2340"/>
    <x v="288"/>
    <x v="2"/>
    <n v="427"/>
    <x v="17"/>
    <n v="267.85483870967744"/>
    <n v="0.74721502980670795"/>
    <x v="35"/>
    <n v="250.25925925925927"/>
    <n v="0.87006067781559859"/>
    <d v="2022-09-30T00:00:00"/>
    <x v="361"/>
    <x v="2"/>
    <x v="0"/>
    <x v="1"/>
    <x v="306"/>
  </r>
  <r>
    <n v="983"/>
    <n v="384"/>
    <n v="100"/>
    <n v="4"/>
    <n v="2000"/>
    <x v="356"/>
    <x v="3"/>
    <n v="323"/>
    <x v="0"/>
    <n v="252.76271186440678"/>
    <n v="-0.60437202440823445"/>
    <x v="11"/>
    <n v="240.26666666666668"/>
    <n v="-0.58379578246392905"/>
    <d v="2022-09-17T00:00:00"/>
    <x v="409"/>
    <x v="4"/>
    <x v="1"/>
    <x v="0"/>
    <x v="19"/>
  </r>
  <r>
    <n v="984"/>
    <n v="404"/>
    <n v="304"/>
    <n v="5"/>
    <n v="7600"/>
    <x v="370"/>
    <x v="3"/>
    <n v="17"/>
    <x v="9"/>
    <n v="263.25423728813558"/>
    <n v="0.15477723409734745"/>
    <x v="9"/>
    <n v="257.78260869565219"/>
    <n v="0.17928824422330902"/>
    <d v="2022-11-12T00:00:00"/>
    <x v="325"/>
    <x v="4"/>
    <x v="1"/>
    <x v="1"/>
    <x v="234"/>
  </r>
  <r>
    <n v="985"/>
    <n v="469"/>
    <n v="357"/>
    <n v="4"/>
    <n v="7140"/>
    <x v="288"/>
    <x v="16"/>
    <n v="165"/>
    <x v="0"/>
    <n v="252.76271186440678"/>
    <n v="0.41239187286260304"/>
    <x v="11"/>
    <n v="240.26666666666668"/>
    <n v="0.48584905660377342"/>
    <d v="2022-02-07T00:00:00"/>
    <x v="530"/>
    <x v="4"/>
    <x v="1"/>
    <x v="0"/>
    <x v="260"/>
  </r>
  <r>
    <n v="986"/>
    <n v="134"/>
    <n v="89"/>
    <n v="5"/>
    <n v="2225"/>
    <x v="172"/>
    <x v="19"/>
    <n v="403"/>
    <x v="6"/>
    <n v="258.5128205128205"/>
    <n v="-0.65572307081928183"/>
    <x v="6"/>
    <n v="260.64705882352939"/>
    <n v="-0.6585420898217107"/>
    <d v="2022-02-02T00:00:00"/>
    <x v="221"/>
    <x v="2"/>
    <x v="1"/>
    <x v="1"/>
    <x v="273"/>
  </r>
  <r>
    <n v="987"/>
    <n v="361"/>
    <n v="283"/>
    <n v="5"/>
    <n v="7075"/>
    <x v="13"/>
    <x v="0"/>
    <n v="274"/>
    <x v="10"/>
    <n v="271.74545454545455"/>
    <n v="4.141576341496056E-2"/>
    <x v="12"/>
    <n v="212.8125"/>
    <n v="0.32980910425844345"/>
    <d v="2022-02-15T00:00:00"/>
    <x v="351"/>
    <x v="2"/>
    <x v="1"/>
    <x v="0"/>
    <x v="89"/>
  </r>
  <r>
    <n v="988"/>
    <n v="110"/>
    <n v="280"/>
    <n v="3"/>
    <n v="4200"/>
    <x v="329"/>
    <x v="9"/>
    <n v="61"/>
    <x v="3"/>
    <n v="265.47674418604652"/>
    <n v="5.4706320353904658E-2"/>
    <x v="16"/>
    <n v="276.67567567567568"/>
    <n v="1.2015238839503839E-2"/>
    <d v="2022-07-27T00:00:00"/>
    <x v="99"/>
    <x v="4"/>
    <x v="1"/>
    <x v="1"/>
    <x v="113"/>
  </r>
  <r>
    <n v="989"/>
    <n v="280"/>
    <n v="459"/>
    <n v="4"/>
    <n v="9180"/>
    <x v="434"/>
    <x v="11"/>
    <n v="262"/>
    <x v="11"/>
    <n v="262.63492063492066"/>
    <n v="0.74767315363229758"/>
    <x v="21"/>
    <n v="238.72222222222223"/>
    <n v="0.92273679311147316"/>
    <d v="2022-08-05T00:00:00"/>
    <x v="30"/>
    <x v="4"/>
    <x v="1"/>
    <x v="0"/>
    <x v="60"/>
  </r>
  <r>
    <n v="990"/>
    <n v="43"/>
    <n v="244"/>
    <n v="4"/>
    <n v="4880"/>
    <x v="221"/>
    <x v="14"/>
    <n v="323"/>
    <x v="2"/>
    <n v="283.468085106383"/>
    <n v="-0.13923290550176393"/>
    <x v="31"/>
    <n v="323.07692307692309"/>
    <n v="-0.24476190476190485"/>
    <d v="2022-09-17T00:00:00"/>
    <x v="350"/>
    <x v="4"/>
    <x v="1"/>
    <x v="0"/>
    <x v="19"/>
  </r>
  <r>
    <n v="991"/>
    <n v="434"/>
    <n v="299"/>
    <n v="2"/>
    <n v="2990"/>
    <x v="389"/>
    <x v="15"/>
    <n v="481"/>
    <x v="11"/>
    <n v="262.63492063492066"/>
    <n v="0.13846246827027664"/>
    <x v="47"/>
    <n v="271"/>
    <n v="0.10332103321033204"/>
    <d v="2022-07-14T00:00:00"/>
    <x v="524"/>
    <x v="1"/>
    <x v="1"/>
    <x v="0"/>
    <x v="19"/>
  </r>
  <r>
    <n v="992"/>
    <n v="183"/>
    <n v="73"/>
    <n v="5"/>
    <n v="1825"/>
    <x v="321"/>
    <x v="13"/>
    <n v="478"/>
    <x v="17"/>
    <n v="267.85483870967744"/>
    <n v="-0.72746432227374003"/>
    <x v="35"/>
    <n v="250.25925925925927"/>
    <n v="-0.70830250110996007"/>
    <d v="2022-06-14T00:00:00"/>
    <x v="418"/>
    <x v="3"/>
    <x v="1"/>
    <x v="1"/>
    <x v="44"/>
  </r>
  <r>
    <n v="993"/>
    <n v="224"/>
    <n v="421"/>
    <n v="3"/>
    <n v="6315"/>
    <x v="411"/>
    <x v="11"/>
    <n v="497"/>
    <x v="14"/>
    <n v="273.72549019607845"/>
    <n v="0.53803724928366758"/>
    <x v="22"/>
    <n v="280.23809523809524"/>
    <n v="0.50229396771452839"/>
    <d v="2022-09-22T00:00:00"/>
    <x v="531"/>
    <x v="0"/>
    <x v="1"/>
    <x v="1"/>
    <x v="17"/>
  </r>
  <r>
    <n v="994"/>
    <n v="235"/>
    <n v="345"/>
    <n v="3"/>
    <n v="5175"/>
    <x v="316"/>
    <x v="0"/>
    <n v="406"/>
    <x v="16"/>
    <n v="300.31818181818181"/>
    <n v="0.14878159527773582"/>
    <x v="57"/>
    <n v="316.60000000000002"/>
    <n v="8.970309538850274E-2"/>
    <d v="2022-11-30T00:00:00"/>
    <x v="252"/>
    <x v="3"/>
    <x v="1"/>
    <x v="0"/>
    <x v="209"/>
  </r>
  <r>
    <n v="995"/>
    <n v="477"/>
    <n v="50"/>
    <n v="1"/>
    <n v="250"/>
    <x v="279"/>
    <x v="7"/>
    <n v="58"/>
    <x v="3"/>
    <n v="265.47674418604652"/>
    <n v="-0.81165958565108842"/>
    <x v="3"/>
    <n v="236.27586206896552"/>
    <n v="-0.78838295388207824"/>
    <d v="2022-03-08T00:00:00"/>
    <x v="261"/>
    <x v="1"/>
    <x v="1"/>
    <x v="1"/>
    <x v="198"/>
  </r>
  <r>
    <n v="996"/>
    <n v="242"/>
    <n v="441"/>
    <n v="1"/>
    <n v="2205"/>
    <x v="59"/>
    <x v="17"/>
    <n v="312"/>
    <x v="4"/>
    <n v="250.48780487804879"/>
    <n v="0.76056475170399218"/>
    <x v="25"/>
    <n v="303.8235294117647"/>
    <n v="0.45150048402710552"/>
    <d v="2022-11-21T00:00:00"/>
    <x v="532"/>
    <x v="2"/>
    <x v="1"/>
    <x v="0"/>
    <x v="167"/>
  </r>
  <r>
    <n v="997"/>
    <n v="423"/>
    <n v="187"/>
    <n v="5"/>
    <n v="4675"/>
    <x v="319"/>
    <x v="0"/>
    <n v="136"/>
    <x v="14"/>
    <n v="273.72549019607845"/>
    <n v="-0.31683381088825224"/>
    <x v="22"/>
    <n v="280.23809523809524"/>
    <n v="-0.33271028037383177"/>
    <d v="2022-10-26T00:00:00"/>
    <x v="421"/>
    <x v="3"/>
    <x v="1"/>
    <x v="0"/>
    <x v="93"/>
  </r>
  <r>
    <n v="998"/>
    <n v="414"/>
    <n v="170"/>
    <n v="1"/>
    <n v="850"/>
    <x v="435"/>
    <x v="4"/>
    <n v="328"/>
    <x v="12"/>
    <n v="274.16279069767444"/>
    <n v="-0.37993044363389605"/>
    <x v="18"/>
    <n v="253.6875"/>
    <n v="-0.32988420793298845"/>
    <d v="2022-01-07T00:00:00"/>
    <x v="533"/>
    <x v="2"/>
    <x v="1"/>
    <x v="0"/>
    <x v="56"/>
  </r>
  <r>
    <n v="999"/>
    <n v="110"/>
    <n v="114"/>
    <n v="3"/>
    <n v="1710"/>
    <x v="133"/>
    <x v="14"/>
    <n v="172"/>
    <x v="3"/>
    <n v="265.47674418604652"/>
    <n v="-0.57058385528448163"/>
    <x v="16"/>
    <n v="276.67567567567568"/>
    <n v="-0.58796522418677344"/>
    <d v="2022-06-25T00:00:00"/>
    <x v="329"/>
    <x v="2"/>
    <x v="1"/>
    <x v="1"/>
    <x v="131"/>
  </r>
  <r>
    <n v="1000"/>
    <n v="296"/>
    <n v="453"/>
    <n v="1"/>
    <n v="2265"/>
    <x v="176"/>
    <x v="7"/>
    <n v="167"/>
    <x v="18"/>
    <n v="255.11627906976744"/>
    <n v="0.7756608933454876"/>
    <x v="34"/>
    <n v="250.30769230769232"/>
    <n v="0.80977258758451121"/>
    <d v="2022-01-02T00:00:00"/>
    <x v="534"/>
    <x v="0"/>
    <x v="1"/>
    <x v="0"/>
    <x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34B49-4A69-4F97-921E-4D21A6A4DA82}" name="лайфтайм_клиента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9">
  <location ref="A3:B17" firstHeaderRow="1" firstDataRow="1" firstDataCol="1" rowPageCount="1" colPageCount="1"/>
  <pivotFields count="23">
    <pivotField showAll="0"/>
    <pivotField showAll="0"/>
    <pivotField showAll="0"/>
    <pivotField showAll="0"/>
    <pivotField numFmtId="3" showAll="0"/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showAll="0"/>
    <pivotField numFmtId="165" showAll="0"/>
    <pivotField numFmtId="9" showAll="0"/>
    <pivotField showAll="0"/>
    <pivotField numFmtId="167" showAll="0"/>
    <pivotField numFmtId="9" showAll="0"/>
    <pivotField numFmtId="14" showAll="0"/>
    <pivotField showAll="0"/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axis="axisRow"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9"/>
  </rowFields>
  <rowItems count="1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pageFields count="1">
    <pageField fld="17" hier="-1"/>
  </pageFields>
  <dataFields count="1">
    <dataField name="Сумма по полю ID уникальный" fld="17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41A40-59D0-4CC0-8E33-8C5C7C5F2D6C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13:B19" firstHeaderRow="1" firstDataRow="1" firstDataCol="1"/>
  <pivotFields count="23">
    <pivotField showAll="0"/>
    <pivotField showAll="0"/>
    <pivotField showAll="0"/>
    <pivotField showAll="0"/>
    <pivotField numFmtId="3" showAll="0"/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showAll="0"/>
    <pivotField numFmtId="165" showAll="0"/>
    <pivotField numFmtId="9" showAll="0"/>
    <pivotField showAll="0"/>
    <pivotField numFmtId="167" showAll="0"/>
    <pivotField numFmtId="9" showAll="0"/>
    <pivotField numFmtId="14" showAll="0"/>
    <pivotField showAll="0"/>
    <pivotField axis="axisRow" showAll="0" sortType="descending">
      <items count="7">
        <item x="1"/>
        <item x="2"/>
        <item x="4"/>
        <item x="0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Сумма по полю ID уникальный" fld="17" showDataAs="percentOfTotal" baseField="0" baseItem="0" numFmtId="9"/>
  </dataFields>
  <formats count="1">
    <format dxfId="10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BC12C-34BE-4F03-A8DA-AD1401804620}" name="география_клиентов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5">
  <location ref="A3:B8" firstHeaderRow="1" firstDataRow="1" firstDataCol="1"/>
  <pivotFields count="23">
    <pivotField showAll="0"/>
    <pivotField showAll="0"/>
    <pivotField showAll="0"/>
    <pivotField showAll="0"/>
    <pivotField numFmtId="3" showAll="0"/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/>
    <pivotField showAll="0"/>
    <pivotField showAll="0"/>
    <pivotField numFmtId="165" showAll="0"/>
    <pivotField numFmtId="9" showAll="0"/>
    <pivotField showAll="0"/>
    <pivotField numFmtId="167" showAll="0"/>
    <pivotField numFmtId="9" showAll="0"/>
    <pivotField numFmtId="14" showAll="0"/>
    <pivotField showAll="0"/>
    <pivotField axis="axisRow" showAll="0" sortType="descending">
      <items count="7">
        <item x="1"/>
        <item x="2"/>
        <item x="4"/>
        <item x="0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6"/>
  </rowFields>
  <rowItems count="5">
    <i>
      <x v="1"/>
    </i>
    <i>
      <x v="3"/>
    </i>
    <i>
      <x v="4"/>
    </i>
    <i>
      <x v="2"/>
    </i>
    <i>
      <x/>
    </i>
  </rowItems>
  <colItems count="1">
    <i/>
  </colItems>
  <dataFields count="1">
    <dataField name="Сумма по полю ID уникальный" fld="17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продажи_магазинов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1" rowHeaderCaption="Период">
  <location ref="A3:B23" firstHeaderRow="1" firstDataRow="1" firstDataCol="1" rowPageCount="1" colPageCount="1"/>
  <pivotFields count="23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Page" multipleItemSelectionAllowed="1"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 defaultSubtota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 defaultSubtotal="0"/>
    <pivotField numFmtId="9" showAll="0"/>
    <pivotField numFmtId="14" showAll="0"/>
    <pivotField showAll="0"/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2"/>
    <field x="20"/>
  </rowFields>
  <rowItems count="2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6" hier="-1"/>
  </pageFields>
  <dataFields count="1">
    <dataField name="Сумма по полю сумма чека" fld="4" baseField="0" baseItem="0" numFmtId="166"/>
  </dataFields>
  <formats count="4">
    <format dxfId="104">
      <pivotArea collapsedLevelsAreSubtotals="1" fieldPosition="0">
        <references count="2">
          <reference field="20" count="1">
            <x v="10"/>
          </reference>
          <reference field="22" count="1" selected="0">
            <x v="1"/>
          </reference>
        </references>
      </pivotArea>
    </format>
    <format dxfId="103">
      <pivotArea outline="0" collapsedLevelsAreSubtotals="1" fieldPosition="0"/>
    </format>
    <format dxfId="102">
      <pivotArea collapsedLevelsAreSubtotals="1" fieldPosition="0">
        <references count="2">
          <reference field="20" count="1">
            <x v="6"/>
          </reference>
          <reference field="22" count="1" selected="0">
            <x v="1"/>
          </reference>
        </references>
      </pivotArea>
    </format>
    <format dxfId="101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3">
  <location ref="A32:B34" firstHeaderRow="1" firstDataRow="1" firstDataCol="1" rowPageCount="1" colPageCount="1"/>
  <pivotFields count="23">
    <pivotField showAll="0"/>
    <pivotField showAll="0"/>
    <pivotField showAll="0"/>
    <pivotField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Page" multipleItemSelectionAllowed="1" showAll="0">
      <items count="21">
        <item h="1" x="19"/>
        <item h="1" x="15"/>
        <item h="1" x="18"/>
        <item h="1" x="12"/>
        <item h="1" x="0"/>
        <item h="1" x="3"/>
        <item h="1" x="9"/>
        <item h="1" x="2"/>
        <item h="1" x="1"/>
        <item h="1" x="5"/>
        <item h="1" x="10"/>
        <item x="16"/>
        <item h="1" x="11"/>
        <item h="1" x="6"/>
        <item h="1" x="7"/>
        <item h="1" x="14"/>
        <item h="1" x="8"/>
        <item h="1" x="13"/>
        <item h="1" x="17"/>
        <item h="1" x="4"/>
        <item t="default"/>
      </items>
    </pivotField>
    <pivotField showAll="0"/>
    <pivotField showAll="0"/>
    <pivotField numFmtId="165" showAll="0"/>
    <pivotField dataField="1" numFmtId="9" showAll="0" defaultSubtotal="0"/>
    <pivotField showAll="0"/>
    <pivotField numFmtId="167" showAll="0" defaultSubtotal="0"/>
    <pivotField numFmtId="9" showAll="0"/>
    <pivotField numFmtId="14"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4">
        <item x="0"/>
        <item x="1"/>
        <item x="2"/>
        <item x="3"/>
      </items>
    </pivotField>
  </pivotFields>
  <rowFields count="1">
    <field x="22"/>
  </rowFields>
  <rowItems count="2">
    <i>
      <x v="1"/>
    </i>
    <i>
      <x v="2"/>
    </i>
  </rowItems>
  <colItems count="1">
    <i/>
  </colItems>
  <pageFields count="1">
    <pageField fld="6" hier="-1"/>
  </pageFields>
  <dataFields count="1">
    <dataField name="Среднее по полю Выгода для клиента" fld="10" subtotal="average" baseField="14" baseItem="1" numFmtId="9"/>
  </dataFields>
  <formats count="6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6" type="button" dataOnly="0" labelOnly="1" outline="0" axis="axisPage" fieldPosition="0"/>
    </format>
    <format dxfId="93">
      <pivotArea dataOnly="0" labelOnly="1" fieldPosition="0">
        <references count="1">
          <reference field="6" count="0"/>
        </references>
      </pivotArea>
    </format>
    <format dxfId="92">
      <pivotArea dataOnly="0" labelOnly="1" outline="0" axis="axisValues" fieldPosition="0"/>
    </format>
    <format dxfId="9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Период">
  <location ref="A3:B21" firstHeaderRow="1" firstDataRow="1" firstDataCol="1" rowPageCount="1" colPageCount="1"/>
  <pivotFields count="23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Page" multipleItemSelectionAllowed="1" showAll="0">
      <items count="21">
        <item h="1" x="19"/>
        <item h="1" x="15"/>
        <item h="1" x="18"/>
        <item h="1" x="12"/>
        <item h="1" x="0"/>
        <item h="1" x="3"/>
        <item h="1" x="9"/>
        <item h="1" x="2"/>
        <item h="1" x="1"/>
        <item h="1" x="5"/>
        <item h="1" x="10"/>
        <item x="16"/>
        <item h="1" x="11"/>
        <item h="1" x="6"/>
        <item h="1" x="7"/>
        <item h="1" x="14"/>
        <item h="1" x="8"/>
        <item h="1" x="13"/>
        <item h="1" x="17"/>
        <item h="1" x="4"/>
        <item t="default"/>
      </items>
    </pivotField>
    <pivotField showAll="0"/>
    <pivotField showAll="0"/>
    <pivotField numFmtId="165" showAll="0"/>
    <pivotField numFmtId="9" showAll="0" defaultSubtotal="0"/>
    <pivotField showAll="0"/>
    <pivotField numFmtId="167" showAll="0" defaultSubtotal="0"/>
    <pivotField numFmtId="9" showAll="0"/>
    <pivotField numFmtId="14" showAll="0"/>
    <pivotField showAll="0"/>
    <pivotField showAll="0"/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22"/>
    <field x="20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pageFields count="1">
    <pageField fld="6" hier="-1"/>
  </pageFields>
  <dataFields count="1">
    <dataField name="Сумма по полю сумма чека" fld="4" baseField="0" baseItem="0" numFmtId="166"/>
  </dataFields>
  <formats count="4">
    <format dxfId="100">
      <pivotArea collapsedLevelsAreSubtotals="1" fieldPosition="0">
        <references count="2">
          <reference field="20" count="1">
            <x v="10"/>
          </reference>
          <reference field="22" count="1" selected="0">
            <x v="1"/>
          </reference>
        </references>
      </pivotArea>
    </format>
    <format dxfId="99">
      <pivotArea outline="0" collapsedLevelsAreSubtotals="1" fieldPosition="0"/>
    </format>
    <format dxfId="98">
      <pivotArea collapsedLevelsAreSubtotals="1" fieldPosition="0">
        <references count="2">
          <reference field="20" count="1">
            <x v="6"/>
          </reference>
          <reference field="22" count="1" selected="0">
            <x v="1"/>
          </reference>
        </references>
      </pivotArea>
    </format>
    <format dxfId="9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выгода_клиентам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10">
  <location ref="A3:B23" firstHeaderRow="1" firstDataRow="1" firstDataCol="1"/>
  <pivotFields count="23">
    <pivotField showAll="0"/>
    <pivotField showAll="0"/>
    <pivotField showAll="0"/>
    <pivotField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dataField="1" numFmtId="9" showAll="0" defaultSubtota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 defaultSubtotal="0"/>
    <pivotField numFmtId="9" showAll="0"/>
    <pivotField numFmtId="14" showAll="0"/>
    <pivotField showAll="0"/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0">
    <i>
      <x v="10"/>
    </i>
    <i>
      <x v="18"/>
    </i>
    <i>
      <x v="7"/>
    </i>
    <i>
      <x v="3"/>
    </i>
    <i>
      <x v="12"/>
    </i>
    <i>
      <x/>
    </i>
    <i>
      <x v="14"/>
    </i>
    <i>
      <x v="13"/>
    </i>
    <i>
      <x v="9"/>
    </i>
    <i>
      <x v="1"/>
    </i>
    <i>
      <x v="4"/>
    </i>
    <i>
      <x v="8"/>
    </i>
    <i>
      <x v="2"/>
    </i>
    <i>
      <x v="6"/>
    </i>
    <i>
      <x v="11"/>
    </i>
    <i>
      <x v="15"/>
    </i>
    <i>
      <x v="16"/>
    </i>
    <i>
      <x v="5"/>
    </i>
    <i>
      <x v="19"/>
    </i>
    <i>
      <x v="17"/>
    </i>
  </rowItems>
  <colItems count="1">
    <i/>
  </colItems>
  <dataFields count="1">
    <dataField name="Среднее по полю Выгода для клиента" fld="10" subtotal="average" baseField="6" baseItem="0" numFmtId="9"/>
  </dataFields>
  <formats count="6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6" type="button" dataOnly="0" labelOnly="1" outline="0" axis="axisRow" fieldPosition="0"/>
    </format>
    <format dxfId="87">
      <pivotArea dataOnly="0" labelOnly="1" fieldPosition="0">
        <references count="1">
          <reference field="6" count="0"/>
        </references>
      </pivotArea>
    </format>
    <format dxfId="86">
      <pivotArea dataOnly="0" labelOnly="1" outline="0" axis="axisValues" fieldPosition="0"/>
    </format>
    <format dxfId="85">
      <pivotArea outline="0" collapsedLevelsAreSubtotals="1" fieldPosition="0"/>
    </format>
  </format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5000000}" name="цены_по_поставщ_внутри_кат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 chartFormat="6" rowHeaderCaption="Поставщик">
  <location ref="A3:B104" firstHeaderRow="1" firstDataRow="1" firstDataCol="1"/>
  <pivotFields count="23">
    <pivotField showAll="0"/>
    <pivotField showAll="0"/>
    <pivotField showAll="0"/>
    <pivotField showAll="0"/>
    <pivotField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axis="axisRow" multipleItemSelectionAllowed="1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axis="axisRow" showAll="0" sortType="descending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7" showAll="0"/>
    <pivotField numFmtId="9" showAll="0"/>
    <pivotField numFmtId="14" showAll="0"/>
    <pivotField showAll="0"/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2">
    <field x="8"/>
    <field x="11"/>
  </rowFields>
  <rowItems count="101">
    <i>
      <x v="17"/>
    </i>
    <i r="1">
      <x v="31"/>
    </i>
    <i r="1">
      <x v="52"/>
    </i>
    <i r="1">
      <x v="69"/>
    </i>
    <i r="1">
      <x v="25"/>
    </i>
    <i>
      <x v="6"/>
    </i>
    <i r="1">
      <x v="19"/>
    </i>
    <i r="1">
      <x v="46"/>
    </i>
    <i r="1">
      <x v="27"/>
    </i>
    <i r="1">
      <x v="23"/>
    </i>
    <i>
      <x v="1"/>
    </i>
    <i r="1">
      <x v="70"/>
    </i>
    <i r="1">
      <x v="28"/>
    </i>
    <i r="1">
      <x v="42"/>
    </i>
    <i r="1">
      <x v="37"/>
    </i>
    <i>
      <x v="9"/>
    </i>
    <i r="1">
      <x v="33"/>
    </i>
    <i r="1">
      <x v="44"/>
    </i>
    <i r="1">
      <x v="20"/>
    </i>
    <i r="1">
      <x v="76"/>
    </i>
    <i>
      <x v="16"/>
    </i>
    <i r="1">
      <x v="1"/>
    </i>
    <i r="1">
      <x v="68"/>
    </i>
    <i r="1">
      <x v="66"/>
    </i>
    <i r="1">
      <x v="73"/>
    </i>
    <i>
      <x v="19"/>
    </i>
    <i r="1">
      <x v="5"/>
    </i>
    <i r="1">
      <x v="9"/>
    </i>
    <i r="1">
      <x/>
    </i>
    <i r="1">
      <x v="50"/>
    </i>
    <i>
      <x v="7"/>
    </i>
    <i r="1">
      <x v="38"/>
    </i>
    <i r="1">
      <x v="13"/>
    </i>
    <i r="1">
      <x v="62"/>
    </i>
    <i r="1">
      <x v="54"/>
    </i>
    <i>
      <x v="18"/>
    </i>
    <i r="1">
      <x v="2"/>
    </i>
    <i r="1">
      <x v="64"/>
    </i>
    <i r="1">
      <x v="6"/>
    </i>
    <i r="1">
      <x v="16"/>
    </i>
    <i>
      <x v="13"/>
    </i>
    <i r="1">
      <x v="67"/>
    </i>
    <i r="1">
      <x v="10"/>
    </i>
    <i r="1">
      <x v="55"/>
    </i>
    <i r="1">
      <x v="26"/>
    </i>
    <i>
      <x v="2"/>
    </i>
    <i r="1">
      <x v="49"/>
    </i>
    <i r="1">
      <x v="34"/>
    </i>
    <i r="1">
      <x v="59"/>
    </i>
    <i r="1">
      <x v="17"/>
    </i>
    <i>
      <x v="5"/>
    </i>
    <i r="1">
      <x v="35"/>
    </i>
    <i r="1">
      <x v="43"/>
    </i>
    <i r="1">
      <x v="22"/>
    </i>
    <i r="1">
      <x v="47"/>
    </i>
    <i>
      <x v="14"/>
    </i>
    <i r="1">
      <x v="74"/>
    </i>
    <i r="1">
      <x v="56"/>
    </i>
    <i r="1">
      <x v="30"/>
    </i>
    <i r="1">
      <x v="60"/>
    </i>
    <i>
      <x/>
    </i>
    <i r="1">
      <x v="15"/>
    </i>
    <i r="1">
      <x v="72"/>
    </i>
    <i r="1">
      <x v="48"/>
    </i>
    <i r="1">
      <x v="75"/>
    </i>
    <i>
      <x v="15"/>
    </i>
    <i r="1">
      <x v="32"/>
    </i>
    <i r="1">
      <x v="63"/>
    </i>
    <i r="1">
      <x v="8"/>
    </i>
    <i r="1">
      <x v="3"/>
    </i>
    <i>
      <x v="11"/>
    </i>
    <i r="1">
      <x v="53"/>
    </i>
    <i r="1">
      <x v="18"/>
    </i>
    <i r="1">
      <x v="36"/>
    </i>
    <i r="1">
      <x v="57"/>
    </i>
    <i>
      <x v="10"/>
    </i>
    <i r="1">
      <x v="12"/>
    </i>
    <i r="1">
      <x v="21"/>
    </i>
    <i r="1">
      <x v="40"/>
    </i>
    <i r="1">
      <x v="39"/>
    </i>
    <i>
      <x v="4"/>
    </i>
    <i r="1">
      <x v="40"/>
    </i>
    <i r="1">
      <x v="77"/>
    </i>
    <i r="1">
      <x v="65"/>
    </i>
    <i r="1">
      <x v="39"/>
    </i>
    <i>
      <x v="12"/>
    </i>
    <i r="1">
      <x v="51"/>
    </i>
    <i r="1">
      <x v="45"/>
    </i>
    <i r="1">
      <x v="61"/>
    </i>
    <i r="1">
      <x v="14"/>
    </i>
    <i>
      <x v="8"/>
    </i>
    <i r="1">
      <x v="41"/>
    </i>
    <i r="1">
      <x v="24"/>
    </i>
    <i r="1">
      <x v="58"/>
    </i>
    <i r="1">
      <x v="29"/>
    </i>
    <i>
      <x v="3"/>
    </i>
    <i r="1">
      <x v="4"/>
    </i>
    <i r="1">
      <x v="7"/>
    </i>
    <i r="1">
      <x v="71"/>
    </i>
    <i r="1">
      <x v="11"/>
    </i>
    <i t="grand">
      <x/>
    </i>
  </rowItems>
  <colItems count="1">
    <i/>
  </colItems>
  <dataFields count="1">
    <dataField name=" Средняя цена в категории за шт " fld="12" subtotal="average" baseField="11" baseItem="2" numFmtId="167"/>
  </dataFields>
  <formats count="2">
    <format dxfId="84">
      <pivotArea collapsedLevelsAreSubtotals="1" fieldPosition="0">
        <references count="1">
          <reference field="11" count="1">
            <x v="0"/>
          </reference>
        </references>
      </pivotArea>
    </format>
    <format dxfId="8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gmv_категории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 chartFormat="5" rowHeaderCaption="Категория">
  <location ref="A3:B24" firstHeaderRow="1" firstDataRow="1" firstDataCol="1"/>
  <pivotFields count="23">
    <pivotField showAll="0"/>
    <pivotField showAll="0"/>
    <pivotField showAll="0"/>
    <pivotField showAll="0"/>
    <pivotField dataField="1" numFmtId="3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/>
    <pivotField numFmtId="9" showAll="0"/>
    <pivotField numFmtId="14" showAll="0"/>
    <pivotField showAll="0"/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1">
    <i>
      <x v="5"/>
    </i>
    <i>
      <x v="2"/>
    </i>
    <i>
      <x v="7"/>
    </i>
    <i>
      <x v="13"/>
    </i>
    <i>
      <x v="19"/>
    </i>
    <i>
      <x v="14"/>
    </i>
    <i>
      <x v="15"/>
    </i>
    <i>
      <x v="12"/>
    </i>
    <i>
      <x v="18"/>
    </i>
    <i>
      <x v="17"/>
    </i>
    <i>
      <x v="6"/>
    </i>
    <i>
      <x/>
    </i>
    <i>
      <x v="9"/>
    </i>
    <i>
      <x v="16"/>
    </i>
    <i>
      <x v="11"/>
    </i>
    <i>
      <x v="8"/>
    </i>
    <i>
      <x v="3"/>
    </i>
    <i>
      <x v="4"/>
    </i>
    <i>
      <x v="10"/>
    </i>
    <i>
      <x v="1"/>
    </i>
    <i t="grand">
      <x/>
    </i>
  </rowItems>
  <colItems count="1">
    <i/>
  </colItems>
  <dataFields count="1">
    <dataField name="Сумма по полю сумма чека" fld="4" baseField="0" baseItem="0" numFmtId="166"/>
  </dataFields>
  <formats count="1">
    <format dxfId="8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gmv_магазины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4" rowHeaderCaption="Продуктовая сеть">
  <location ref="A3:B24" firstHeaderRow="1" firstDataRow="1" firstDataCol="1"/>
  <pivotFields count="23">
    <pivotField showAll="0"/>
    <pivotField showAll="0"/>
    <pivotField showAll="0"/>
    <pivotField showAll="0"/>
    <pivotField dataField="1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axis="axisRow" showAll="0" sortType="descending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 defaultSubtota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 defaultSubtotal="0"/>
    <pivotField numFmtId="9" showAll="0"/>
    <pivotField numFmtId="14" showAll="0"/>
    <pivotField showAll="0"/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21">
    <i>
      <x v="15"/>
    </i>
    <i>
      <x v="6"/>
    </i>
    <i>
      <x v="14"/>
    </i>
    <i>
      <x v="19"/>
    </i>
    <i>
      <x v="5"/>
    </i>
    <i>
      <x v="7"/>
    </i>
    <i>
      <x v="1"/>
    </i>
    <i>
      <x v="18"/>
    </i>
    <i>
      <x v="4"/>
    </i>
    <i>
      <x v="13"/>
    </i>
    <i>
      <x v="12"/>
    </i>
    <i>
      <x v="10"/>
    </i>
    <i>
      <x v="11"/>
    </i>
    <i>
      <x/>
    </i>
    <i>
      <x v="16"/>
    </i>
    <i>
      <x v="9"/>
    </i>
    <i>
      <x v="8"/>
    </i>
    <i>
      <x v="2"/>
    </i>
    <i>
      <x v="17"/>
    </i>
    <i>
      <x v="3"/>
    </i>
    <i t="grand">
      <x/>
    </i>
  </rowItems>
  <colItems count="1">
    <i/>
  </colItems>
  <dataFields count="1">
    <dataField name="GMV" fld="4" baseField="6" baseItem="4" numFmtId="166"/>
  </dataFields>
  <formats count="3">
    <format dxfId="81">
      <pivotArea dataOnly="0" labelOnly="1" outline="0" axis="axisValues" fieldPosition="0"/>
    </format>
    <format dxfId="80">
      <pivotArea field="6" type="button" dataOnly="0" labelOnly="1" outline="0" axis="axisRow" fieldPosition="0"/>
    </format>
    <format dxfId="79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6000000}" name="gmv_поставщики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 chartFormat="6">
  <location ref="A3:B82" firstHeaderRow="1" firstDataRow="1" firstDataCol="1" rowPageCount="1" colPageCount="1"/>
  <pivotFields count="23">
    <pivotField showAll="0"/>
    <pivotField showAll="0"/>
    <pivotField showAll="0"/>
    <pivotField showAll="0"/>
    <pivotField dataField="1" numFmtId="3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axis="axisPage" multipleItemSelectionAllowed="1"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/>
    <pivotField axis="axisRow" showAll="0" sortType="descending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7" showAll="0"/>
    <pivotField numFmtId="9" showAll="0"/>
    <pivotField numFmtId="14" showAll="0"/>
    <pivotField showAll="0"/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1"/>
  </rowFields>
  <rowItems count="79">
    <i>
      <x v="43"/>
    </i>
    <i>
      <x v="67"/>
    </i>
    <i>
      <x v="63"/>
    </i>
    <i>
      <x v="2"/>
    </i>
    <i>
      <x v="17"/>
    </i>
    <i>
      <x v="22"/>
    </i>
    <i>
      <x v="27"/>
    </i>
    <i>
      <x v="9"/>
    </i>
    <i>
      <x v="21"/>
    </i>
    <i>
      <x v="49"/>
    </i>
    <i>
      <x v="4"/>
    </i>
    <i>
      <x v="41"/>
    </i>
    <i>
      <x v="36"/>
    </i>
    <i>
      <x v="62"/>
    </i>
    <i>
      <x v="45"/>
    </i>
    <i>
      <x v="48"/>
    </i>
    <i>
      <x v="6"/>
    </i>
    <i>
      <x v="51"/>
    </i>
    <i>
      <x v="69"/>
    </i>
    <i>
      <x v="38"/>
    </i>
    <i>
      <x v="75"/>
    </i>
    <i>
      <x v="30"/>
    </i>
    <i>
      <x v="52"/>
    </i>
    <i>
      <x v="20"/>
    </i>
    <i>
      <x v="8"/>
    </i>
    <i>
      <x v="61"/>
    </i>
    <i>
      <x v="74"/>
    </i>
    <i>
      <x v="19"/>
    </i>
    <i>
      <x v="73"/>
    </i>
    <i>
      <x v="56"/>
    </i>
    <i>
      <x v="46"/>
    </i>
    <i>
      <x v="66"/>
    </i>
    <i>
      <x v="31"/>
    </i>
    <i>
      <x v="39"/>
    </i>
    <i>
      <x v="54"/>
    </i>
    <i>
      <x v="44"/>
    </i>
    <i>
      <x v="13"/>
    </i>
    <i>
      <x v="33"/>
    </i>
    <i>
      <x v="42"/>
    </i>
    <i>
      <x v="35"/>
    </i>
    <i>
      <x/>
    </i>
    <i>
      <x v="60"/>
    </i>
    <i>
      <x v="26"/>
    </i>
    <i>
      <x v="28"/>
    </i>
    <i>
      <x v="50"/>
    </i>
    <i>
      <x v="5"/>
    </i>
    <i>
      <x v="72"/>
    </i>
    <i>
      <x v="65"/>
    </i>
    <i>
      <x v="55"/>
    </i>
    <i>
      <x v="77"/>
    </i>
    <i>
      <x v="47"/>
    </i>
    <i>
      <x v="76"/>
    </i>
    <i>
      <x v="18"/>
    </i>
    <i>
      <x v="24"/>
    </i>
    <i>
      <x v="71"/>
    </i>
    <i>
      <x v="58"/>
    </i>
    <i>
      <x v="7"/>
    </i>
    <i>
      <x v="15"/>
    </i>
    <i>
      <x v="32"/>
    </i>
    <i>
      <x v="1"/>
    </i>
    <i>
      <x v="34"/>
    </i>
    <i>
      <x v="25"/>
    </i>
    <i>
      <x v="16"/>
    </i>
    <i>
      <x v="12"/>
    </i>
    <i>
      <x v="68"/>
    </i>
    <i>
      <x v="57"/>
    </i>
    <i>
      <x v="59"/>
    </i>
    <i>
      <x v="40"/>
    </i>
    <i>
      <x v="14"/>
    </i>
    <i>
      <x v="10"/>
    </i>
    <i>
      <x v="53"/>
    </i>
    <i>
      <x v="70"/>
    </i>
    <i>
      <x v="64"/>
    </i>
    <i>
      <x v="29"/>
    </i>
    <i>
      <x v="3"/>
    </i>
    <i>
      <x v="11"/>
    </i>
    <i>
      <x v="23"/>
    </i>
    <i>
      <x v="37"/>
    </i>
    <i t="grand">
      <x/>
    </i>
  </rowItems>
  <colItems count="1">
    <i/>
  </colItems>
  <pageFields count="1">
    <pageField fld="8" hier="-1"/>
  </pageFields>
  <dataFields count="1">
    <dataField name="Сумма по полю сумма чека" fld="4" baseField="0" baseItem="0" numFmtId="166"/>
  </dataFields>
  <formats count="72">
    <format dxfId="78">
      <pivotArea collapsedLevelsAreSubtotals="1" fieldPosition="0">
        <references count="1">
          <reference field="8" count="1">
            <x v="0"/>
          </reference>
        </references>
      </pivotArea>
    </format>
    <format dxfId="77">
      <pivotArea collapsedLevelsAreSubtotals="1" fieldPosition="0">
        <references count="1">
          <reference field="8" count="1">
            <x v="1"/>
          </reference>
        </references>
      </pivotArea>
    </format>
    <format dxfId="76">
      <pivotArea collapsedLevelsAreSubtotals="1" fieldPosition="0">
        <references count="1">
          <reference field="8" count="1">
            <x v="2"/>
          </reference>
        </references>
      </pivotArea>
    </format>
    <format dxfId="75">
      <pivotArea collapsedLevelsAreSubtotals="1" fieldPosition="0">
        <references count="1">
          <reference field="8" count="1">
            <x v="3"/>
          </reference>
        </references>
      </pivotArea>
    </format>
    <format dxfId="74">
      <pivotArea collapsedLevelsAreSubtotals="1" fieldPosition="0">
        <references count="1">
          <reference field="8" count="1">
            <x v="4"/>
          </reference>
        </references>
      </pivotArea>
    </format>
    <format dxfId="73">
      <pivotArea collapsedLevelsAreSubtotals="1" fieldPosition="0">
        <references count="1">
          <reference field="8" count="1">
            <x v="5"/>
          </reference>
        </references>
      </pivotArea>
    </format>
    <format dxfId="72">
      <pivotArea collapsedLevelsAreSubtotals="1" fieldPosition="0">
        <references count="1">
          <reference field="8" count="1">
            <x v="6"/>
          </reference>
        </references>
      </pivotArea>
    </format>
    <format dxfId="71">
      <pivotArea collapsedLevelsAreSubtotals="1" fieldPosition="0">
        <references count="1">
          <reference field="8" count="1">
            <x v="7"/>
          </reference>
        </references>
      </pivotArea>
    </format>
    <format dxfId="70">
      <pivotArea collapsedLevelsAreSubtotals="1" fieldPosition="0">
        <references count="1">
          <reference field="8" count="1">
            <x v="8"/>
          </reference>
        </references>
      </pivotArea>
    </format>
    <format dxfId="69">
      <pivotArea collapsedLevelsAreSubtotals="1" fieldPosition="0">
        <references count="1">
          <reference field="8" count="1">
            <x v="9"/>
          </reference>
        </references>
      </pivotArea>
    </format>
    <format dxfId="68">
      <pivotArea collapsedLevelsAreSubtotals="1" fieldPosition="0">
        <references count="1">
          <reference field="8" count="1">
            <x v="10"/>
          </reference>
        </references>
      </pivotArea>
    </format>
    <format dxfId="67">
      <pivotArea collapsedLevelsAreSubtotals="1" fieldPosition="0">
        <references count="1">
          <reference field="8" count="1">
            <x v="11"/>
          </reference>
        </references>
      </pivotArea>
    </format>
    <format dxfId="66">
      <pivotArea collapsedLevelsAreSubtotals="1" fieldPosition="0">
        <references count="1">
          <reference field="8" count="1">
            <x v="12"/>
          </reference>
        </references>
      </pivotArea>
    </format>
    <format dxfId="65">
      <pivotArea collapsedLevelsAreSubtotals="1" fieldPosition="0">
        <references count="1">
          <reference field="8" count="1">
            <x v="13"/>
          </reference>
        </references>
      </pivotArea>
    </format>
    <format dxfId="64">
      <pivotArea collapsedLevelsAreSubtotals="1" fieldPosition="0">
        <references count="1">
          <reference field="8" count="1">
            <x v="14"/>
          </reference>
        </references>
      </pivotArea>
    </format>
    <format dxfId="63">
      <pivotArea collapsedLevelsAreSubtotals="1" fieldPosition="0">
        <references count="1">
          <reference field="8" count="1">
            <x v="15"/>
          </reference>
        </references>
      </pivotArea>
    </format>
    <format dxfId="62">
      <pivotArea collapsedLevelsAreSubtotals="1" fieldPosition="0">
        <references count="1">
          <reference field="8" count="1">
            <x v="16"/>
          </reference>
        </references>
      </pivotArea>
    </format>
    <format dxfId="61">
      <pivotArea collapsedLevelsAreSubtotals="1" fieldPosition="0">
        <references count="1">
          <reference field="8" count="1">
            <x v="17"/>
          </reference>
        </references>
      </pivotArea>
    </format>
    <format dxfId="60">
      <pivotArea collapsedLevelsAreSubtotals="1" fieldPosition="0">
        <references count="1">
          <reference field="8" count="1">
            <x v="18"/>
          </reference>
        </references>
      </pivotArea>
    </format>
    <format dxfId="59">
      <pivotArea collapsedLevelsAreSubtotals="1" fieldPosition="0">
        <references count="1">
          <reference field="8" count="1">
            <x v="19"/>
          </reference>
        </references>
      </pivotArea>
    </format>
    <format dxfId="58">
      <pivotArea collapsedLevelsAreSubtotals="1" fieldPosition="0">
        <references count="2">
          <reference field="8" count="1" selected="0">
            <x v="19"/>
          </reference>
          <reference field="11" count="3">
            <x v="0"/>
            <x v="5"/>
            <x v="9"/>
          </reference>
        </references>
      </pivotArea>
    </format>
    <format dxfId="57">
      <pivotArea collapsedLevelsAreSubtotals="1" fieldPosition="0">
        <references count="2">
          <reference field="8" count="1">
            <x v="19"/>
          </reference>
          <reference field="11" count="1" selected="0">
            <x v="0"/>
          </reference>
        </references>
      </pivotArea>
    </format>
    <format dxfId="56">
      <pivotArea collapsedLevelsAreSubtotals="1" fieldPosition="0">
        <references count="2">
          <reference field="8" count="1">
            <x v="16"/>
          </reference>
          <reference field="11" count="1" selected="0">
            <x v="1"/>
          </reference>
        </references>
      </pivotArea>
    </format>
    <format dxfId="55">
      <pivotArea collapsedLevelsAreSubtotals="1" fieldPosition="0">
        <references count="2">
          <reference field="8" count="1">
            <x v="18"/>
          </reference>
          <reference field="11" count="1" selected="0">
            <x v="2"/>
          </reference>
        </references>
      </pivotArea>
    </format>
    <format dxfId="54">
      <pivotArea collapsedLevelsAreSubtotals="1" fieldPosition="0">
        <references count="2">
          <reference field="8" count="1">
            <x v="15"/>
          </reference>
          <reference field="11" count="1" selected="0">
            <x v="3"/>
          </reference>
        </references>
      </pivotArea>
    </format>
    <format dxfId="53">
      <pivotArea collapsedLevelsAreSubtotals="1" fieldPosition="0">
        <references count="2">
          <reference field="8" count="1">
            <x v="3"/>
          </reference>
          <reference field="11" count="1" selected="0">
            <x v="4"/>
          </reference>
        </references>
      </pivotArea>
    </format>
    <format dxfId="52">
      <pivotArea collapsedLevelsAreSubtotals="1" fieldPosition="0">
        <references count="2">
          <reference field="8" count="1">
            <x v="19"/>
          </reference>
          <reference field="11" count="1" selected="0">
            <x v="5"/>
          </reference>
        </references>
      </pivotArea>
    </format>
    <format dxfId="51">
      <pivotArea collapsedLevelsAreSubtotals="1" fieldPosition="0">
        <references count="2">
          <reference field="8" count="1">
            <x v="18"/>
          </reference>
          <reference field="11" count="1" selected="0">
            <x v="6"/>
          </reference>
        </references>
      </pivotArea>
    </format>
    <format dxfId="50">
      <pivotArea collapsedLevelsAreSubtotals="1" fieldPosition="0">
        <references count="2">
          <reference field="8" count="1">
            <x v="3"/>
          </reference>
          <reference field="11" count="1" selected="0">
            <x v="7"/>
          </reference>
        </references>
      </pivotArea>
    </format>
    <format dxfId="49">
      <pivotArea collapsedLevelsAreSubtotals="1" fieldPosition="0">
        <references count="2">
          <reference field="8" count="1">
            <x v="15"/>
          </reference>
          <reference field="11" count="1" selected="0">
            <x v="8"/>
          </reference>
        </references>
      </pivotArea>
    </format>
    <format dxfId="48">
      <pivotArea collapsedLevelsAreSubtotals="1" fieldPosition="0">
        <references count="2">
          <reference field="8" count="1">
            <x v="19"/>
          </reference>
          <reference field="11" count="1" selected="0">
            <x v="9"/>
          </reference>
        </references>
      </pivotArea>
    </format>
    <format dxfId="47">
      <pivotArea collapsedLevelsAreSubtotals="1" fieldPosition="0">
        <references count="2">
          <reference field="8" count="1">
            <x v="13"/>
          </reference>
          <reference field="11" count="1" selected="0">
            <x v="10"/>
          </reference>
        </references>
      </pivotArea>
    </format>
    <format dxfId="46">
      <pivotArea collapsedLevelsAreSubtotals="1" fieldPosition="0">
        <references count="2">
          <reference field="8" count="1">
            <x v="3"/>
          </reference>
          <reference field="11" count="1" selected="0">
            <x v="11"/>
          </reference>
        </references>
      </pivotArea>
    </format>
    <format dxfId="45">
      <pivotArea collapsedLevelsAreSubtotals="1" fieldPosition="0">
        <references count="2">
          <reference field="8" count="1">
            <x v="10"/>
          </reference>
          <reference field="11" count="1" selected="0">
            <x v="12"/>
          </reference>
        </references>
      </pivotArea>
    </format>
    <format dxfId="44">
      <pivotArea collapsedLevelsAreSubtotals="1" fieldPosition="0">
        <references count="2">
          <reference field="8" count="1">
            <x v="7"/>
          </reference>
          <reference field="11" count="1" selected="0">
            <x v="13"/>
          </reference>
        </references>
      </pivotArea>
    </format>
    <format dxfId="43">
      <pivotArea collapsedLevelsAreSubtotals="1" fieldPosition="0">
        <references count="2">
          <reference field="8" count="1">
            <x v="12"/>
          </reference>
          <reference field="11" count="1" selected="0">
            <x v="14"/>
          </reference>
        </references>
      </pivotArea>
    </format>
    <format dxfId="42">
      <pivotArea collapsedLevelsAreSubtotals="1" fieldPosition="0">
        <references count="2">
          <reference field="8" count="1">
            <x v="0"/>
          </reference>
          <reference field="11" count="1" selected="0">
            <x v="15"/>
          </reference>
        </references>
      </pivotArea>
    </format>
    <format dxfId="41">
      <pivotArea collapsedLevelsAreSubtotals="1" fieldPosition="0">
        <references count="2">
          <reference field="8" count="1">
            <x v="18"/>
          </reference>
          <reference field="11" count="1" selected="0">
            <x v="16"/>
          </reference>
        </references>
      </pivotArea>
    </format>
    <format dxfId="40">
      <pivotArea collapsedLevelsAreSubtotals="1" fieldPosition="0">
        <references count="2">
          <reference field="8" count="1">
            <x v="2"/>
          </reference>
          <reference field="11" count="1" selected="0">
            <x v="17"/>
          </reference>
        </references>
      </pivotArea>
    </format>
    <format dxfId="39">
      <pivotArea collapsedLevelsAreSubtotals="1" fieldPosition="0">
        <references count="2">
          <reference field="8" count="1">
            <x v="11"/>
          </reference>
          <reference field="11" count="1" selected="0">
            <x v="18"/>
          </reference>
        </references>
      </pivotArea>
    </format>
    <format dxfId="38">
      <pivotArea collapsedLevelsAreSubtotals="1" fieldPosition="0">
        <references count="2">
          <reference field="8" count="1">
            <x v="6"/>
          </reference>
          <reference field="11" count="1" selected="0">
            <x v="19"/>
          </reference>
        </references>
      </pivotArea>
    </format>
    <format dxfId="37">
      <pivotArea collapsedLevelsAreSubtotals="1" fieldPosition="0">
        <references count="2">
          <reference field="8" count="1">
            <x v="9"/>
          </reference>
          <reference field="11" count="1" selected="0">
            <x v="20"/>
          </reference>
        </references>
      </pivotArea>
    </format>
    <format dxfId="36">
      <pivotArea collapsedLevelsAreSubtotals="1" fieldPosition="0">
        <references count="2">
          <reference field="8" count="1">
            <x v="10"/>
          </reference>
          <reference field="11" count="1" selected="0">
            <x v="21"/>
          </reference>
        </references>
      </pivotArea>
    </format>
    <format dxfId="35">
      <pivotArea collapsedLevelsAreSubtotals="1" fieldPosition="0">
        <references count="2">
          <reference field="8" count="1">
            <x v="5"/>
          </reference>
          <reference field="11" count="1" selected="0">
            <x v="22"/>
          </reference>
        </references>
      </pivotArea>
    </format>
    <format dxfId="34">
      <pivotArea collapsedLevelsAreSubtotals="1" fieldPosition="0">
        <references count="2">
          <reference field="8" count="1">
            <x v="6"/>
          </reference>
          <reference field="11" count="1" selected="0">
            <x v="23"/>
          </reference>
        </references>
      </pivotArea>
    </format>
    <format dxfId="33">
      <pivotArea collapsedLevelsAreSubtotals="1" fieldPosition="0">
        <references count="2">
          <reference field="8" count="1">
            <x v="8"/>
          </reference>
          <reference field="11" count="1" selected="0">
            <x v="24"/>
          </reference>
        </references>
      </pivotArea>
    </format>
    <format dxfId="32">
      <pivotArea collapsedLevelsAreSubtotals="1" fieldPosition="0">
        <references count="2">
          <reference field="8" count="1">
            <x v="17"/>
          </reference>
          <reference field="11" count="1" selected="0">
            <x v="25"/>
          </reference>
        </references>
      </pivotArea>
    </format>
    <format dxfId="31">
      <pivotArea collapsedLevelsAreSubtotals="1" fieldPosition="0">
        <references count="2">
          <reference field="8" count="1">
            <x v="13"/>
          </reference>
          <reference field="11" count="1" selected="0">
            <x v="26"/>
          </reference>
        </references>
      </pivotArea>
    </format>
    <format dxfId="30">
      <pivotArea collapsedLevelsAreSubtotals="1" fieldPosition="0">
        <references count="2">
          <reference field="8" count="1">
            <x v="6"/>
          </reference>
          <reference field="11" count="1" selected="0">
            <x v="27"/>
          </reference>
        </references>
      </pivotArea>
    </format>
    <format dxfId="29">
      <pivotArea collapsedLevelsAreSubtotals="1" fieldPosition="0">
        <references count="2">
          <reference field="8" count="1">
            <x v="1"/>
          </reference>
          <reference field="11" count="1" selected="0">
            <x v="28"/>
          </reference>
        </references>
      </pivotArea>
    </format>
    <format dxfId="28">
      <pivotArea collapsedLevelsAreSubtotals="1" fieldPosition="0">
        <references count="2">
          <reference field="8" count="1">
            <x v="8"/>
          </reference>
          <reference field="11" count="1" selected="0">
            <x v="29"/>
          </reference>
        </references>
      </pivotArea>
    </format>
    <format dxfId="27">
      <pivotArea collapsedLevelsAreSubtotals="1" fieldPosition="0">
        <references count="2">
          <reference field="8" count="1">
            <x v="14"/>
          </reference>
          <reference field="11" count="1" selected="0">
            <x v="30"/>
          </reference>
        </references>
      </pivotArea>
    </format>
    <format dxfId="26">
      <pivotArea collapsedLevelsAreSubtotals="1" fieldPosition="0">
        <references count="2">
          <reference field="8" count="1">
            <x v="17"/>
          </reference>
          <reference field="11" count="1" selected="0">
            <x v="31"/>
          </reference>
        </references>
      </pivotArea>
    </format>
    <format dxfId="25">
      <pivotArea collapsedLevelsAreSubtotals="1" fieldPosition="0">
        <references count="2">
          <reference field="8" count="1">
            <x v="15"/>
          </reference>
          <reference field="11" count="1" selected="0">
            <x v="32"/>
          </reference>
        </references>
      </pivotArea>
    </format>
    <format dxfId="24">
      <pivotArea collapsedLevelsAreSubtotals="1" fieldPosition="0">
        <references count="2">
          <reference field="8" count="1">
            <x v="9"/>
          </reference>
          <reference field="11" count="1" selected="0">
            <x v="33"/>
          </reference>
        </references>
      </pivotArea>
    </format>
    <format dxfId="23">
      <pivotArea collapsedLevelsAreSubtotals="1" fieldPosition="0">
        <references count="2">
          <reference field="8" count="1">
            <x v="2"/>
          </reference>
          <reference field="11" count="1" selected="0">
            <x v="34"/>
          </reference>
        </references>
      </pivotArea>
    </format>
    <format dxfId="22">
      <pivotArea collapsedLevelsAreSubtotals="1" fieldPosition="0">
        <references count="2">
          <reference field="8" count="1">
            <x v="5"/>
          </reference>
          <reference field="11" count="1" selected="0">
            <x v="35"/>
          </reference>
        </references>
      </pivotArea>
    </format>
    <format dxfId="21">
      <pivotArea collapsedLevelsAreSubtotals="1" fieldPosition="0">
        <references count="2">
          <reference field="8" count="1">
            <x v="11"/>
          </reference>
          <reference field="11" count="1" selected="0">
            <x v="36"/>
          </reference>
        </references>
      </pivotArea>
    </format>
    <format dxfId="20">
      <pivotArea collapsedLevelsAreSubtotals="1" fieldPosition="0">
        <references count="2">
          <reference field="8" count="1">
            <x v="1"/>
          </reference>
          <reference field="11" count="1" selected="0">
            <x v="37"/>
          </reference>
        </references>
      </pivotArea>
    </format>
    <format dxfId="19">
      <pivotArea collapsedLevelsAreSubtotals="1" fieldPosition="0">
        <references count="2">
          <reference field="8" count="1">
            <x v="7"/>
          </reference>
          <reference field="11" count="1" selected="0">
            <x v="38"/>
          </reference>
        </references>
      </pivotArea>
    </format>
    <format dxfId="18">
      <pivotArea collapsedLevelsAreSubtotals="1" fieldPosition="0">
        <references count="2">
          <reference field="8" count="2">
            <x v="4"/>
            <x v="10"/>
          </reference>
          <reference field="11" count="1" selected="0">
            <x v="39"/>
          </reference>
        </references>
      </pivotArea>
    </format>
    <format dxfId="17">
      <pivotArea collapsedLevelsAreSubtotals="1" fieldPosition="0">
        <references count="2">
          <reference field="8" count="2">
            <x v="4"/>
            <x v="10"/>
          </reference>
          <reference field="11" count="1" selected="0">
            <x v="40"/>
          </reference>
        </references>
      </pivotArea>
    </format>
    <format dxfId="16">
      <pivotArea collapsedLevelsAreSubtotals="1" fieldPosition="0">
        <references count="2">
          <reference field="8" count="1">
            <x v="8"/>
          </reference>
          <reference field="11" count="1" selected="0">
            <x v="41"/>
          </reference>
        </references>
      </pivotArea>
    </format>
    <format dxfId="15">
      <pivotArea collapsedLevelsAreSubtotals="1" fieldPosition="0">
        <references count="2">
          <reference field="8" count="1">
            <x v="1"/>
          </reference>
          <reference field="11" count="1" selected="0">
            <x v="42"/>
          </reference>
        </references>
      </pivotArea>
    </format>
    <format dxfId="14">
      <pivotArea collapsedLevelsAreSubtotals="1" fieldPosition="0">
        <references count="2">
          <reference field="8" count="1">
            <x v="5"/>
          </reference>
          <reference field="11" count="1" selected="0">
            <x v="43"/>
          </reference>
        </references>
      </pivotArea>
    </format>
    <format dxfId="13">
      <pivotArea collapsedLevelsAreSubtotals="1" fieldPosition="0">
        <references count="2">
          <reference field="8" count="1">
            <x v="9"/>
          </reference>
          <reference field="11" count="1" selected="0">
            <x v="44"/>
          </reference>
        </references>
      </pivotArea>
    </format>
    <format dxfId="12">
      <pivotArea collapsedLevelsAreSubtotals="1" fieldPosition="0">
        <references count="2">
          <reference field="8" count="1">
            <x v="12"/>
          </reference>
          <reference field="11" count="1" selected="0">
            <x v="45"/>
          </reference>
        </references>
      </pivotArea>
    </format>
    <format dxfId="11">
      <pivotArea collapsedLevelsAreSubtotals="1" fieldPosition="0">
        <references count="2">
          <reference field="8" count="1">
            <x v="6"/>
          </reference>
          <reference field="11" count="1" selected="0">
            <x v="46"/>
          </reference>
        </references>
      </pivotArea>
    </format>
    <format dxfId="10">
      <pivotArea collapsedLevelsAreSubtotals="1" fieldPosition="0">
        <references count="2">
          <reference field="8" count="1">
            <x v="5"/>
          </reference>
          <reference field="11" count="1" selected="0">
            <x v="47"/>
          </reference>
        </references>
      </pivotArea>
    </format>
    <format dxfId="9">
      <pivotArea collapsedLevelsAreSubtotals="1" fieldPosition="0">
        <references count="1">
          <reference field="11" count="1">
            <x v="0"/>
          </reference>
        </references>
      </pivotArea>
    </format>
    <format dxfId="8">
      <pivotArea collapsedLevelsAreSubtotals="1" fieldPosition="0">
        <references count="1">
          <reference field="11" count="77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</reference>
        </references>
      </pivotArea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F19338-7937-49E9-A0F4-0F448F23BA48}" name="gmv_страны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23">
    <pivotField showAll="0"/>
    <pivotField showAll="0"/>
    <pivotField showAll="0"/>
    <pivotField showAll="0"/>
    <pivotField dataField="1" numFmtId="3" showAll="0"/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/>
    <pivotField numFmtId="9" showAll="0"/>
    <pivotField numFmtId="14" showAll="0"/>
    <pivotField showAll="0"/>
    <pivotField axis="axisRow" showAll="0" sortType="descending">
      <items count="7">
        <item x="1"/>
        <item x="2"/>
        <item x="4"/>
        <item x="0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Сумма по полю сумма чека" fld="4" baseField="0" baseItem="0" numFmtId="166"/>
  </dataFields>
  <formats count="2">
    <format dxfId="3">
      <pivotArea collapsedLevelsAreSubtotals="1" fieldPosition="0">
        <references count="1">
          <reference field="16" count="1">
            <x v="4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0A097-A1E9-494C-8550-97C7B70C742E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>
  <location ref="A12:B18" firstHeaderRow="1" firstDataRow="1" firstDataCol="1"/>
  <pivotFields count="23">
    <pivotField showAll="0"/>
    <pivotField showAll="0"/>
    <pivotField showAll="0"/>
    <pivotField showAll="0"/>
    <pivotField dataField="1" numFmtId="3" showAll="0"/>
    <pivotField numFmtId="1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/>
    <pivotField numFmtId="9" showAll="0"/>
    <pivotField numFmtId="14" showAll="0"/>
    <pivotField showAll="0"/>
    <pivotField axis="axisRow" showAll="0" sortType="descending">
      <items count="7">
        <item x="1"/>
        <item x="2"/>
        <item x="4"/>
        <item x="0"/>
        <item x="3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6"/>
  </rowFields>
  <rowItems count="6">
    <i>
      <x v="1"/>
    </i>
    <i>
      <x v="3"/>
    </i>
    <i>
      <x v="4"/>
    </i>
    <i>
      <x v="2"/>
    </i>
    <i>
      <x/>
    </i>
    <i t="grand">
      <x/>
    </i>
  </rowItems>
  <colItems count="1">
    <i/>
  </colItems>
  <dataFields count="1">
    <dataField name="Сумма по полю сумма чека" fld="4" showDataAs="percentOfTotal" baseField="0" baseItem="0" numFmtId="9"/>
  </dataFields>
  <formats count="3">
    <format dxfId="6">
      <pivotArea collapsedLevelsAreSubtotals="1" fieldPosition="0">
        <references count="1">
          <reference field="16" count="1">
            <x v="4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8000000}" name="кол-во_товара_в_чеке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 chartFormat="7" rowHeaderCaption="Категория">
  <location ref="A3:B24" firstHeaderRow="1" firstDataRow="1" firstDataCol="1"/>
  <pivotFields count="23">
    <pivotField showAll="0"/>
    <pivotField showAll="0"/>
    <pivotField showAll="0"/>
    <pivotField dataField="1" showAll="0"/>
    <pivotField numFmtId="3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showAll="0"/>
    <pivotField axis="axisRow" showAll="0" sortType="descending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/>
    <pivotField numFmtId="9" showAll="0"/>
    <pivotField numFmtId="14" showAll="0"/>
    <pivotField showAll="0"/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21">
    <i>
      <x v="6"/>
    </i>
    <i>
      <x v="10"/>
    </i>
    <i>
      <x v="8"/>
    </i>
    <i>
      <x v="12"/>
    </i>
    <i>
      <x v="11"/>
    </i>
    <i>
      <x v="7"/>
    </i>
    <i>
      <x v="17"/>
    </i>
    <i>
      <x v="14"/>
    </i>
    <i>
      <x v="9"/>
    </i>
    <i>
      <x v="19"/>
    </i>
    <i>
      <x v="3"/>
    </i>
    <i>
      <x v="2"/>
    </i>
    <i>
      <x v="13"/>
    </i>
    <i>
      <x v="16"/>
    </i>
    <i>
      <x v="5"/>
    </i>
    <i>
      <x v="18"/>
    </i>
    <i>
      <x v="1"/>
    </i>
    <i>
      <x/>
    </i>
    <i>
      <x v="4"/>
    </i>
    <i>
      <x v="15"/>
    </i>
    <i t="grand">
      <x/>
    </i>
  </rowItems>
  <colItems count="1">
    <i/>
  </colItems>
  <dataFields count="1">
    <dataField name="Среднее по полю кол-во штук в чеке" fld="3" subtotal="average" baseField="8" baseItem="6" numFmtId="168"/>
  </dataFields>
  <formats count="1">
    <format dxfId="1">
      <pivotArea outline="0" collapsedLevelsAreSubtotals="1" fieldPosition="0"/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C74F5-9FBC-4146-940E-F857EB2B00E4}" name="дней_с_регистрации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5">
  <location ref="A3:B12" firstHeaderRow="1" firstDataRow="1" firstDataCol="1"/>
  <pivotFields count="23">
    <pivotField showAll="0"/>
    <pivotField showAll="0"/>
    <pivotField showAll="0"/>
    <pivotField showAll="0"/>
    <pivotField numFmtId="3" showAll="0"/>
    <pivotField numFmtId="164" showAll="0">
      <items count="437">
        <item x="83"/>
        <item x="276"/>
        <item x="363"/>
        <item x="71"/>
        <item x="286"/>
        <item x="261"/>
        <item x="206"/>
        <item x="59"/>
        <item x="296"/>
        <item x="232"/>
        <item x="420"/>
        <item x="254"/>
        <item x="80"/>
        <item x="431"/>
        <item x="92"/>
        <item x="224"/>
        <item x="378"/>
        <item x="212"/>
        <item x="76"/>
        <item x="36"/>
        <item x="106"/>
        <item x="144"/>
        <item x="342"/>
        <item x="203"/>
        <item x="284"/>
        <item x="234"/>
        <item x="347"/>
        <item x="107"/>
        <item x="111"/>
        <item x="205"/>
        <item x="423"/>
        <item x="385"/>
        <item x="324"/>
        <item x="23"/>
        <item x="167"/>
        <item x="161"/>
        <item x="418"/>
        <item x="35"/>
        <item x="14"/>
        <item x="62"/>
        <item x="65"/>
        <item x="45"/>
        <item x="364"/>
        <item x="15"/>
        <item x="57"/>
        <item x="269"/>
        <item x="172"/>
        <item x="230"/>
        <item x="225"/>
        <item x="285"/>
        <item x="195"/>
        <item x="63"/>
        <item x="133"/>
        <item x="140"/>
        <item x="383"/>
        <item x="69"/>
        <item x="433"/>
        <item x="192"/>
        <item x="32"/>
        <item x="354"/>
        <item x="67"/>
        <item x="223"/>
        <item x="331"/>
        <item x="308"/>
        <item x="78"/>
        <item x="186"/>
        <item x="201"/>
        <item x="295"/>
        <item x="297"/>
        <item x="118"/>
        <item x="168"/>
        <item x="199"/>
        <item x="139"/>
        <item x="102"/>
        <item x="366"/>
        <item x="325"/>
        <item x="386"/>
        <item x="180"/>
        <item x="171"/>
        <item x="382"/>
        <item x="304"/>
        <item x="179"/>
        <item x="343"/>
        <item x="115"/>
        <item x="425"/>
        <item x="22"/>
        <item x="200"/>
        <item x="119"/>
        <item x="421"/>
        <item x="173"/>
        <item x="9"/>
        <item x="100"/>
        <item x="393"/>
        <item x="255"/>
        <item x="214"/>
        <item x="123"/>
        <item x="103"/>
        <item x="28"/>
        <item x="146"/>
        <item x="210"/>
        <item x="66"/>
        <item x="332"/>
        <item x="415"/>
        <item x="137"/>
        <item x="268"/>
        <item x="357"/>
        <item x="259"/>
        <item x="349"/>
        <item x="398"/>
        <item x="198"/>
        <item x="18"/>
        <item x="194"/>
        <item x="410"/>
        <item x="353"/>
        <item x="396"/>
        <item x="46"/>
        <item x="239"/>
        <item x="391"/>
        <item x="291"/>
        <item x="228"/>
        <item x="129"/>
        <item x="124"/>
        <item x="428"/>
        <item x="339"/>
        <item x="289"/>
        <item x="263"/>
        <item x="185"/>
        <item x="93"/>
        <item x="312"/>
        <item x="82"/>
        <item x="50"/>
        <item x="138"/>
        <item x="96"/>
        <item x="1"/>
        <item x="160"/>
        <item x="372"/>
        <item x="242"/>
        <item x="346"/>
        <item x="251"/>
        <item x="174"/>
        <item x="411"/>
        <item x="309"/>
        <item x="99"/>
        <item x="426"/>
        <item x="266"/>
        <item x="26"/>
        <item x="388"/>
        <item x="422"/>
        <item x="246"/>
        <item x="130"/>
        <item x="42"/>
        <item x="175"/>
        <item x="136"/>
        <item x="229"/>
        <item x="177"/>
        <item x="73"/>
        <item x="125"/>
        <item x="417"/>
        <item x="348"/>
        <item x="367"/>
        <item x="61"/>
        <item x="17"/>
        <item x="39"/>
        <item x="290"/>
        <item x="329"/>
        <item x="381"/>
        <item x="21"/>
        <item x="278"/>
        <item x="30"/>
        <item x="219"/>
        <item x="406"/>
        <item x="37"/>
        <item x="315"/>
        <item x="265"/>
        <item x="13"/>
        <item x="390"/>
        <item x="414"/>
        <item x="10"/>
        <item x="344"/>
        <item x="430"/>
        <item x="184"/>
        <item x="375"/>
        <item x="213"/>
        <item x="376"/>
        <item x="389"/>
        <item x="279"/>
        <item x="341"/>
        <item x="191"/>
        <item x="359"/>
        <item x="365"/>
        <item x="4"/>
        <item x="135"/>
        <item x="412"/>
        <item x="318"/>
        <item x="303"/>
        <item x="211"/>
        <item x="19"/>
        <item x="409"/>
        <item x="264"/>
        <item x="247"/>
        <item x="400"/>
        <item x="75"/>
        <item x="153"/>
        <item x="218"/>
        <item x="128"/>
        <item x="233"/>
        <item x="97"/>
        <item x="77"/>
        <item x="25"/>
        <item x="149"/>
        <item x="105"/>
        <item x="327"/>
        <item x="169"/>
        <item x="345"/>
        <item x="248"/>
        <item x="87"/>
        <item x="238"/>
        <item x="134"/>
        <item x="338"/>
        <item x="0"/>
        <item x="307"/>
        <item x="81"/>
        <item x="352"/>
        <item x="231"/>
        <item x="164"/>
        <item x="40"/>
        <item x="183"/>
        <item x="41"/>
        <item x="91"/>
        <item x="287"/>
        <item x="217"/>
        <item x="143"/>
        <item x="334"/>
        <item x="282"/>
        <item x="292"/>
        <item x="267"/>
        <item x="47"/>
        <item x="95"/>
        <item x="237"/>
        <item x="155"/>
        <item x="302"/>
        <item x="55"/>
        <item x="16"/>
        <item x="256"/>
        <item x="88"/>
        <item x="298"/>
        <item x="236"/>
        <item x="361"/>
        <item x="182"/>
        <item x="84"/>
        <item x="249"/>
        <item x="377"/>
        <item x="402"/>
        <item x="277"/>
        <item x="250"/>
        <item x="281"/>
        <item x="43"/>
        <item x="90"/>
        <item x="401"/>
        <item x="395"/>
        <item x="427"/>
        <item x="49"/>
        <item x="416"/>
        <item x="108"/>
        <item x="244"/>
        <item x="20"/>
        <item x="58"/>
        <item x="52"/>
        <item x="319"/>
        <item x="435"/>
        <item x="432"/>
        <item x="215"/>
        <item x="170"/>
        <item x="429"/>
        <item x="156"/>
        <item x="271"/>
        <item x="166"/>
        <item x="294"/>
        <item x="240"/>
        <item x="98"/>
        <item x="117"/>
        <item x="207"/>
        <item x="3"/>
        <item x="340"/>
        <item x="131"/>
        <item x="176"/>
        <item x="12"/>
        <item x="33"/>
        <item x="322"/>
        <item x="305"/>
        <item x="79"/>
        <item x="434"/>
        <item x="260"/>
        <item x="403"/>
        <item x="162"/>
        <item x="104"/>
        <item x="350"/>
        <item x="241"/>
        <item x="60"/>
        <item x="5"/>
        <item x="181"/>
        <item x="141"/>
        <item x="328"/>
        <item x="101"/>
        <item x="369"/>
        <item x="64"/>
        <item x="370"/>
        <item x="148"/>
        <item x="89"/>
        <item x="142"/>
        <item x="257"/>
        <item x="374"/>
        <item x="404"/>
        <item x="368"/>
        <item x="384"/>
        <item x="235"/>
        <item x="397"/>
        <item x="227"/>
        <item x="202"/>
        <item x="316"/>
        <item x="74"/>
        <item x="392"/>
        <item x="310"/>
        <item x="68"/>
        <item x="51"/>
        <item x="159"/>
        <item x="132"/>
        <item x="326"/>
        <item x="299"/>
        <item x="113"/>
        <item x="121"/>
        <item x="380"/>
        <item x="72"/>
        <item x="321"/>
        <item x="356"/>
        <item x="407"/>
        <item x="413"/>
        <item x="197"/>
        <item x="226"/>
        <item x="371"/>
        <item x="154"/>
        <item x="24"/>
        <item x="7"/>
        <item x="208"/>
        <item x="333"/>
        <item x="94"/>
        <item x="274"/>
        <item x="399"/>
        <item x="165"/>
        <item x="127"/>
        <item x="209"/>
        <item x="109"/>
        <item x="424"/>
        <item x="270"/>
        <item x="147"/>
        <item x="272"/>
        <item x="110"/>
        <item x="314"/>
        <item x="253"/>
        <item x="280"/>
        <item x="6"/>
        <item x="252"/>
        <item x="187"/>
        <item x="31"/>
        <item x="151"/>
        <item x="335"/>
        <item x="53"/>
        <item x="283"/>
        <item x="362"/>
        <item x="317"/>
        <item x="70"/>
        <item x="114"/>
        <item x="222"/>
        <item x="2"/>
        <item x="323"/>
        <item x="196"/>
        <item x="245"/>
        <item x="27"/>
        <item x="150"/>
        <item x="243"/>
        <item x="178"/>
        <item x="126"/>
        <item x="273"/>
        <item x="262"/>
        <item x="275"/>
        <item x="8"/>
        <item x="288"/>
        <item x="336"/>
        <item x="116"/>
        <item x="163"/>
        <item x="34"/>
        <item x="320"/>
        <item x="120"/>
        <item x="258"/>
        <item x="337"/>
        <item x="44"/>
        <item x="85"/>
        <item x="311"/>
        <item x="394"/>
        <item x="220"/>
        <item x="221"/>
        <item x="355"/>
        <item x="11"/>
        <item x="408"/>
        <item x="193"/>
        <item x="330"/>
        <item x="48"/>
        <item x="54"/>
        <item x="419"/>
        <item x="351"/>
        <item x="358"/>
        <item x="204"/>
        <item x="38"/>
        <item x="313"/>
        <item x="306"/>
        <item x="190"/>
        <item x="300"/>
        <item x="158"/>
        <item x="145"/>
        <item x="152"/>
        <item x="29"/>
        <item x="373"/>
        <item x="216"/>
        <item x="405"/>
        <item x="301"/>
        <item x="157"/>
        <item x="387"/>
        <item x="56"/>
        <item x="86"/>
        <item x="293"/>
        <item x="189"/>
        <item x="360"/>
        <item x="188"/>
        <item x="379"/>
        <item x="112"/>
        <item x="122"/>
        <item t="default"/>
      </items>
    </pivotField>
    <pivotField showAll="0">
      <items count="21">
        <item x="19"/>
        <item x="15"/>
        <item x="18"/>
        <item x="12"/>
        <item x="0"/>
        <item x="3"/>
        <item x="9"/>
        <item x="2"/>
        <item x="1"/>
        <item x="5"/>
        <item x="10"/>
        <item x="16"/>
        <item x="11"/>
        <item x="6"/>
        <item x="7"/>
        <item x="14"/>
        <item x="8"/>
        <item x="13"/>
        <item x="17"/>
        <item x="4"/>
        <item t="default"/>
      </items>
    </pivotField>
    <pivotField dataField="1" showAll="0"/>
    <pivotField showAll="0">
      <items count="21">
        <item x="9"/>
        <item x="19"/>
        <item x="17"/>
        <item x="7"/>
        <item x="18"/>
        <item x="3"/>
        <item x="15"/>
        <item x="10"/>
        <item x="4"/>
        <item x="2"/>
        <item x="13"/>
        <item x="6"/>
        <item x="0"/>
        <item x="5"/>
        <item x="1"/>
        <item x="11"/>
        <item x="12"/>
        <item x="16"/>
        <item x="8"/>
        <item x="14"/>
        <item t="default"/>
      </items>
    </pivotField>
    <pivotField numFmtId="165" showAll="0"/>
    <pivotField numFmtId="9" showAll="0"/>
    <pivotField showAll="0">
      <items count="79">
        <item x="63"/>
        <item x="76"/>
        <item x="8"/>
        <item x="62"/>
        <item x="7"/>
        <item x="44"/>
        <item x="14"/>
        <item x="59"/>
        <item x="21"/>
        <item x="22"/>
        <item x="49"/>
        <item x="77"/>
        <item x="30"/>
        <item x="10"/>
        <item x="68"/>
        <item x="55"/>
        <item x="52"/>
        <item x="35"/>
        <item x="60"/>
        <item x="53"/>
        <item x="36"/>
        <item x="20"/>
        <item x="3"/>
        <item x="74"/>
        <item x="56"/>
        <item x="38"/>
        <item x="28"/>
        <item x="41"/>
        <item x="42"/>
        <item x="4"/>
        <item x="1"/>
        <item x="51"/>
        <item x="17"/>
        <item x="31"/>
        <item x="66"/>
        <item x="19"/>
        <item x="6"/>
        <item x="71"/>
        <item x="15"/>
        <item x="34"/>
        <item x="61"/>
        <item x="25"/>
        <item x="40"/>
        <item x="16"/>
        <item x="46"/>
        <item x="0"/>
        <item x="23"/>
        <item x="29"/>
        <item x="9"/>
        <item x="27"/>
        <item x="58"/>
        <item x="45"/>
        <item x="57"/>
        <item x="54"/>
        <item x="12"/>
        <item x="32"/>
        <item x="69"/>
        <item x="26"/>
        <item x="75"/>
        <item x="70"/>
        <item x="64"/>
        <item x="11"/>
        <item x="37"/>
        <item x="47"/>
        <item x="48"/>
        <item x="67"/>
        <item x="65"/>
        <item x="5"/>
        <item x="50"/>
        <item x="24"/>
        <item x="73"/>
        <item x="39"/>
        <item x="43"/>
        <item x="18"/>
        <item x="13"/>
        <item x="33"/>
        <item x="2"/>
        <item x="72"/>
        <item t="default"/>
      </items>
    </pivotField>
    <pivotField numFmtId="167" showAll="0"/>
    <pivotField numFmtId="9" showAll="0"/>
    <pivotField numFmtId="14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>
      <items count="3">
        <item x="0"/>
        <item x="1"/>
        <item t="default"/>
      </items>
    </pivotField>
    <pivotField numFmtI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Количество по полю id клиента" fld="7" subtotal="count" baseField="15" baseItem="1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C000000}" name="Сводная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 chartFormat="1" rowHeaderCaption="Страна">
  <location ref="A13:B16" firstHeaderRow="1" firstDataRow="1" firstDataCol="1"/>
  <pivotFields count="14">
    <pivotField dataField="1" showAll="0"/>
    <pivotField showAll="0"/>
    <pivotField showAll="0"/>
    <pivotField axis="axisRow" multipleItemSelectionAllowed="1" showAll="0">
      <items count="3">
        <item x="0"/>
        <item x="1"/>
        <item t="default"/>
      </items>
    </pivotField>
    <pivotField numFmtId="164" showAll="0"/>
    <pivotField showAll="0"/>
    <pivotField showAll="0">
      <items count="6">
        <item x="1"/>
        <item x="2"/>
        <item x="4"/>
        <item x="0"/>
        <item x="3"/>
        <item t="default"/>
      </items>
    </pivotField>
    <pivotField numFmtId="14"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человек" fld="0" subtotal="count" showDataAs="percentOfTotal" baseField="6" baseItem="4" numFmtId="9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B000000}" name="Сводная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4" indent="0" outline="1" outlineData="1" multipleFieldFilters="0" chartFormat="3" rowHeaderCaption="Страна">
  <location ref="A3:B6" firstHeaderRow="1" firstDataRow="1" firstDataCol="1"/>
  <pivotFields count="14">
    <pivotField dataField="1" showAll="0"/>
    <pivotField showAll="0"/>
    <pivotField showAll="0"/>
    <pivotField axis="axisRow" multipleItemSelectionAllowed="1" showAll="0">
      <items count="3">
        <item x="0"/>
        <item x="1"/>
        <item t="default"/>
      </items>
    </pivotField>
    <pivotField numFmtId="164" showAll="0"/>
    <pivotField showAll="0"/>
    <pivotField showAll="0">
      <items count="6">
        <item x="1"/>
        <item x="2"/>
        <item x="4"/>
        <item x="0"/>
        <item x="3"/>
        <item t="default"/>
      </items>
    </pivotField>
    <pivotField numFmtId="14" showAll="0"/>
    <pivotField numFmtI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Количество" fld="0" subtotal="count" baseField="3" baseItem="1" numFmtId="3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D2DE3-5E09-4C18-90FC-ADBB9B64E564}" name="частотность_имен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4" indent="0" outline="1" outlineData="1" multipleFieldFilters="0" chartFormat="10">
  <location ref="A3:B25" firstHeaderRow="1" firstDataRow="1" firstDataCol="1"/>
  <pivotFields count="14"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numFmtId="14" showAll="0"/>
    <pivotField showAll="0"/>
    <pivotField showAll="0">
      <items count="6">
        <item x="1"/>
        <item x="2"/>
        <item x="4"/>
        <item x="0"/>
        <item x="3"/>
        <item t="default"/>
      </items>
    </pivotField>
    <pivotField numFmtId="14" showAll="0"/>
    <pivotField numFmtId="1" showAll="0"/>
    <pivotField showAll="0"/>
    <pivotField showAll="0"/>
    <pivotField axis="axisRow" showAll="0" measureFilter="1" sortType="descending">
      <items count="239">
        <item x="8"/>
        <item x="95"/>
        <item x="128"/>
        <item x="105"/>
        <item x="144"/>
        <item x="164"/>
        <item x="11"/>
        <item x="130"/>
        <item x="62"/>
        <item x="145"/>
        <item x="77"/>
        <item x="129"/>
        <item x="150"/>
        <item x="3"/>
        <item x="204"/>
        <item x="50"/>
        <item x="134"/>
        <item x="214"/>
        <item x="176"/>
        <item x="97"/>
        <item x="73"/>
        <item x="139"/>
        <item x="213"/>
        <item x="40"/>
        <item x="132"/>
        <item x="177"/>
        <item x="229"/>
        <item x="118"/>
        <item x="67"/>
        <item x="178"/>
        <item x="162"/>
        <item x="92"/>
        <item x="206"/>
        <item x="101"/>
        <item x="54"/>
        <item x="160"/>
        <item x="148"/>
        <item x="146"/>
        <item x="34"/>
        <item x="85"/>
        <item x="46"/>
        <item x="127"/>
        <item x="96"/>
        <item x="48"/>
        <item x="161"/>
        <item x="1"/>
        <item x="16"/>
        <item x="228"/>
        <item x="68"/>
        <item x="133"/>
        <item x="63"/>
        <item x="10"/>
        <item x="227"/>
        <item x="224"/>
        <item x="199"/>
        <item x="57"/>
        <item x="44"/>
        <item x="155"/>
        <item x="120"/>
        <item x="153"/>
        <item x="225"/>
        <item x="125"/>
        <item x="152"/>
        <item x="194"/>
        <item x="41"/>
        <item x="15"/>
        <item x="174"/>
        <item x="51"/>
        <item x="154"/>
        <item x="47"/>
        <item x="102"/>
        <item x="87"/>
        <item x="218"/>
        <item x="115"/>
        <item x="141"/>
        <item x="159"/>
        <item x="70"/>
        <item x="192"/>
        <item x="137"/>
        <item x="71"/>
        <item x="17"/>
        <item x="222"/>
        <item x="100"/>
        <item x="123"/>
        <item x="208"/>
        <item x="74"/>
        <item x="142"/>
        <item x="5"/>
        <item x="223"/>
        <item x="55"/>
        <item x="232"/>
        <item x="60"/>
        <item m="1" x="237"/>
        <item x="230"/>
        <item x="52"/>
        <item x="113"/>
        <item x="179"/>
        <item x="196"/>
        <item x="4"/>
        <item x="42"/>
        <item x="56"/>
        <item x="24"/>
        <item x="45"/>
        <item x="30"/>
        <item x="124"/>
        <item x="180"/>
        <item x="170"/>
        <item x="143"/>
        <item x="136"/>
        <item x="173"/>
        <item x="111"/>
        <item x="76"/>
        <item x="203"/>
        <item x="172"/>
        <item x="235"/>
        <item m="1" x="236"/>
        <item x="202"/>
        <item x="64"/>
        <item x="183"/>
        <item x="119"/>
        <item x="212"/>
        <item x="72"/>
        <item x="18"/>
        <item x="13"/>
        <item x="37"/>
        <item x="86"/>
        <item x="27"/>
        <item x="187"/>
        <item x="7"/>
        <item x="93"/>
        <item x="233"/>
        <item x="165"/>
        <item x="26"/>
        <item x="215"/>
        <item x="94"/>
        <item x="200"/>
        <item x="98"/>
        <item x="126"/>
        <item x="207"/>
        <item x="211"/>
        <item x="88"/>
        <item x="167"/>
        <item x="9"/>
        <item x="151"/>
        <item x="61"/>
        <item x="110"/>
        <item x="121"/>
        <item x="168"/>
        <item x="220"/>
        <item x="195"/>
        <item x="140"/>
        <item x="80"/>
        <item x="82"/>
        <item x="209"/>
        <item x="83"/>
        <item x="149"/>
        <item x="157"/>
        <item x="69"/>
        <item x="2"/>
        <item x="158"/>
        <item x="117"/>
        <item x="20"/>
        <item x="116"/>
        <item x="221"/>
        <item x="184"/>
        <item x="22"/>
        <item x="104"/>
        <item x="182"/>
        <item x="106"/>
        <item x="197"/>
        <item x="186"/>
        <item x="58"/>
        <item x="201"/>
        <item x="175"/>
        <item x="226"/>
        <item x="28"/>
        <item x="163"/>
        <item x="188"/>
        <item x="89"/>
        <item x="38"/>
        <item x="90"/>
        <item x="33"/>
        <item x="171"/>
        <item x="53"/>
        <item x="79"/>
        <item x="217"/>
        <item x="205"/>
        <item x="21"/>
        <item x="185"/>
        <item x="112"/>
        <item x="99"/>
        <item x="147"/>
        <item x="6"/>
        <item x="181"/>
        <item x="190"/>
        <item x="66"/>
        <item x="36"/>
        <item x="198"/>
        <item x="138"/>
        <item x="191"/>
        <item x="59"/>
        <item x="189"/>
        <item x="81"/>
        <item x="114"/>
        <item x="156"/>
        <item x="210"/>
        <item x="122"/>
        <item x="108"/>
        <item x="32"/>
        <item x="43"/>
        <item x="216"/>
        <item x="75"/>
        <item x="25"/>
        <item x="0"/>
        <item x="219"/>
        <item x="19"/>
        <item x="91"/>
        <item x="231"/>
        <item x="31"/>
        <item x="14"/>
        <item x="109"/>
        <item x="131"/>
        <item x="103"/>
        <item x="84"/>
        <item x="39"/>
        <item x="35"/>
        <item x="23"/>
        <item x="193"/>
        <item x="29"/>
        <item x="49"/>
        <item x="65"/>
        <item x="169"/>
        <item x="107"/>
        <item x="12"/>
        <item x="135"/>
        <item x="234"/>
        <item x="78"/>
        <item x="1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22">
    <i>
      <x v="43"/>
    </i>
    <i>
      <x v="215"/>
    </i>
    <i>
      <x v="11"/>
    </i>
    <i>
      <x v="229"/>
    </i>
    <i>
      <x v="140"/>
    </i>
    <i>
      <x v="128"/>
    </i>
    <i>
      <x v="45"/>
    </i>
    <i>
      <x v="83"/>
    </i>
    <i>
      <x v="233"/>
    </i>
    <i>
      <x v="46"/>
    </i>
    <i>
      <x v="23"/>
    </i>
    <i>
      <x v="16"/>
    </i>
    <i>
      <x v="228"/>
    </i>
    <i>
      <x v="129"/>
    </i>
    <i>
      <x v="13"/>
    </i>
    <i>
      <x v="209"/>
    </i>
    <i>
      <x v="99"/>
    </i>
    <i>
      <x v="40"/>
    </i>
    <i>
      <x v="124"/>
    </i>
    <i>
      <x v="19"/>
    </i>
    <i>
      <x v="96"/>
    </i>
    <i>
      <x v="87"/>
    </i>
  </rowItems>
  <colItems count="1">
    <i/>
  </colItems>
  <dataFields count="1">
    <dataField name="Количество по полю id клиента" fld="0" subtotal="count" baseField="11" baseItem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агазин_покупки" xr10:uid="{ED8A7E10-C410-4C80-B9F5-6E3B1F3C4108}" sourceName="магазин покупки">
  <pivotTables>
    <pivotTable tabId="6" name="продажи_магазинов"/>
    <pivotTable tabId="14" name="gmv_категории"/>
    <pivotTable tabId="12" name="gmv_поставщики"/>
    <pivotTable tabId="21" name="gmv_страны"/>
    <pivotTable tabId="18" name="дней_с_регистрации"/>
    <pivotTable tabId="15" name="кол-во_товара_в_чеке"/>
    <pivotTable tabId="11" name="цены_по_поставщ_внутри_кат"/>
    <pivotTable tabId="21" name="Сводная таблица1"/>
  </pivotTables>
  <data>
    <tabular pivotCacheId="1675925286">
      <items count="20">
        <i x="19" s="1"/>
        <i x="15" s="1"/>
        <i x="18" s="1"/>
        <i x="12" s="1"/>
        <i x="0" s="1"/>
        <i x="3" s="1"/>
        <i x="9" s="1"/>
        <i x="2" s="1"/>
        <i x="1" s="1"/>
        <i x="5" s="1"/>
        <i x="10" s="1"/>
        <i x="16" s="1"/>
        <i x="11" s="1"/>
        <i x="6" s="1"/>
        <i x="7" s="1"/>
        <i x="14" s="1"/>
        <i x="8" s="1"/>
        <i x="13" s="1"/>
        <i x="17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" xr10:uid="{3010D768-D9D5-49D1-8A33-6810A44E9544}" sourceName="Категория">
  <pivotTables>
    <pivotTable tabId="6" name="продажи_магазинов"/>
    <pivotTable tabId="8" name="gmv_магазины"/>
    <pivotTable tabId="12" name="gmv_поставщики"/>
    <pivotTable tabId="21" name="gmv_страны"/>
    <pivotTable tabId="7" name="выгода_клиентам"/>
    <pivotTable tabId="15" name="кол-во_товара_в_чеке"/>
    <pivotTable tabId="11" name="цены_по_поставщ_внутри_кат"/>
    <pivotTable tabId="21" name="Сводная таблица1"/>
    <pivotTable tabId="18" name="дней_с_регистрации"/>
  </pivotTables>
  <data>
    <tabular pivotCacheId="1675925286">
      <items count="20">
        <i x="9" s="1"/>
        <i x="19" s="1"/>
        <i x="17" s="1"/>
        <i x="7" s="1"/>
        <i x="18" s="1"/>
        <i x="3" s="1"/>
        <i x="15" s="1"/>
        <i x="10" s="1"/>
        <i x="4" s="1"/>
        <i x="2" s="1"/>
        <i x="13" s="1"/>
        <i x="6" s="1"/>
        <i x="0" s="1"/>
        <i x="5" s="1"/>
        <i x="1" s="1"/>
        <i x="11" s="1"/>
        <i x="12" s="1"/>
        <i x="16" s="1"/>
        <i x="8" s="1"/>
        <i x="1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Поставщик" xr10:uid="{90F58335-7358-4141-9226-9C15887BF27C}" sourceName="Поставщик">
  <pivotTables>
    <pivotTable tabId="6" name="продажи_магазинов"/>
    <pivotTable tabId="14" name="gmv_категории"/>
    <pivotTable tabId="8" name="gmv_магазины"/>
    <pivotTable tabId="21" name="gmv_страны"/>
    <pivotTable tabId="7" name="выгода_клиентам"/>
    <pivotTable tabId="15" name="кол-во_товара_в_чеке"/>
    <pivotTable tabId="11" name="цены_по_поставщ_внутри_кат"/>
    <pivotTable tabId="21" name="Сводная таблица1"/>
    <pivotTable tabId="18" name="дней_с_регистрации"/>
  </pivotTables>
  <data>
    <tabular pivotCacheId="1675925286">
      <items count="78">
        <i x="63" s="1"/>
        <i x="76" s="1"/>
        <i x="8" s="1"/>
        <i x="62" s="1"/>
        <i x="7" s="1"/>
        <i x="44" s="1"/>
        <i x="14" s="1"/>
        <i x="59" s="1"/>
        <i x="21" s="1"/>
        <i x="22" s="1"/>
        <i x="49" s="1"/>
        <i x="77" s="1"/>
        <i x="30" s="1"/>
        <i x="10" s="1"/>
        <i x="68" s="1"/>
        <i x="55" s="1"/>
        <i x="52" s="1"/>
        <i x="35" s="1"/>
        <i x="60" s="1"/>
        <i x="53" s="1"/>
        <i x="36" s="1"/>
        <i x="20" s="1"/>
        <i x="3" s="1"/>
        <i x="74" s="1"/>
        <i x="56" s="1"/>
        <i x="38" s="1"/>
        <i x="28" s="1"/>
        <i x="41" s="1"/>
        <i x="42" s="1"/>
        <i x="4" s="1"/>
        <i x="1" s="1"/>
        <i x="51" s="1"/>
        <i x="17" s="1"/>
        <i x="31" s="1"/>
        <i x="66" s="1"/>
        <i x="19" s="1"/>
        <i x="6" s="1"/>
        <i x="71" s="1"/>
        <i x="15" s="1"/>
        <i x="34" s="1"/>
        <i x="61" s="1"/>
        <i x="25" s="1"/>
        <i x="40" s="1"/>
        <i x="16" s="1"/>
        <i x="46" s="1"/>
        <i x="0" s="1"/>
        <i x="23" s="1"/>
        <i x="29" s="1"/>
        <i x="9" s="1"/>
        <i x="27" s="1"/>
        <i x="58" s="1"/>
        <i x="45" s="1"/>
        <i x="57" s="1"/>
        <i x="54" s="1"/>
        <i x="12" s="1"/>
        <i x="32" s="1"/>
        <i x="69" s="1"/>
        <i x="26" s="1"/>
        <i x="75" s="1"/>
        <i x="70" s="1"/>
        <i x="64" s="1"/>
        <i x="11" s="1"/>
        <i x="37" s="1"/>
        <i x="47" s="1"/>
        <i x="48" s="1"/>
        <i x="67" s="1"/>
        <i x="65" s="1"/>
        <i x="5" s="1"/>
        <i x="50" s="1"/>
        <i x="24" s="1"/>
        <i x="73" s="1"/>
        <i x="39" s="1"/>
        <i x="43" s="1"/>
        <i x="18" s="1"/>
        <i x="13" s="1"/>
        <i x="33" s="1"/>
        <i x="2" s="1"/>
        <i x="7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Страна" xr10:uid="{DA97E5DE-2C31-4CE2-B256-E4A381047E89}" sourceName="Страна">
  <pivotTables>
    <pivotTable tabId="6" name="продажи_магазинов"/>
    <pivotTable tabId="14" name="gmv_категории"/>
    <pivotTable tabId="8" name="gmv_магазины"/>
    <pivotTable tabId="12" name="gmv_поставщики"/>
    <pivotTable tabId="7" name="выгода_клиентам"/>
    <pivotTable tabId="18" name="дней_с_регистрации"/>
    <pivotTable tabId="15" name="кол-во_товара_в_чеке"/>
    <pivotTable tabId="11" name="цены_по_поставщ_внутри_кат"/>
  </pivotTables>
  <data>
    <tabular pivotCacheId="1675925286">
      <items count="6">
        <i x="1" s="1"/>
        <i x="2" s="1"/>
        <i x="4" s="1"/>
        <i x="0" s="1"/>
        <i x="3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Месяцы__дата_создания_чека" xr10:uid="{D3D8B30E-63E0-488E-B8F7-C9EF675F5033}" sourceName="Месяцы (дата создания чека)">
  <pivotTables>
    <pivotTable tabId="14" name="gmv_категории"/>
    <pivotTable tabId="8" name="gmv_магазины"/>
    <pivotTable tabId="12" name="gmv_поставщики"/>
    <pivotTable tabId="21" name="gmv_страны"/>
    <pivotTable tabId="7" name="выгода_клиентам"/>
    <pivotTable tabId="15" name="кол-во_товара_в_чеке"/>
    <pivotTable tabId="11" name="цены_по_поставщ_внутри_кат"/>
    <pivotTable tabId="21" name="Сводная таблица1"/>
    <pivotTable tabId="18" name="дней_с_регистрации"/>
  </pivotTables>
  <data>
    <tabular pivotCacheId="1675925286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варталы__дата_создания_чека" xr10:uid="{C926D199-6851-4F8C-A95B-DDABC0F853B0}" sourceName="Кварталы (дата создания чека)">
  <pivotTables>
    <pivotTable tabId="6" name="продажи_магазинов"/>
    <pivotTable tabId="14" name="gmv_категории"/>
    <pivotTable tabId="8" name="gmv_магазины"/>
    <pivotTable tabId="12" name="gmv_поставщики"/>
    <pivotTable tabId="21" name="gmv_страны"/>
    <pivotTable tabId="7" name="выгода_клиентам"/>
    <pivotTable tabId="15" name="кол-во_товара_в_чеке"/>
    <pivotTable tabId="11" name="цены_по_поставщ_внутри_кат"/>
    <pivotTable tabId="21" name="Сводная таблица1"/>
    <pivotTable tabId="23" name="география_клиентов"/>
    <pivotTable tabId="18" name="дней_с_регистрации"/>
    <pivotTable tabId="24" name="лайфтайм_клиента"/>
  </pivotTables>
  <data>
    <tabular pivotCacheId="1675925286">
      <items count="6">
        <i x="1" s="1"/>
        <i x="2" s="1"/>
        <i x="3" s="1"/>
        <i x="4" s="1"/>
        <i x="0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Годы__дата_создания_чека" xr10:uid="{2A17B3DA-C329-4F61-BD28-30658FFFD716}" sourceName="Годы (дата создания чека)">
  <pivotTables>
    <pivotTable tabId="6" name="продажи_магазинов"/>
    <pivotTable tabId="14" name="gmv_категории"/>
    <pivotTable tabId="8" name="gmv_магазины"/>
    <pivotTable tabId="12" name="gmv_поставщики"/>
    <pivotTable tabId="21" name="gmv_страны"/>
    <pivotTable tabId="7" name="выгода_клиентам"/>
    <pivotTable tabId="15" name="кол-во_товара_в_чеке"/>
    <pivotTable tabId="11" name="цены_по_поставщ_внутри_кат"/>
    <pivotTable tabId="21" name="Сводная таблица1"/>
    <pivotTable tabId="18" name="дней_с_регистрации"/>
  </pivotTables>
  <data>
    <tabular pivotCacheId="1675925286">
      <items count="4">
        <i x="1" s="1"/>
        <i x="2" s="1"/>
        <i x="0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участие_в_программе_лояльности" xr10:uid="{EF20AEAE-C4AC-41B9-A063-B7D304698B59}" sourceName="участие в программе лояльности">
  <pivotTables>
    <pivotTable tabId="6" name="продажи_магазинов"/>
    <pivotTable tabId="14" name="gmv_категории"/>
    <pivotTable tabId="8" name="gmv_магазины"/>
    <pivotTable tabId="12" name="gmv_поставщики"/>
    <pivotTable tabId="21" name="gmv_страны"/>
    <pivotTable tabId="7" name="выгода_клиентам"/>
    <pivotTable tabId="18" name="дней_с_регистрации"/>
    <pivotTable tabId="15" name="кол-во_товара_в_чеке"/>
    <pivotTable tabId="11" name="цены_по_поставщ_внутри_кат"/>
  </pivotTables>
  <data>
    <tabular pivotCacheId="1675925286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магазин покупки" xr10:uid="{43A0668D-366B-4092-86F3-1BE8B1B99111}" cache="Срез_магазин_покупки" caption="магазин покупки" lockedPosition="1" rowHeight="241300"/>
  <slicer name="Категория" xr10:uid="{00AC1C61-C90B-46F2-9131-05F0409BCD70}" cache="Срез_Категория" caption="Категория" lockedPosition="1" rowHeight="241300"/>
  <slicer name="Поставщик" xr10:uid="{BBB93E8C-D287-42DC-88D4-67EFBE03D171}" cache="Срез_Поставщик" caption="Поставщик" lockedPosition="1" rowHeight="241300"/>
  <slicer name="Страна" xr10:uid="{0ABCC8F5-009C-4B65-B9F1-805403DCB1B9}" cache="Срез_Страна" caption="Страна" lockedPosition="1" rowHeight="241300"/>
  <slicer name="Месяцы (дата создания чека)" xr10:uid="{D69E84B3-D7FD-4BD0-94F2-17FE4C482959}" cache="Срез_Месяцы__дата_создания_чека" caption="Месяцы (дата создания чека)" lockedPosition="1" rowHeight="241300"/>
  <slicer name="Кварталы (дата создания чека)" xr10:uid="{5E81372D-03CD-4FC1-8A6C-48AF6FFB1DA1}" cache="Срез_Кварталы__дата_создания_чека" caption="Кварталы (дата создания чека)" lockedPosition="1" rowHeight="241300"/>
  <slicer name="Годы (дата создания чека)" xr10:uid="{5960BB85-5391-4269-A9BE-F64DBCE4CCCC}" cache="Срез_Годы__дата_создания_чека" caption="Годы (дата создания чека)" lockedPosition="1" rowHeight="241300"/>
  <slicer name="участие в программе лояльности" xr10:uid="{DBA990A8-EC0E-4DB9-BE31-81B6456BE15B}" cache="Срез_участие_в_программе_лояльности" caption="программа лояльности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Продажи" displayName="Продажи" ref="A1:T1001" totalsRowShown="0" headerRowDxfId="132" dataDxfId="130" headerRowBorderDxfId="131" tableBorderDxfId="129">
  <autoFilter ref="A1:T1001" xr:uid="{00000000-0009-0000-0100-000001000000}"/>
  <tableColumns count="20">
    <tableColumn id="1" xr3:uid="{00000000-0010-0000-0000-000001000000}" name="id чека" dataDxfId="128"/>
    <tableColumn id="2" xr3:uid="{00000000-0010-0000-0000-000002000000}" name="id товара" dataDxfId="127"/>
    <tableColumn id="3" xr3:uid="{00000000-0010-0000-0000-000003000000}" name="цена за шт в рублях" dataDxfId="126"/>
    <tableColumn id="4" xr3:uid="{00000000-0010-0000-0000-000004000000}" name="кол-во штук в чеке" dataDxfId="125"/>
    <tableColumn id="5" xr3:uid="{00000000-0010-0000-0000-000005000000}" name="сумма чека" dataDxfId="124"/>
    <tableColumn id="6" xr3:uid="{00000000-0010-0000-0000-000006000000}" name="дата создания чека" dataDxfId="123"/>
    <tableColumn id="7" xr3:uid="{00000000-0010-0000-0000-000007000000}" name="магазин покупки" dataDxfId="122"/>
    <tableColumn id="8" xr3:uid="{00000000-0010-0000-0000-000008000000}" name="id клиента" dataDxfId="121"/>
    <tableColumn id="9" xr3:uid="{00000000-0010-0000-0000-000009000000}" name="Категория" dataDxfId="120">
      <calculatedColumnFormula>VLOOKUP(Продажи[[#This Row],[id товара]],Товары[],2,0)</calculatedColumnFormula>
    </tableColumn>
    <tableColumn id="14" xr3:uid="{00000000-0010-0000-0000-00000E000000}" name="Средняя цена в категории за шт" dataDxfId="119">
      <calculatedColumnFormula>AVERAGEIF(Продажи[Категория],Продажи[[#This Row],[Категория]],Продажи[цена за шт в рублях])</calculatedColumnFormula>
    </tableColumn>
    <tableColumn id="13" xr3:uid="{00000000-0010-0000-0000-00000D000000}" name="Выгода для клиента" dataDxfId="118">
      <calculatedColumnFormula>Продажи[[#This Row],[цена за шт в рублях]]/Продажи[[#This Row],[Средняя цена в категории за шт]]-1</calculatedColumnFormula>
    </tableColumn>
    <tableColumn id="10" xr3:uid="{00000000-0010-0000-0000-00000A000000}" name="Поставщик" dataDxfId="117">
      <calculatedColumnFormula>VLOOKUP(Продажи[[#This Row],[id товара]],Товары[],3,0)</calculatedColumnFormula>
    </tableColumn>
    <tableColumn id="11" xr3:uid="{00000000-0010-0000-0000-00000B000000}" name="Средняя цена в категории за шт по поставщику" dataDxfId="116">
      <calculatedColumnFormula>AVERAGEIFS(Продажи[цена за шт в рублях],Продажи[Категория],Продажи[[#This Row],[Категория]],Продажи[Поставщик],Продажи[[#This Row],[Поставщик]])</calculatedColumnFormula>
    </tableColumn>
    <tableColumn id="12" xr3:uid="{00000000-0010-0000-0000-00000C000000}" name="Выгода по поставщикам" dataDxfId="115">
      <calculatedColumnFormula>Продажи[[#This Row],[цена за шт в рублях]]/Продажи[[#This Row],[Средняя цена в категории за шт по поставщику]]-1</calculatedColumnFormula>
    </tableColumn>
    <tableColumn id="15" xr3:uid="{00000000-0010-0000-0000-00000F000000}" name="Дата регистрации" dataDxfId="114">
      <calculatedColumnFormula>VLOOKUP(Продажи[[#This Row],[id клиента]],клиенты!$A$2:$E$435,5,0)</calculatedColumnFormula>
    </tableColumn>
    <tableColumn id="16" xr3:uid="{00000000-0010-0000-0000-000010000000}" name="Количество дней с момента регистрации" dataDxfId="113">
      <calculatedColumnFormula>Продажи[[#This Row],[дата создания чека]]-Продажи[[#This Row],[Дата регистрации]]</calculatedColumnFormula>
    </tableColumn>
    <tableColumn id="17" xr3:uid="{86688876-5D61-4FEA-B711-794F199F0A67}" name="Страна" dataDxfId="112">
      <calculatedColumnFormula>VLOOKUP(Продажи[[#This Row],[id клиента]],клиенты!$A$2:$G$435,7,0)</calculatedColumnFormula>
    </tableColumn>
    <tableColumn id="18" xr3:uid="{C67BBB10-260B-41BB-9607-B4C6AC27D3F2}" name="ID уникальный" dataDxfId="111">
      <calculatedColumnFormula>IF(COUNTIF($H$2:H2, H2)=1, 1, 0)</calculatedColumnFormula>
    </tableColumn>
    <tableColumn id="19" xr3:uid="{4D9219D3-CB9D-4286-AA0A-91102B52EBB7}" name="участие в программе лояльности" dataDxfId="110">
      <calculatedColumnFormula>VLOOKUP(Продажи[[#This Row],[id клиента]],клиенты!$A$2:$D$435,4,0)</calculatedColumnFormula>
    </tableColumn>
    <tableColumn id="21" xr3:uid="{4C3ED65F-ABBD-4333-A120-AAA61743AD27}" name="лайфтайм клиента" dataDxfId="109">
      <calculatedColumnFormula>VLOOKUP(Продажи[[#This Row],[id клиента]],клиенты!$A$2:$I$435,9,0)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овары" displayName="Товары" ref="A1:C433" totalsRowShown="0" headerRowDxfId="108" headerRowBorderDxfId="107" tableBorderDxfId="106">
  <autoFilter ref="A1:C433" xr:uid="{00000000-0009-0000-0100-000002000000}"/>
  <tableColumns count="3">
    <tableColumn id="1" xr3:uid="{00000000-0010-0000-0100-000001000000}" name="id товара"/>
    <tableColumn id="2" xr3:uid="{00000000-0010-0000-0100-000002000000}" name="категория товара"/>
    <tableColumn id="3" xr3:uid="{00000000-0010-0000-0100-000003000000}" name="поставщик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31"/>
  <sheetViews>
    <sheetView showGridLines="0" tabSelected="1" topLeftCell="B7" workbookViewId="0">
      <selection activeCell="E20" sqref="E20"/>
    </sheetView>
  </sheetViews>
  <sheetFormatPr defaultColWidth="10.85546875" defaultRowHeight="15.75" x14ac:dyDescent="0.25"/>
  <cols>
    <col min="1" max="1" width="10.85546875" style="2"/>
    <col min="2" max="2" width="5.28515625" style="2" customWidth="1"/>
    <col min="3" max="3" width="73.7109375" style="2" bestFit="1" customWidth="1"/>
    <col min="4" max="4" width="3.42578125" style="2" bestFit="1" customWidth="1"/>
    <col min="5" max="5" width="55.85546875" style="2" bestFit="1" customWidth="1"/>
    <col min="6" max="6" width="125.5703125" style="2" customWidth="1"/>
    <col min="7" max="7" width="10.85546875" style="2"/>
    <col min="8" max="8" width="56.7109375" style="2" bestFit="1" customWidth="1"/>
    <col min="9" max="9" width="35.42578125" style="2" bestFit="1" customWidth="1"/>
    <col min="10" max="12" width="10.85546875" style="2"/>
    <col min="13" max="13" width="25.7109375" style="2" bestFit="1" customWidth="1"/>
    <col min="14" max="16384" width="10.85546875" style="2"/>
  </cols>
  <sheetData>
    <row r="2" spans="3:8" ht="16.5" thickBot="1" x14ac:dyDescent="0.3"/>
    <row r="3" spans="3:8" ht="21.75" thickBot="1" x14ac:dyDescent="0.4">
      <c r="C3" s="11" t="s">
        <v>1148</v>
      </c>
    </row>
    <row r="4" spans="3:8" ht="18.75" x14ac:dyDescent="0.3">
      <c r="C4" s="46" t="s">
        <v>1041</v>
      </c>
    </row>
    <row r="5" spans="3:8" ht="16.5" thickBot="1" x14ac:dyDescent="0.3"/>
    <row r="6" spans="3:8" ht="16.5" thickBot="1" x14ac:dyDescent="0.3">
      <c r="C6" s="9" t="s">
        <v>1032</v>
      </c>
      <c r="D6" s="61" t="s">
        <v>1040</v>
      </c>
      <c r="E6" s="62" t="s">
        <v>1033</v>
      </c>
      <c r="F6" s="63" t="s">
        <v>1037</v>
      </c>
    </row>
    <row r="7" spans="3:8" ht="87.75" customHeight="1" thickBot="1" x14ac:dyDescent="0.3">
      <c r="C7" s="10" t="s">
        <v>1014</v>
      </c>
      <c r="D7" s="64">
        <v>1</v>
      </c>
      <c r="E7" s="51" t="s">
        <v>1015</v>
      </c>
      <c r="F7" s="65" t="s">
        <v>1133</v>
      </c>
    </row>
    <row r="8" spans="3:8" ht="56.25" customHeight="1" thickBot="1" x14ac:dyDescent="0.3">
      <c r="C8" s="7"/>
      <c r="D8" s="66">
        <v>2</v>
      </c>
      <c r="E8" s="52" t="s">
        <v>1034</v>
      </c>
      <c r="F8" s="65" t="s">
        <v>1132</v>
      </c>
    </row>
    <row r="9" spans="3:8" ht="32.25" customHeight="1" thickBot="1" x14ac:dyDescent="0.3">
      <c r="C9" s="8"/>
      <c r="D9" s="67">
        <v>3</v>
      </c>
      <c r="E9" s="53" t="s">
        <v>1038</v>
      </c>
      <c r="F9" s="65" t="s">
        <v>1077</v>
      </c>
    </row>
    <row r="10" spans="3:8" ht="33.75" customHeight="1" thickBot="1" x14ac:dyDescent="0.3">
      <c r="C10" s="10" t="s">
        <v>1018</v>
      </c>
      <c r="D10" s="64">
        <v>4</v>
      </c>
      <c r="E10" s="51" t="s">
        <v>1035</v>
      </c>
      <c r="F10" s="65" t="s">
        <v>1075</v>
      </c>
    </row>
    <row r="11" spans="3:8" ht="36.75" customHeight="1" thickBot="1" x14ac:dyDescent="0.3">
      <c r="C11" s="8"/>
      <c r="D11" s="67">
        <v>5</v>
      </c>
      <c r="E11" s="53" t="s">
        <v>1031</v>
      </c>
      <c r="F11" s="65" t="s">
        <v>1074</v>
      </c>
    </row>
    <row r="12" spans="3:8" ht="26.25" customHeight="1" thickBot="1" x14ac:dyDescent="0.3">
      <c r="C12" s="10" t="s">
        <v>1016</v>
      </c>
      <c r="D12" s="64">
        <v>6</v>
      </c>
      <c r="E12" s="51" t="s">
        <v>1039</v>
      </c>
      <c r="F12" s="65" t="s">
        <v>1076</v>
      </c>
    </row>
    <row r="13" spans="3:8" ht="34.5" customHeight="1" thickBot="1" x14ac:dyDescent="0.3">
      <c r="C13" s="8"/>
      <c r="D13" s="67">
        <v>7</v>
      </c>
      <c r="E13" s="53" t="s">
        <v>1022</v>
      </c>
      <c r="F13" s="65" t="s">
        <v>1079</v>
      </c>
    </row>
    <row r="14" spans="3:8" ht="35.25" customHeight="1" thickBot="1" x14ac:dyDescent="0.3">
      <c r="C14" s="7" t="s">
        <v>1017</v>
      </c>
      <c r="D14" s="66">
        <v>8</v>
      </c>
      <c r="E14" s="52" t="s">
        <v>1024</v>
      </c>
      <c r="F14" s="68" t="s">
        <v>1081</v>
      </c>
      <c r="H14" s="4"/>
    </row>
    <row r="15" spans="3:8" ht="35.25" customHeight="1" thickBot="1" x14ac:dyDescent="0.3">
      <c r="C15" s="7"/>
      <c r="D15" s="66">
        <v>9</v>
      </c>
      <c r="E15" s="52" t="s">
        <v>1098</v>
      </c>
      <c r="F15" s="68" t="s">
        <v>1147</v>
      </c>
      <c r="H15" s="4"/>
    </row>
    <row r="16" spans="3:8" ht="15.75" customHeight="1" thickBot="1" x14ac:dyDescent="0.3">
      <c r="C16" s="7"/>
      <c r="D16" s="66">
        <v>10</v>
      </c>
      <c r="E16" s="52" t="s">
        <v>1036</v>
      </c>
      <c r="F16" s="69" t="s">
        <v>1167</v>
      </c>
      <c r="H16" s="4"/>
    </row>
    <row r="17" spans="3:9" ht="21" customHeight="1" thickBot="1" x14ac:dyDescent="0.3">
      <c r="C17" s="7"/>
      <c r="D17" s="66">
        <v>11</v>
      </c>
      <c r="E17" s="52" t="s">
        <v>1029</v>
      </c>
      <c r="F17" s="70" t="s">
        <v>1168</v>
      </c>
      <c r="H17" s="4"/>
    </row>
    <row r="18" spans="3:9" ht="38.25" customHeight="1" thickBot="1" x14ac:dyDescent="0.3">
      <c r="C18" s="8"/>
      <c r="D18" s="71">
        <v>12</v>
      </c>
      <c r="E18" s="72" t="s">
        <v>1030</v>
      </c>
      <c r="F18" s="65" t="s">
        <v>1150</v>
      </c>
      <c r="H18" s="4"/>
    </row>
    <row r="19" spans="3:9" ht="16.5" thickBot="1" x14ac:dyDescent="0.3"/>
    <row r="20" spans="3:9" x14ac:dyDescent="0.25">
      <c r="C20" s="3" t="s">
        <v>1019</v>
      </c>
      <c r="D20" s="4"/>
    </row>
    <row r="21" spans="3:9" x14ac:dyDescent="0.25">
      <c r="C21" s="5" t="s">
        <v>1020</v>
      </c>
    </row>
    <row r="22" spans="3:9" x14ac:dyDescent="0.25">
      <c r="C22" s="5" t="s">
        <v>1021</v>
      </c>
      <c r="H22" s="4"/>
      <c r="I22" s="4"/>
    </row>
    <row r="23" spans="3:9" x14ac:dyDescent="0.25">
      <c r="C23" s="5" t="s">
        <v>1023</v>
      </c>
    </row>
    <row r="24" spans="3:9" x14ac:dyDescent="0.25">
      <c r="C24" s="5" t="s">
        <v>1025</v>
      </c>
      <c r="H24" s="4"/>
      <c r="I24" s="4"/>
    </row>
    <row r="25" spans="3:9" x14ac:dyDescent="0.25">
      <c r="C25" s="5" t="s">
        <v>1026</v>
      </c>
    </row>
    <row r="26" spans="3:9" x14ac:dyDescent="0.25">
      <c r="C26" s="5" t="s">
        <v>1027</v>
      </c>
      <c r="H26" s="73"/>
      <c r="I26" s="73"/>
    </row>
    <row r="27" spans="3:9" x14ac:dyDescent="0.25">
      <c r="C27" s="5" t="s">
        <v>1028</v>
      </c>
      <c r="I27" s="4"/>
    </row>
    <row r="28" spans="3:9" ht="16.5" thickBot="1" x14ac:dyDescent="0.3">
      <c r="C28" s="6" t="s">
        <v>1149</v>
      </c>
      <c r="I28" s="4"/>
    </row>
    <row r="29" spans="3:9" x14ac:dyDescent="0.25">
      <c r="I29" s="4"/>
    </row>
    <row r="31" spans="3:9" x14ac:dyDescent="0.25">
      <c r="I31" s="4"/>
    </row>
  </sheetData>
  <mergeCells count="1">
    <mergeCell ref="H26:I26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B257-2B6D-4577-AFA7-4166B20E984F}">
  <dimension ref="B3:AG193"/>
  <sheetViews>
    <sheetView showGridLines="0" topLeftCell="B1" zoomScale="62" zoomScaleNormal="62" workbookViewId="0">
      <pane ySplit="5" topLeftCell="A6" activePane="bottomLeft" state="frozen"/>
      <selection activeCell="H1" sqref="H1"/>
      <selection pane="bottomLeft" activeCell="AH150" sqref="AH149:AH150"/>
    </sheetView>
  </sheetViews>
  <sheetFormatPr defaultRowHeight="15" x14ac:dyDescent="0.25"/>
  <cols>
    <col min="1" max="16384" width="9.140625" style="47"/>
  </cols>
  <sheetData>
    <row r="3" spans="2:31" ht="18.75" x14ac:dyDescent="0.25">
      <c r="C3" s="76" t="s">
        <v>1135</v>
      </c>
      <c r="D3" s="77"/>
      <c r="E3" s="77"/>
      <c r="F3" s="77"/>
      <c r="I3" s="76" t="s">
        <v>1141</v>
      </c>
      <c r="J3" s="77"/>
      <c r="K3" s="77"/>
      <c r="L3" s="77"/>
      <c r="O3" s="76" t="s">
        <v>1138</v>
      </c>
      <c r="P3" s="77"/>
      <c r="Q3" s="77"/>
      <c r="R3" s="77"/>
      <c r="U3" s="76" t="s">
        <v>1136</v>
      </c>
      <c r="V3" s="77"/>
      <c r="W3" s="77"/>
      <c r="X3" s="77"/>
      <c r="AA3" s="76" t="s">
        <v>1137</v>
      </c>
      <c r="AB3" s="77"/>
      <c r="AC3" s="77"/>
      <c r="AD3" s="77"/>
    </row>
    <row r="4" spans="2:31" x14ac:dyDescent="0.25">
      <c r="C4" s="78">
        <f>SUM('GMV по магазинам'!B2:B23)</f>
        <v>4002165</v>
      </c>
      <c r="D4" s="78"/>
      <c r="E4" s="78"/>
      <c r="F4" s="78"/>
      <c r="I4" s="79">
        <f>SUM('кол-во дней с регистрации'!B:B)</f>
        <v>1000</v>
      </c>
      <c r="J4" s="79"/>
      <c r="K4" s="79"/>
      <c r="L4" s="79"/>
      <c r="O4" s="80" t="str">
        <f>'GMV по поставщикам'!A4</f>
        <v>Паста Зара</v>
      </c>
      <c r="P4" s="80"/>
      <c r="Q4" s="80"/>
      <c r="R4" s="80"/>
      <c r="U4" s="80" t="str">
        <f>'GMV по магазинам'!A4</f>
        <v>О'кей</v>
      </c>
      <c r="V4" s="80"/>
      <c r="W4" s="80"/>
      <c r="X4" s="80"/>
      <c r="AA4" s="80" t="str">
        <f>'GMV по категориям'!A4</f>
        <v>Макароны</v>
      </c>
      <c r="AB4" s="80"/>
      <c r="AC4" s="80"/>
      <c r="AD4" s="80"/>
    </row>
    <row r="5" spans="2:31" x14ac:dyDescent="0.25">
      <c r="C5" s="78"/>
      <c r="D5" s="78"/>
      <c r="E5" s="78"/>
      <c r="F5" s="78"/>
      <c r="I5" s="79"/>
      <c r="J5" s="79"/>
      <c r="K5" s="79"/>
      <c r="L5" s="79"/>
      <c r="O5" s="80"/>
      <c r="P5" s="80"/>
      <c r="Q5" s="80"/>
      <c r="R5" s="80"/>
      <c r="U5" s="80"/>
      <c r="V5" s="80"/>
      <c r="W5" s="80"/>
      <c r="X5" s="80"/>
      <c r="AA5" s="80"/>
      <c r="AB5" s="80"/>
      <c r="AC5" s="80"/>
      <c r="AD5" s="80"/>
    </row>
    <row r="7" spans="2:31" ht="21" x14ac:dyDescent="0.35">
      <c r="B7" s="74" t="s">
        <v>1014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</row>
    <row r="28" spans="33:33" x14ac:dyDescent="0.25">
      <c r="AG28" s="47" t="s">
        <v>1131</v>
      </c>
    </row>
    <row r="70" spans="2:31" ht="21" x14ac:dyDescent="0.35">
      <c r="B70" s="74" t="s">
        <v>1018</v>
      </c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</row>
    <row r="135" spans="2:31" ht="21" x14ac:dyDescent="0.35">
      <c r="B135" s="74" t="s">
        <v>1016</v>
      </c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</row>
    <row r="193" spans="2:31" ht="21" x14ac:dyDescent="0.35">
      <c r="B193" s="74" t="s">
        <v>1017</v>
      </c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  <c r="AC193" s="75"/>
      <c r="AD193" s="75"/>
      <c r="AE193" s="75"/>
    </row>
  </sheetData>
  <mergeCells count="14">
    <mergeCell ref="B7:AE7"/>
    <mergeCell ref="B70:AE70"/>
    <mergeCell ref="B135:AE135"/>
    <mergeCell ref="B193:AE193"/>
    <mergeCell ref="C3:F3"/>
    <mergeCell ref="C4:F5"/>
    <mergeCell ref="I3:L3"/>
    <mergeCell ref="I4:L5"/>
    <mergeCell ref="O3:R3"/>
    <mergeCell ref="O4:R5"/>
    <mergeCell ref="U3:X3"/>
    <mergeCell ref="U4:X5"/>
    <mergeCell ref="AA3:AD3"/>
    <mergeCell ref="AA4:AD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1"/>
  <sheetViews>
    <sheetView topLeftCell="H85" workbookViewId="0">
      <selection activeCell="O2" sqref="O2"/>
    </sheetView>
  </sheetViews>
  <sheetFormatPr defaultColWidth="8.85546875" defaultRowHeight="15" x14ac:dyDescent="0.25"/>
  <cols>
    <col min="1" max="1" width="11.85546875" bestFit="1" customWidth="1"/>
    <col min="2" max="2" width="13.85546875" bestFit="1" customWidth="1"/>
    <col min="3" max="3" width="16.5703125" bestFit="1" customWidth="1"/>
    <col min="4" max="4" width="18.140625" bestFit="1" customWidth="1"/>
    <col min="5" max="5" width="16.140625" bestFit="1" customWidth="1"/>
    <col min="6" max="6" width="18.7109375" bestFit="1" customWidth="1"/>
    <col min="7" max="7" width="23.5703125" bestFit="1" customWidth="1"/>
    <col min="8" max="8" width="15.140625" bestFit="1" customWidth="1"/>
    <col min="9" max="9" width="14.85546875" customWidth="1"/>
    <col min="10" max="10" width="18.7109375" bestFit="1" customWidth="1"/>
    <col min="11" max="11" width="15" bestFit="1" customWidth="1"/>
    <col min="12" max="12" width="18.140625" bestFit="1" customWidth="1"/>
    <col min="13" max="13" width="18.42578125" bestFit="1" customWidth="1"/>
    <col min="14" max="14" width="16.28515625" bestFit="1" customWidth="1"/>
    <col min="15" max="15" width="13.28515625" customWidth="1"/>
    <col min="16" max="16" width="17" bestFit="1" customWidth="1"/>
    <col min="17" max="17" width="12.7109375" bestFit="1" customWidth="1"/>
    <col min="18" max="18" width="12" customWidth="1"/>
    <col min="19" max="19" width="15.140625" customWidth="1"/>
    <col min="20" max="20" width="11.140625" customWidth="1"/>
  </cols>
  <sheetData>
    <row r="1" spans="1:20" ht="49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1059</v>
      </c>
      <c r="J1" s="18" t="s">
        <v>1061</v>
      </c>
      <c r="K1" s="18" t="s">
        <v>1066</v>
      </c>
      <c r="L1" s="18" t="s">
        <v>1060</v>
      </c>
      <c r="M1" s="18" t="s">
        <v>1069</v>
      </c>
      <c r="N1" s="18" t="s">
        <v>1073</v>
      </c>
      <c r="O1" s="18" t="s">
        <v>1084</v>
      </c>
      <c r="P1" s="18" t="s">
        <v>1085</v>
      </c>
      <c r="Q1" s="18" t="s">
        <v>139</v>
      </c>
      <c r="R1" s="18" t="s">
        <v>1139</v>
      </c>
      <c r="S1" s="18" t="s">
        <v>1142</v>
      </c>
      <c r="T1" s="18" t="s">
        <v>1143</v>
      </c>
    </row>
    <row r="2" spans="1:20" x14ac:dyDescent="0.25">
      <c r="A2">
        <v>1</v>
      </c>
      <c r="B2">
        <v>300</v>
      </c>
      <c r="C2">
        <v>103</v>
      </c>
      <c r="D2">
        <v>4</v>
      </c>
      <c r="E2" s="35">
        <v>2060</v>
      </c>
      <c r="F2" s="48">
        <v>45187</v>
      </c>
      <c r="G2" t="s">
        <v>8</v>
      </c>
      <c r="H2">
        <v>315</v>
      </c>
      <c r="I2" t="str">
        <f>VLOOKUP(Продажи[[#This Row],[id товара]],Товары[],2,0)</f>
        <v>Сахар</v>
      </c>
      <c r="J2" s="17">
        <f>AVERAGEIF(Продажи[Категория],Продажи[[#This Row],[Категория]],Продажи[цена за шт в рублях])</f>
        <v>252.76271186440678</v>
      </c>
      <c r="K2" s="16">
        <f>Продажи[[#This Row],[цена за шт в рублях]]/Продажи[[#This Row],[Средняя цена в категории за шт]]-1</f>
        <v>-0.59250318514048139</v>
      </c>
      <c r="L2" t="str">
        <f>VLOOKUP(Продажи[[#This Row],[id товара]],Товары[],3,0)</f>
        <v>Продимекс</v>
      </c>
      <c r="M2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2" s="16">
        <f>Продажи[[#This Row],[цена за шт в рублях]]/Продажи[[#This Row],[Средняя цена в категории за шт по поставщику]]-1</f>
        <v>-0.5717255717255717</v>
      </c>
      <c r="O2" s="48">
        <f>VLOOKUP(Продажи[[#This Row],[id клиента]],клиенты!$A$2:$E$435,5,0)</f>
        <v>44747</v>
      </c>
      <c r="P2">
        <f>Продажи[[#This Row],[дата создания чека]]-Продажи[[#This Row],[Дата регистрации]]</f>
        <v>440</v>
      </c>
      <c r="Q2" t="str">
        <f>VLOOKUP(Продажи[[#This Row],[id клиента]],клиенты!$A$2:$G$435,7,0)</f>
        <v>Узбекистан</v>
      </c>
      <c r="R2">
        <f>IF(COUNTIF($H$2:H2, H2)=1, 1, 0)</f>
        <v>1</v>
      </c>
      <c r="S2" t="str">
        <f>VLOOKUP(Продажи[[#This Row],[id клиента]],клиенты!$A$2:$D$435,4,0)</f>
        <v>да</v>
      </c>
      <c r="T2" s="54">
        <f>VLOOKUP(Продажи[[#This Row],[id клиента]],клиенты!$A$2:$I$435,9,0)</f>
        <v>20.402464065708418</v>
      </c>
    </row>
    <row r="3" spans="1:20" x14ac:dyDescent="0.25">
      <c r="A3">
        <v>2</v>
      </c>
      <c r="B3">
        <v>486</v>
      </c>
      <c r="C3">
        <v>296</v>
      </c>
      <c r="D3">
        <v>3</v>
      </c>
      <c r="E3" s="35">
        <v>4440</v>
      </c>
      <c r="F3" s="48">
        <v>45083</v>
      </c>
      <c r="G3" t="s">
        <v>9</v>
      </c>
      <c r="H3">
        <v>253</v>
      </c>
      <c r="I3" t="str">
        <f>VLOOKUP(Продажи[[#This Row],[id товара]],Товары[],2,0)</f>
        <v>Соль</v>
      </c>
      <c r="J3" s="17">
        <f>AVERAGEIF(Продажи[Категория],Продажи[[#This Row],[Категория]],Продажи[цена за шт в рублях])</f>
        <v>264.8679245283019</v>
      </c>
      <c r="K3" s="16">
        <f>Продажи[[#This Row],[цена за шт в рублях]]/Продажи[[#This Row],[Средняя цена в категории за шт]]-1</f>
        <v>0.11753811084200017</v>
      </c>
      <c r="L3" t="str">
        <f>VLOOKUP(Продажи[[#This Row],[id товара]],Товары[],3,0)</f>
        <v>Илецкая</v>
      </c>
      <c r="M3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3" s="16">
        <f>Продажи[[#This Row],[цена за шт в рублях]]/Продажи[[#This Row],[Средняя цена в категории за шт по поставщику]]-1</f>
        <v>0.24282715185444381</v>
      </c>
      <c r="O3" s="48">
        <f>VLOOKUP(Продажи[[#This Row],[id клиента]],клиенты!$A$2:$E$435,5,0)</f>
        <v>44750</v>
      </c>
      <c r="P3">
        <f>Продажи[[#This Row],[дата создания чека]]-Продажи[[#This Row],[Дата регистрации]]</f>
        <v>333</v>
      </c>
      <c r="Q3" t="str">
        <f>VLOOKUP(Продажи[[#This Row],[id клиента]],клиенты!$A$2:$G$435,7,0)</f>
        <v>Беларусь</v>
      </c>
      <c r="R3">
        <f>IF(COUNTIF($H$2:H3, H3)=1, 1, 0)</f>
        <v>1</v>
      </c>
      <c r="S3" t="str">
        <f>VLOOKUP(Продажи[[#This Row],[id клиента]],клиенты!$A$2:$D$435,4,0)</f>
        <v>да</v>
      </c>
      <c r="T3" s="54">
        <f>VLOOKUP(Продажи[[#This Row],[id клиента]],клиенты!$A$2:$I$435,9,0)</f>
        <v>10.940451745379876</v>
      </c>
    </row>
    <row r="4" spans="1:20" x14ac:dyDescent="0.25">
      <c r="A4">
        <v>3</v>
      </c>
      <c r="B4">
        <v>76</v>
      </c>
      <c r="C4">
        <v>139</v>
      </c>
      <c r="D4">
        <v>5</v>
      </c>
      <c r="E4" s="35">
        <v>3475</v>
      </c>
      <c r="F4" s="48">
        <v>45363</v>
      </c>
      <c r="G4" t="s">
        <v>10</v>
      </c>
      <c r="H4">
        <v>12</v>
      </c>
      <c r="I4" t="str">
        <f>VLOOKUP(Продажи[[#This Row],[id товара]],Товары[],2,0)</f>
        <v>Печенье</v>
      </c>
      <c r="J4" s="17">
        <f>AVERAGEIF(Продажи[Категория],Продажи[[#This Row],[Категория]],Продажи[цена за шт в рублях])</f>
        <v>283.468085106383</v>
      </c>
      <c r="K4" s="16">
        <f>Продажи[[#This Row],[цена за шт в рублях]]/Продажи[[#This Row],[Средняя цена в категории за шт]]-1</f>
        <v>-0.50964497485551308</v>
      </c>
      <c r="L4" t="str">
        <f>VLOOKUP(Продажи[[#This Row],[id товара]],Товары[],3,0)</f>
        <v>Юбилейное</v>
      </c>
      <c r="M4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4" s="16">
        <f>Продажи[[#This Row],[цена за шт в рублях]]/Продажи[[#This Row],[Средняя цена в категории за шт по поставщику]]-1</f>
        <v>-0.40200764818355639</v>
      </c>
      <c r="O4" s="48">
        <f>VLOOKUP(Продажи[[#This Row],[id клиента]],клиенты!$A$2:$E$435,5,0)</f>
        <v>44842</v>
      </c>
      <c r="P4">
        <f>Продажи[[#This Row],[дата создания чека]]-Продажи[[#This Row],[Дата регистрации]]</f>
        <v>521</v>
      </c>
      <c r="Q4" t="str">
        <f>VLOOKUP(Продажи[[#This Row],[id клиента]],клиенты!$A$2:$G$435,7,0)</f>
        <v>Беларусь</v>
      </c>
      <c r="R4">
        <f>IF(COUNTIF($H$2:H4, H4)=1, 1, 0)</f>
        <v>1</v>
      </c>
      <c r="S4" t="str">
        <f>VLOOKUP(Продажи[[#This Row],[id клиента]],клиенты!$A$2:$D$435,4,0)</f>
        <v>да</v>
      </c>
      <c r="T4" s="54">
        <f>VLOOKUP(Продажи[[#This Row],[id клиента]],клиенты!$A$2:$I$435,9,0)</f>
        <v>17.117043121149898</v>
      </c>
    </row>
    <row r="5" spans="1:20" x14ac:dyDescent="0.25">
      <c r="A5">
        <v>4</v>
      </c>
      <c r="B5">
        <v>240</v>
      </c>
      <c r="C5">
        <v>141</v>
      </c>
      <c r="D5">
        <v>5</v>
      </c>
      <c r="E5" s="35">
        <v>3525</v>
      </c>
      <c r="F5" s="48">
        <v>45262</v>
      </c>
      <c r="G5" t="s">
        <v>11</v>
      </c>
      <c r="H5">
        <v>116</v>
      </c>
      <c r="I5" t="str">
        <f>VLOOKUP(Продажи[[#This Row],[id товара]],Товары[],2,0)</f>
        <v>Макароны</v>
      </c>
      <c r="J5" s="17">
        <f>AVERAGEIF(Продажи[Категория],Продажи[[#This Row],[Категория]],Продажи[цена за шт в рублях])</f>
        <v>265.47674418604652</v>
      </c>
      <c r="K5" s="16">
        <f>Продажи[[#This Row],[цена за шт в рублях]]/Продажи[[#This Row],[Средняя цена в категории за шт]]-1</f>
        <v>-0.46888003153606939</v>
      </c>
      <c r="L5" t="str">
        <f>VLOOKUP(Продажи[[#This Row],[id товара]],Товары[],3,0)</f>
        <v>Борилла</v>
      </c>
      <c r="M5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5" s="16">
        <f>Продажи[[#This Row],[цена за шт в рублях]]/Продажи[[#This Row],[Средняя цена в категории за шт по поставщику]]-1</f>
        <v>-0.40323992994746061</v>
      </c>
      <c r="O5" s="48">
        <f>VLOOKUP(Продажи[[#This Row],[id клиента]],клиенты!$A$2:$E$435,5,0)</f>
        <v>44643</v>
      </c>
      <c r="P5">
        <f>Продажи[[#This Row],[дата создания чека]]-Продажи[[#This Row],[Дата регистрации]]</f>
        <v>619</v>
      </c>
      <c r="Q5" t="str">
        <f>VLOOKUP(Продажи[[#This Row],[id клиента]],клиенты!$A$2:$G$435,7,0)</f>
        <v>Россия</v>
      </c>
      <c r="R5">
        <f>IF(COUNTIF($H$2:H5, H5)=1, 1, 0)</f>
        <v>1</v>
      </c>
      <c r="S5" t="str">
        <f>VLOOKUP(Продажи[[#This Row],[id клиента]],клиенты!$A$2:$D$435,4,0)</f>
        <v>нет</v>
      </c>
      <c r="T5" s="54">
        <f>VLOOKUP(Продажи[[#This Row],[id клиента]],клиенты!$A$2:$I$435,9,0)</f>
        <v>21.125256673511295</v>
      </c>
    </row>
    <row r="6" spans="1:20" x14ac:dyDescent="0.25">
      <c r="A6">
        <v>5</v>
      </c>
      <c r="B6">
        <v>32</v>
      </c>
      <c r="C6">
        <v>123</v>
      </c>
      <c r="D6">
        <v>2</v>
      </c>
      <c r="E6" s="35">
        <v>1230</v>
      </c>
      <c r="F6" s="48">
        <v>45151</v>
      </c>
      <c r="G6" t="s">
        <v>12</v>
      </c>
      <c r="H6">
        <v>471</v>
      </c>
      <c r="I6" t="str">
        <f>VLOOKUP(Продажи[[#This Row],[id товара]],Товары[],2,0)</f>
        <v>Овощи</v>
      </c>
      <c r="J6" s="17">
        <f>AVERAGEIF(Продажи[Категория],Продажи[[#This Row],[Категория]],Продажи[цена за шт в рублях])</f>
        <v>250.48780487804879</v>
      </c>
      <c r="K6" s="16">
        <f>Продажи[[#This Row],[цена за шт в рублях]]/Продажи[[#This Row],[Средняя цена в категории за шт]]-1</f>
        <v>-0.5089581304771178</v>
      </c>
      <c r="L6" t="str">
        <f>VLOOKUP(Продажи[[#This Row],[id товара]],Товары[],3,0)</f>
        <v>Зеленая грядка</v>
      </c>
      <c r="M6" s="32">
        <f>AVERAGEIFS(Продажи[цена за шт в рублях],Продажи[Категория],Продажи[[#This Row],[Категория]],Продажи[Поставщик],Продажи[[#This Row],[Поставщик]])</f>
        <v>159.19999999999999</v>
      </c>
      <c r="N6" s="16">
        <f>Продажи[[#This Row],[цена за шт в рублях]]/Продажи[[#This Row],[Средняя цена в категории за шт по поставщику]]-1</f>
        <v>-0.22738693467336679</v>
      </c>
      <c r="O6" s="48">
        <f>VLOOKUP(Продажи[[#This Row],[id клиента]],клиенты!$A$2:$E$435,5,0)</f>
        <v>44577</v>
      </c>
      <c r="P6">
        <f>Продажи[[#This Row],[дата создания чека]]-Продажи[[#This Row],[Дата регистрации]]</f>
        <v>574</v>
      </c>
      <c r="Q6" t="str">
        <f>VLOOKUP(Продажи[[#This Row],[id клиента]],клиенты!$A$2:$G$435,7,0)</f>
        <v>Украина</v>
      </c>
      <c r="R6">
        <f>IF(COUNTIF($H$2:H6, H6)=1, 1, 0)</f>
        <v>1</v>
      </c>
      <c r="S6" t="str">
        <f>VLOOKUP(Продажи[[#This Row],[id клиента]],клиенты!$A$2:$D$435,4,0)</f>
        <v>да</v>
      </c>
      <c r="T6" s="54">
        <f>VLOOKUP(Продажи[[#This Row],[id клиента]],клиенты!$A$2:$I$435,9,0)</f>
        <v>18.858316221765914</v>
      </c>
    </row>
    <row r="7" spans="1:20" x14ac:dyDescent="0.25">
      <c r="A7">
        <v>6</v>
      </c>
      <c r="B7">
        <v>162</v>
      </c>
      <c r="C7">
        <v>452</v>
      </c>
      <c r="D7">
        <v>2</v>
      </c>
      <c r="E7" s="35">
        <v>4520</v>
      </c>
      <c r="F7" s="48">
        <v>45281</v>
      </c>
      <c r="G7" t="s">
        <v>8</v>
      </c>
      <c r="H7">
        <v>374</v>
      </c>
      <c r="I7" t="str">
        <f>VLOOKUP(Продажи[[#This Row],[id товара]],Товары[],2,0)</f>
        <v>Сок</v>
      </c>
      <c r="J7" s="17">
        <f>AVERAGEIF(Продажи[Категория],Продажи[[#This Row],[Категория]],Продажи[цена за шт в рублях])</f>
        <v>268.60344827586209</v>
      </c>
      <c r="K7" s="16">
        <f>Продажи[[#This Row],[цена за шт в рублях]]/Продажи[[#This Row],[Средняя цена в категории за шт]]-1</f>
        <v>0.68277809872263928</v>
      </c>
      <c r="L7" t="str">
        <f>VLOOKUP(Продажи[[#This Row],[id товара]],Товары[],3,0)</f>
        <v>Фруктовый сад</v>
      </c>
      <c r="M7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7" s="16">
        <f>Продажи[[#This Row],[цена за шт в рублях]]/Продажи[[#This Row],[Средняя цена в категории за шт по поставщику]]-1</f>
        <v>0.60301451845284282</v>
      </c>
      <c r="O7" s="48">
        <f>VLOOKUP(Продажи[[#This Row],[id клиента]],клиенты!$A$2:$E$435,5,0)</f>
        <v>44582</v>
      </c>
      <c r="P7">
        <f>Продажи[[#This Row],[дата создания чека]]-Продажи[[#This Row],[Дата регистрации]]</f>
        <v>699</v>
      </c>
      <c r="Q7" t="str">
        <f>VLOOKUP(Продажи[[#This Row],[id клиента]],клиенты!$A$2:$G$435,7,0)</f>
        <v>Украина</v>
      </c>
      <c r="R7">
        <f>IF(COUNTIF($H$2:H7, H7)=1, 1, 0)</f>
        <v>1</v>
      </c>
      <c r="S7" t="str">
        <f>VLOOKUP(Продажи[[#This Row],[id клиента]],клиенты!$A$2:$D$435,4,0)</f>
        <v>нет</v>
      </c>
      <c r="T7" s="54">
        <f>VLOOKUP(Продажи[[#This Row],[id клиента]],клиенты!$A$2:$I$435,9,0)</f>
        <v>23.326488706365502</v>
      </c>
    </row>
    <row r="8" spans="1:20" x14ac:dyDescent="0.25">
      <c r="A8">
        <v>7</v>
      </c>
      <c r="B8">
        <v>323</v>
      </c>
      <c r="C8">
        <v>149</v>
      </c>
      <c r="D8">
        <v>5</v>
      </c>
      <c r="E8" s="35">
        <v>3725</v>
      </c>
      <c r="F8" s="48">
        <v>45349</v>
      </c>
      <c r="G8" t="s">
        <v>13</v>
      </c>
      <c r="H8">
        <v>477</v>
      </c>
      <c r="I8" t="str">
        <f>VLOOKUP(Продажи[[#This Row],[id товара]],Товары[],2,0)</f>
        <v>Рыба</v>
      </c>
      <c r="J8" s="17">
        <f>AVERAGEIF(Продажи[Категория],Продажи[[#This Row],[Категория]],Продажи[цена за шт в рублях])</f>
        <v>258.5128205128205</v>
      </c>
      <c r="K8" s="16">
        <f>Продажи[[#This Row],[цена за шт в рублях]]/Продажи[[#This Row],[Средняя цена в категории за шт]]-1</f>
        <v>-0.42362626463003372</v>
      </c>
      <c r="L8" t="str">
        <f>VLOOKUP(Продажи[[#This Row],[id товара]],Товары[],3,0)</f>
        <v>Меридиан</v>
      </c>
      <c r="M8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8" s="16">
        <f>Продажи[[#This Row],[цена за шт в рублях]]/Продажи[[#This Row],[Средняя цена в категории за шт по поставщику]]-1</f>
        <v>-0.42834574588129082</v>
      </c>
      <c r="O8" s="48">
        <f>VLOOKUP(Продажи[[#This Row],[id клиента]],клиенты!$A$2:$E$435,5,0)</f>
        <v>44738</v>
      </c>
      <c r="P8">
        <f>Продажи[[#This Row],[дата создания чека]]-Продажи[[#This Row],[Дата регистрации]]</f>
        <v>611</v>
      </c>
      <c r="Q8" t="str">
        <f>VLOOKUP(Продажи[[#This Row],[id клиента]],клиенты!$A$2:$G$435,7,0)</f>
        <v>Узбекистан</v>
      </c>
      <c r="R8">
        <f>IF(COUNTIF($H$2:H8, H8)=1, 1, 0)</f>
        <v>1</v>
      </c>
      <c r="S8" t="str">
        <f>VLOOKUP(Продажи[[#This Row],[id клиента]],клиенты!$A$2:$D$435,4,0)</f>
        <v>да</v>
      </c>
      <c r="T8" s="54">
        <f>VLOOKUP(Продажи[[#This Row],[id клиента]],клиенты!$A$2:$I$435,9,0)</f>
        <v>20.073921971252567</v>
      </c>
    </row>
    <row r="9" spans="1:20" x14ac:dyDescent="0.25">
      <c r="A9">
        <v>8</v>
      </c>
      <c r="B9">
        <v>60</v>
      </c>
      <c r="C9">
        <v>489</v>
      </c>
      <c r="D9">
        <v>4</v>
      </c>
      <c r="E9" s="35">
        <v>9780</v>
      </c>
      <c r="F9" s="48">
        <v>45327</v>
      </c>
      <c r="G9" t="s">
        <v>14</v>
      </c>
      <c r="H9">
        <v>335</v>
      </c>
      <c r="I9" t="str">
        <f>VLOOKUP(Продажи[[#This Row],[id товара]],Товары[],2,0)</f>
        <v>Кофе</v>
      </c>
      <c r="J9" s="17">
        <f>AVERAGEIF(Продажи[Категория],Продажи[[#This Row],[Категория]],Продажи[цена за шт в рублях])</f>
        <v>249.02380952380952</v>
      </c>
      <c r="K9" s="16">
        <f>Продажи[[#This Row],[цена за шт в рублях]]/Продажи[[#This Row],[Средняя цена в категории за шт]]-1</f>
        <v>0.9636676546514964</v>
      </c>
      <c r="L9" t="str">
        <f>VLOOKUP(Продажи[[#This Row],[id товара]],Товары[],3,0)</f>
        <v>Jacobs</v>
      </c>
      <c r="M9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9" s="16">
        <f>Продажи[[#This Row],[цена за шт в рублях]]/Продажи[[#This Row],[Средняя цена в категории за шт по поставщику]]-1</f>
        <v>0.77038871951219501</v>
      </c>
      <c r="O9" s="48">
        <f>VLOOKUP(Продажи[[#This Row],[id клиента]],клиенты!$A$2:$E$435,5,0)</f>
        <v>44619</v>
      </c>
      <c r="P9">
        <f>Продажи[[#This Row],[дата создания чека]]-Продажи[[#This Row],[Дата регистрации]]</f>
        <v>708</v>
      </c>
      <c r="Q9" t="str">
        <f>VLOOKUP(Продажи[[#This Row],[id клиента]],клиенты!$A$2:$G$435,7,0)</f>
        <v>Узбекистан</v>
      </c>
      <c r="R9">
        <f>IF(COUNTIF($H$2:H9, H9)=1, 1, 0)</f>
        <v>1</v>
      </c>
      <c r="S9" t="str">
        <f>VLOOKUP(Продажи[[#This Row],[id клиента]],клиенты!$A$2:$D$435,4,0)</f>
        <v>нет</v>
      </c>
      <c r="T9" s="54">
        <f>VLOOKUP(Продажи[[#This Row],[id клиента]],клиенты!$A$2:$I$435,9,0)</f>
        <v>23.260780287474333</v>
      </c>
    </row>
    <row r="10" spans="1:20" x14ac:dyDescent="0.25">
      <c r="A10">
        <v>9</v>
      </c>
      <c r="B10">
        <v>401</v>
      </c>
      <c r="C10">
        <v>416</v>
      </c>
      <c r="D10">
        <v>5</v>
      </c>
      <c r="E10" s="35">
        <v>10400</v>
      </c>
      <c r="F10" s="48">
        <v>45376</v>
      </c>
      <c r="G10" t="s">
        <v>15</v>
      </c>
      <c r="H10">
        <v>350</v>
      </c>
      <c r="I10" t="str">
        <f>VLOOKUP(Продажи[[#This Row],[id товара]],Товары[],2,0)</f>
        <v>Чай</v>
      </c>
      <c r="J10" s="17">
        <f>AVERAGEIF(Продажи[Категория],Продажи[[#This Row],[Категория]],Продажи[цена за шт в рублях])</f>
        <v>271.18181818181819</v>
      </c>
      <c r="K10" s="16">
        <f>Продажи[[#This Row],[цена за шт в рублях]]/Продажи[[#This Row],[Средняя цена в категории за шт]]-1</f>
        <v>0.53402614817298022</v>
      </c>
      <c r="L10" t="str">
        <f>VLOOKUP(Продажи[[#This Row],[id товара]],Товары[],3,0)</f>
        <v>Greenfield</v>
      </c>
      <c r="M10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10" s="16">
        <f>Продажи[[#This Row],[цена за шт в рублях]]/Продажи[[#This Row],[Средняя цена в категории за шт по поставщику]]-1</f>
        <v>0.42732376793512161</v>
      </c>
      <c r="O10" s="48">
        <f>VLOOKUP(Продажи[[#This Row],[id клиента]],клиенты!$A$2:$E$435,5,0)</f>
        <v>44684</v>
      </c>
      <c r="P10">
        <f>Продажи[[#This Row],[дата создания чека]]-Продажи[[#This Row],[Дата регистрации]]</f>
        <v>692</v>
      </c>
      <c r="Q10" t="str">
        <f>VLOOKUP(Продажи[[#This Row],[id клиента]],клиенты!$A$2:$G$435,7,0)</f>
        <v>Украина</v>
      </c>
      <c r="R10">
        <f>IF(COUNTIF($H$2:H10, H10)=1, 1, 0)</f>
        <v>1</v>
      </c>
      <c r="S10" t="str">
        <f>VLOOKUP(Продажи[[#This Row],[id клиента]],клиенты!$A$2:$D$435,4,0)</f>
        <v>нет</v>
      </c>
      <c r="T10" s="54">
        <f>VLOOKUP(Продажи[[#This Row],[id клиента]],клиенты!$A$2:$I$435,9,0)</f>
        <v>22.735112936344969</v>
      </c>
    </row>
    <row r="11" spans="1:20" x14ac:dyDescent="0.25">
      <c r="A11">
        <v>10</v>
      </c>
      <c r="B11">
        <v>100</v>
      </c>
      <c r="C11">
        <v>449</v>
      </c>
      <c r="D11">
        <v>2</v>
      </c>
      <c r="E11" s="35">
        <v>4490</v>
      </c>
      <c r="F11" s="48">
        <v>45032</v>
      </c>
      <c r="G11" t="s">
        <v>13</v>
      </c>
      <c r="H11">
        <v>413</v>
      </c>
      <c r="I11" t="str">
        <f>VLOOKUP(Продажи[[#This Row],[id товара]],Товары[],2,0)</f>
        <v>Йогурт</v>
      </c>
      <c r="J11" s="17">
        <f>AVERAGEIF(Продажи[Категория],Продажи[[#This Row],[Категория]],Продажи[цена за шт в рублях])</f>
        <v>263.25423728813558</v>
      </c>
      <c r="K11" s="16">
        <f>Продажи[[#This Row],[цена за шт в рублях]]/Продажи[[#This Row],[Средняя цена в категории за шт]]-1</f>
        <v>0.7055755858872006</v>
      </c>
      <c r="L11" t="str">
        <f>VLOOKUP(Продажи[[#This Row],[id товара]],Товары[],3,0)</f>
        <v>Ростагроэкспорт</v>
      </c>
      <c r="M11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11" s="16">
        <f>Продажи[[#This Row],[цена за шт в рублях]]/Продажи[[#This Row],[Средняя цена в категории за шт по поставщику]]-1</f>
        <v>0.74177770281666366</v>
      </c>
      <c r="O11" s="48">
        <f>VLOOKUP(Продажи[[#This Row],[id клиента]],клиенты!$A$2:$E$435,5,0)</f>
        <v>44699</v>
      </c>
      <c r="P11">
        <f>Продажи[[#This Row],[дата создания чека]]-Продажи[[#This Row],[Дата регистрации]]</f>
        <v>333</v>
      </c>
      <c r="Q11" t="str">
        <f>VLOOKUP(Продажи[[#This Row],[id клиента]],клиенты!$A$2:$G$435,7,0)</f>
        <v>Россия</v>
      </c>
      <c r="R11">
        <f>IF(COUNTIF($H$2:H11, H11)=1, 1, 0)</f>
        <v>1</v>
      </c>
      <c r="S11" t="str">
        <f>VLOOKUP(Продажи[[#This Row],[id клиента]],клиенты!$A$2:$D$435,4,0)</f>
        <v>нет</v>
      </c>
      <c r="T11" s="54">
        <f>VLOOKUP(Продажи[[#This Row],[id клиента]],клиенты!$A$2:$I$435,9,0)</f>
        <v>17.806981519507186</v>
      </c>
    </row>
    <row r="12" spans="1:20" x14ac:dyDescent="0.25">
      <c r="A12">
        <v>11</v>
      </c>
      <c r="B12">
        <v>217</v>
      </c>
      <c r="C12">
        <v>296</v>
      </c>
      <c r="D12">
        <v>2</v>
      </c>
      <c r="E12" s="35">
        <v>2960</v>
      </c>
      <c r="F12" s="48">
        <v>45136</v>
      </c>
      <c r="G12" t="s">
        <v>13</v>
      </c>
      <c r="H12">
        <v>495</v>
      </c>
      <c r="I12" t="str">
        <f>VLOOKUP(Продажи[[#This Row],[id товара]],Товары[],2,0)</f>
        <v>Мясо</v>
      </c>
      <c r="J12" s="17">
        <f>AVERAGEIF(Продажи[Категория],Продажи[[#This Row],[Категория]],Продажи[цена за шт в рублях])</f>
        <v>271.74545454545455</v>
      </c>
      <c r="K12" s="16">
        <f>Продажи[[#This Row],[цена за шт в рублях]]/Продажи[[#This Row],[Средняя цена в категории за шт]]-1</f>
        <v>8.925465007359823E-2</v>
      </c>
      <c r="L12" t="str">
        <f>VLOOKUP(Продажи[[#This Row],[id товара]],Товары[],3,0)</f>
        <v>Агрокомплекс</v>
      </c>
      <c r="M12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12" s="16">
        <f>Продажи[[#This Row],[цена за шт в рублях]]/Продажи[[#This Row],[Средняя цена в категории за шт по поставщику]]-1</f>
        <v>-4.8843187660668308E-2</v>
      </c>
      <c r="O12" s="48">
        <f>VLOOKUP(Продажи[[#This Row],[id клиента]],клиенты!$A$2:$E$435,5,0)</f>
        <v>44654</v>
      </c>
      <c r="P12">
        <f>Продажи[[#This Row],[дата создания чека]]-Продажи[[#This Row],[Дата регистрации]]</f>
        <v>482</v>
      </c>
      <c r="Q12" t="str">
        <f>VLOOKUP(Продажи[[#This Row],[id клиента]],клиенты!$A$2:$G$435,7,0)</f>
        <v>Узбекистан</v>
      </c>
      <c r="R12">
        <f>IF(COUNTIF($H$2:H12, H12)=1, 1, 0)</f>
        <v>1</v>
      </c>
      <c r="S12" t="str">
        <f>VLOOKUP(Продажи[[#This Row],[id клиента]],клиенты!$A$2:$D$435,4,0)</f>
        <v>да</v>
      </c>
      <c r="T12" s="54">
        <f>VLOOKUP(Продажи[[#This Row],[id клиента]],клиенты!$A$2:$I$435,9,0)</f>
        <v>15.835728952772074</v>
      </c>
    </row>
    <row r="13" spans="1:20" x14ac:dyDescent="0.25">
      <c r="A13">
        <v>12</v>
      </c>
      <c r="B13">
        <v>445</v>
      </c>
      <c r="C13">
        <v>109</v>
      </c>
      <c r="D13">
        <v>5</v>
      </c>
      <c r="E13" s="35">
        <v>2725</v>
      </c>
      <c r="F13" s="48">
        <v>45394</v>
      </c>
      <c r="G13" t="s">
        <v>14</v>
      </c>
      <c r="H13">
        <v>353</v>
      </c>
      <c r="I13" t="str">
        <f>VLOOKUP(Продажи[[#This Row],[id товара]],Товары[],2,0)</f>
        <v>Сахар</v>
      </c>
      <c r="J13" s="17">
        <f>AVERAGEIF(Продажи[Категория],Продажи[[#This Row],[Категория]],Продажи[цена за шт в рублях])</f>
        <v>252.76271186440678</v>
      </c>
      <c r="K13" s="16">
        <f>Продажи[[#This Row],[цена за шт в рублях]]/Продажи[[#This Row],[Средняя цена в категории за шт]]-1</f>
        <v>-0.56876550660497549</v>
      </c>
      <c r="L13" t="str">
        <f>VLOOKUP(Продажи[[#This Row],[id товара]],Товары[],3,0)</f>
        <v>Сладов</v>
      </c>
      <c r="M13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13" s="16">
        <f>Продажи[[#This Row],[цена за шт в рублях]]/Продажи[[#This Row],[Средняя цена в категории за шт по поставщику]]-1</f>
        <v>-0.54633740288568267</v>
      </c>
      <c r="O13" s="48">
        <f>VLOOKUP(Продажи[[#This Row],[id клиента]],клиенты!$A$2:$E$435,5,0)</f>
        <v>44656</v>
      </c>
      <c r="P13">
        <f>Продажи[[#This Row],[дата создания чека]]-Продажи[[#This Row],[Дата регистрации]]</f>
        <v>738</v>
      </c>
      <c r="Q13" t="str">
        <f>VLOOKUP(Продажи[[#This Row],[id клиента]],клиенты!$A$2:$G$435,7,0)</f>
        <v>Таджикистан</v>
      </c>
      <c r="R13">
        <f>IF(COUNTIF($H$2:H13, H13)=1, 1, 0)</f>
        <v>1</v>
      </c>
      <c r="S13" t="str">
        <f>VLOOKUP(Продажи[[#This Row],[id клиента]],клиенты!$A$2:$D$435,4,0)</f>
        <v>да</v>
      </c>
      <c r="T13" s="54">
        <f>VLOOKUP(Продажи[[#This Row],[id клиента]],клиенты!$A$2:$I$435,9,0)</f>
        <v>24.246406570841888</v>
      </c>
    </row>
    <row r="14" spans="1:20" x14ac:dyDescent="0.25">
      <c r="A14">
        <v>13</v>
      </c>
      <c r="B14">
        <v>284</v>
      </c>
      <c r="C14">
        <v>213</v>
      </c>
      <c r="D14">
        <v>3</v>
      </c>
      <c r="E14" s="35">
        <v>3195</v>
      </c>
      <c r="F14" s="48">
        <v>45266</v>
      </c>
      <c r="G14" t="s">
        <v>10</v>
      </c>
      <c r="H14">
        <v>332</v>
      </c>
      <c r="I14" t="str">
        <f>VLOOKUP(Продажи[[#This Row],[id товара]],Товары[],2,0)</f>
        <v>Мясо</v>
      </c>
      <c r="J14" s="17">
        <f>AVERAGEIF(Продажи[Категория],Продажи[[#This Row],[Категория]],Продажи[цена за шт в рублях])</f>
        <v>271.74545454545455</v>
      </c>
      <c r="K14" s="16">
        <f>Продажи[[#This Row],[цена за шт в рублях]]/Продажи[[#This Row],[Средняя цена в категории за шт]]-1</f>
        <v>-0.21617824167001209</v>
      </c>
      <c r="L14" t="str">
        <f>VLOOKUP(Продажи[[#This Row],[id товара]],Товары[],3,0)</f>
        <v>Сава</v>
      </c>
      <c r="M14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14" s="16">
        <f>Продажи[[#This Row],[цена за шт в рублях]]/Продажи[[#This Row],[Средняя цена в категории за шт по поставщику]]-1</f>
        <v>8.8105726872256263E-4</v>
      </c>
      <c r="O14" s="48">
        <f>VLOOKUP(Продажи[[#This Row],[id клиента]],клиенты!$A$2:$E$435,5,0)</f>
        <v>44858</v>
      </c>
      <c r="P14">
        <f>Продажи[[#This Row],[дата создания чека]]-Продажи[[#This Row],[Дата регистрации]]</f>
        <v>408</v>
      </c>
      <c r="Q14" t="str">
        <f>VLOOKUP(Продажи[[#This Row],[id клиента]],клиенты!$A$2:$G$435,7,0)</f>
        <v>Узбекистан</v>
      </c>
      <c r="R14">
        <f>IF(COUNTIF($H$2:H14, H14)=1, 1, 0)</f>
        <v>1</v>
      </c>
      <c r="S14" t="str">
        <f>VLOOKUP(Продажи[[#This Row],[id клиента]],клиенты!$A$2:$D$435,4,0)</f>
        <v>нет</v>
      </c>
      <c r="T14" s="54">
        <f>VLOOKUP(Продажи[[#This Row],[id клиента]],клиенты!$A$2:$I$435,9,0)</f>
        <v>15.375770020533881</v>
      </c>
    </row>
    <row r="15" spans="1:20" x14ac:dyDescent="0.25">
      <c r="A15">
        <v>14</v>
      </c>
      <c r="B15">
        <v>116</v>
      </c>
      <c r="C15">
        <v>190</v>
      </c>
      <c r="D15">
        <v>4</v>
      </c>
      <c r="E15" s="35">
        <v>3800</v>
      </c>
      <c r="F15" s="48">
        <v>45133</v>
      </c>
      <c r="G15" t="s">
        <v>11</v>
      </c>
      <c r="H15">
        <v>414</v>
      </c>
      <c r="I15" t="str">
        <f>VLOOKUP(Продажи[[#This Row],[id товара]],Товары[],2,0)</f>
        <v>Соль</v>
      </c>
      <c r="J15" s="17">
        <f>AVERAGEIF(Продажи[Категория],Продажи[[#This Row],[Категория]],Продажи[цена за шт в рублях])</f>
        <v>264.8679245283019</v>
      </c>
      <c r="K15" s="16">
        <f>Продажи[[#This Row],[цена за шт в рублях]]/Продажи[[#This Row],[Средняя цена в категории за шт]]-1</f>
        <v>-0.28266134777033769</v>
      </c>
      <c r="L15" t="str">
        <f>VLOOKUP(Продажи[[#This Row],[id товара]],Товары[],3,0)</f>
        <v>Экстра</v>
      </c>
      <c r="M15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15" s="16">
        <f>Продажи[[#This Row],[цена за шт в рублях]]/Продажи[[#This Row],[Средняя цена в категории за шт по поставщику]]-1</f>
        <v>-0.40781587149364662</v>
      </c>
      <c r="O15" s="48">
        <f>VLOOKUP(Продажи[[#This Row],[id клиента]],клиенты!$A$2:$E$435,5,0)</f>
        <v>44794</v>
      </c>
      <c r="P15">
        <f>Продажи[[#This Row],[дата создания чека]]-Продажи[[#This Row],[Дата регистрации]]</f>
        <v>339</v>
      </c>
      <c r="Q15" t="str">
        <f>VLOOKUP(Продажи[[#This Row],[id клиента]],клиенты!$A$2:$G$435,7,0)</f>
        <v>Беларусь</v>
      </c>
      <c r="R15">
        <f>IF(COUNTIF($H$2:H15, H15)=1, 1, 0)</f>
        <v>1</v>
      </c>
      <c r="S15" t="str">
        <f>VLOOKUP(Продажи[[#This Row],[id клиента]],клиенты!$A$2:$D$435,4,0)</f>
        <v>нет</v>
      </c>
      <c r="T15" s="54">
        <f>VLOOKUP(Продажи[[#This Row],[id клиента]],клиенты!$A$2:$I$435,9,0)</f>
        <v>11.137577002053389</v>
      </c>
    </row>
    <row r="16" spans="1:20" x14ac:dyDescent="0.25">
      <c r="A16">
        <v>15</v>
      </c>
      <c r="B16">
        <v>378</v>
      </c>
      <c r="C16">
        <v>237</v>
      </c>
      <c r="D16">
        <v>1</v>
      </c>
      <c r="E16" s="35">
        <v>1185</v>
      </c>
      <c r="F16" s="48">
        <v>44972</v>
      </c>
      <c r="G16" t="s">
        <v>13</v>
      </c>
      <c r="H16">
        <v>236</v>
      </c>
      <c r="I16" t="str">
        <f>VLOOKUP(Продажи[[#This Row],[id товара]],Товары[],2,0)</f>
        <v>Сок</v>
      </c>
      <c r="J16" s="17">
        <f>AVERAGEIF(Продажи[Категория],Продажи[[#This Row],[Категория]],Продажи[цена за шт в рублях])</f>
        <v>268.60344827586209</v>
      </c>
      <c r="K16" s="16">
        <f>Продажи[[#This Row],[цена за шт в рублях]]/Продажи[[#This Row],[Средняя цена в категории за шт]]-1</f>
        <v>-0.11765838628923564</v>
      </c>
      <c r="L16" t="str">
        <f>VLOOKUP(Продажи[[#This Row],[id товара]],Товары[],3,0)</f>
        <v>Фруктовый сад</v>
      </c>
      <c r="M16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16" s="16">
        <f>Продажи[[#This Row],[цена за шт в рублях]]/Продажи[[#This Row],[Средняя цена в категории за шт по поставщику]]-1</f>
        <v>-0.15948132550149619</v>
      </c>
      <c r="O16" s="48">
        <f>VLOOKUP(Продажи[[#This Row],[id клиента]],клиенты!$A$2:$E$435,5,0)</f>
        <v>44820</v>
      </c>
      <c r="P16">
        <f>Продажи[[#This Row],[дата создания чека]]-Продажи[[#This Row],[Дата регистрации]]</f>
        <v>152</v>
      </c>
      <c r="Q16" t="str">
        <f>VLOOKUP(Продажи[[#This Row],[id клиента]],клиенты!$A$2:$G$435,7,0)</f>
        <v>Узбекистан</v>
      </c>
      <c r="R16">
        <f>IF(COUNTIF($H$2:H16, H16)=1, 1, 0)</f>
        <v>1</v>
      </c>
      <c r="S16" t="str">
        <f>VLOOKUP(Продажи[[#This Row],[id клиента]],клиенты!$A$2:$D$435,4,0)</f>
        <v>да</v>
      </c>
      <c r="T16" s="54">
        <f>VLOOKUP(Продажи[[#This Row],[id клиента]],клиенты!$A$2:$I$435,9,0)</f>
        <v>6.3408624229979464</v>
      </c>
    </row>
    <row r="17" spans="1:20" x14ac:dyDescent="0.25">
      <c r="A17">
        <v>16</v>
      </c>
      <c r="B17">
        <v>299</v>
      </c>
      <c r="C17">
        <v>178</v>
      </c>
      <c r="D17">
        <v>3</v>
      </c>
      <c r="E17" s="35">
        <v>2670</v>
      </c>
      <c r="F17" s="48">
        <v>44980</v>
      </c>
      <c r="G17" t="s">
        <v>14</v>
      </c>
      <c r="H17">
        <v>164</v>
      </c>
      <c r="I17" t="str">
        <f>VLOOKUP(Продажи[[#This Row],[id товара]],Товары[],2,0)</f>
        <v>Чай</v>
      </c>
      <c r="J17" s="17">
        <f>AVERAGEIF(Продажи[Категория],Продажи[[#This Row],[Категория]],Продажи[цена за шт в рублях])</f>
        <v>271.18181818181819</v>
      </c>
      <c r="K17" s="16">
        <f>Продажи[[#This Row],[цена за шт в рублях]]/Продажи[[#This Row],[Средняя цена в категории за шт]]-1</f>
        <v>-0.34361381159906135</v>
      </c>
      <c r="L17" t="str">
        <f>VLOOKUP(Продажи[[#This Row],[id товара]],Товары[],3,0)</f>
        <v>Lipton</v>
      </c>
      <c r="M17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17" s="16">
        <f>Продажи[[#This Row],[цена за шт в рублях]]/Продажи[[#This Row],[Средняя цена в категории за шт по поставщику]]-1</f>
        <v>-0.315800121383775</v>
      </c>
      <c r="O17" s="48">
        <f>VLOOKUP(Продажи[[#This Row],[id клиента]],клиенты!$A$2:$E$435,5,0)</f>
        <v>44678</v>
      </c>
      <c r="P17">
        <f>Продажи[[#This Row],[дата создания чека]]-Продажи[[#This Row],[Дата регистрации]]</f>
        <v>302</v>
      </c>
      <c r="Q17" t="str">
        <f>VLOOKUP(Продажи[[#This Row],[id клиента]],клиенты!$A$2:$G$435,7,0)</f>
        <v>Россия</v>
      </c>
      <c r="R17">
        <f>IF(COUNTIF($H$2:H17, H17)=1, 1, 0)</f>
        <v>1</v>
      </c>
      <c r="S17" t="str">
        <f>VLOOKUP(Продажи[[#This Row],[id клиента]],клиенты!$A$2:$D$435,4,0)</f>
        <v>нет</v>
      </c>
      <c r="T17" s="54">
        <f>VLOOKUP(Продажи[[#This Row],[id клиента]],клиенты!$A$2:$I$435,9,0)</f>
        <v>21.585215605749486</v>
      </c>
    </row>
    <row r="18" spans="1:20" x14ac:dyDescent="0.25">
      <c r="A18">
        <v>17</v>
      </c>
      <c r="B18">
        <v>359</v>
      </c>
      <c r="C18">
        <v>320</v>
      </c>
      <c r="D18">
        <v>5</v>
      </c>
      <c r="E18" s="35">
        <v>8000</v>
      </c>
      <c r="F18" s="48">
        <v>45216</v>
      </c>
      <c r="G18" t="s">
        <v>16</v>
      </c>
      <c r="H18">
        <v>490</v>
      </c>
      <c r="I18" t="str">
        <f>VLOOKUP(Продажи[[#This Row],[id товара]],Товары[],2,0)</f>
        <v>Мясо</v>
      </c>
      <c r="J18" s="17">
        <f>AVERAGEIF(Продажи[Категория],Продажи[[#This Row],[Категория]],Продажи[цена за шт в рублях])</f>
        <v>271.74545454545455</v>
      </c>
      <c r="K18" s="16">
        <f>Продажи[[#This Row],[цена за шт в рублях]]/Продажи[[#This Row],[Средняя цена в категории за шт]]-1</f>
        <v>0.1775725946741602</v>
      </c>
      <c r="L18" t="str">
        <f>VLOOKUP(Продажи[[#This Row],[id товара]],Товары[],3,0)</f>
        <v>Мираторг</v>
      </c>
      <c r="M18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18" s="16">
        <f>Продажи[[#This Row],[цена за шт в рублях]]/Продажи[[#This Row],[Средняя цена в категории за шт по поставщику]]-1</f>
        <v>1.0792313766780692E-2</v>
      </c>
      <c r="O18" s="48">
        <f>VLOOKUP(Продажи[[#This Row],[id клиента]],клиенты!$A$2:$E$435,5,0)</f>
        <v>44603</v>
      </c>
      <c r="P18">
        <f>Продажи[[#This Row],[дата создания чека]]-Продажи[[#This Row],[Дата регистрации]]</f>
        <v>613</v>
      </c>
      <c r="Q18" t="str">
        <f>VLOOKUP(Продажи[[#This Row],[id клиента]],клиенты!$A$2:$G$435,7,0)</f>
        <v>Россия</v>
      </c>
      <c r="R18">
        <f>IF(COUNTIF($H$2:H18, H18)=1, 1, 0)</f>
        <v>1</v>
      </c>
      <c r="S18" t="str">
        <f>VLOOKUP(Продажи[[#This Row],[id клиента]],клиенты!$A$2:$D$435,4,0)</f>
        <v>нет</v>
      </c>
      <c r="T18" s="54">
        <f>VLOOKUP(Продажи[[#This Row],[id клиента]],клиенты!$A$2:$I$435,9,0)</f>
        <v>25.232032854209447</v>
      </c>
    </row>
    <row r="19" spans="1:20" x14ac:dyDescent="0.25">
      <c r="A19">
        <v>18</v>
      </c>
      <c r="B19">
        <v>337</v>
      </c>
      <c r="C19">
        <v>419</v>
      </c>
      <c r="D19">
        <v>2</v>
      </c>
      <c r="E19" s="35">
        <v>4190</v>
      </c>
      <c r="F19" s="48">
        <v>45116</v>
      </c>
      <c r="G19" t="s">
        <v>10</v>
      </c>
      <c r="H19">
        <v>223</v>
      </c>
      <c r="I19" t="str">
        <f>VLOOKUP(Продажи[[#This Row],[id товара]],Товары[],2,0)</f>
        <v>Макароны</v>
      </c>
      <c r="J19" s="17">
        <f>AVERAGEIF(Продажи[Категория],Продажи[[#This Row],[Категория]],Продажи[цена за шт в рублях])</f>
        <v>265.47674418604652</v>
      </c>
      <c r="K19" s="16">
        <f>Продажи[[#This Row],[цена за шт в рублях]]/Продажи[[#This Row],[Средняя цена в категории за шт]]-1</f>
        <v>0.57829267224387881</v>
      </c>
      <c r="L19" t="str">
        <f>VLOOKUP(Продажи[[#This Row],[id товара]],Товары[],3,0)</f>
        <v>Паста Зара</v>
      </c>
      <c r="M19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19" s="16">
        <f>Продажи[[#This Row],[цена за шт в рублях]]/Продажи[[#This Row],[Средняя цена в категории за шт по поставщику]]-1</f>
        <v>0.51440851812054311</v>
      </c>
      <c r="O19" s="48">
        <f>VLOOKUP(Продажи[[#This Row],[id клиента]],клиенты!$A$2:$E$435,5,0)</f>
        <v>44893</v>
      </c>
      <c r="P19">
        <f>Продажи[[#This Row],[дата создания чека]]-Продажи[[#This Row],[Дата регистрации]]</f>
        <v>223</v>
      </c>
      <c r="Q19" t="str">
        <f>VLOOKUP(Продажи[[#This Row],[id клиента]],клиенты!$A$2:$G$435,7,0)</f>
        <v>Украина</v>
      </c>
      <c r="R19">
        <f>IF(COUNTIF($H$2:H19, H19)=1, 1, 0)</f>
        <v>1</v>
      </c>
      <c r="S19" t="str">
        <f>VLOOKUP(Продажи[[#This Row],[id клиента]],клиенты!$A$2:$D$435,4,0)</f>
        <v>да</v>
      </c>
      <c r="T19" s="54">
        <f>VLOOKUP(Продажи[[#This Row],[id клиента]],клиенты!$A$2:$I$435,9,0)</f>
        <v>14.193018480492814</v>
      </c>
    </row>
    <row r="20" spans="1:20" x14ac:dyDescent="0.25">
      <c r="A20">
        <v>19</v>
      </c>
      <c r="B20">
        <v>226</v>
      </c>
      <c r="C20">
        <v>190</v>
      </c>
      <c r="D20">
        <v>5</v>
      </c>
      <c r="E20" s="35">
        <v>4750</v>
      </c>
      <c r="F20" s="48">
        <v>45058</v>
      </c>
      <c r="G20" t="s">
        <v>17</v>
      </c>
      <c r="H20">
        <v>204</v>
      </c>
      <c r="I20" t="str">
        <f>VLOOKUP(Продажи[[#This Row],[id товара]],Товары[],2,0)</f>
        <v>Сыр</v>
      </c>
      <c r="J20" s="17">
        <f>AVERAGEIF(Продажи[Категория],Продажи[[#This Row],[Категория]],Продажи[цена за шт в рублях])</f>
        <v>262.63492063492066</v>
      </c>
      <c r="K20" s="16">
        <f>Продажи[[#This Row],[цена за шт в рублях]]/Продажи[[#This Row],[Средняя цена в категории за шт]]-1</f>
        <v>-0.2765623111326001</v>
      </c>
      <c r="L20" t="str">
        <f>VLOOKUP(Продажи[[#This Row],[id товара]],Товары[],3,0)</f>
        <v>Карат</v>
      </c>
      <c r="M20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20" s="16">
        <f>Продажи[[#This Row],[цена за шт в рублях]]/Продажи[[#This Row],[Средняя цена в категории за шт по поставщику]]-1</f>
        <v>-0.38972162740899352</v>
      </c>
      <c r="O20" s="48">
        <f>VLOOKUP(Продажи[[#This Row],[id клиента]],клиенты!$A$2:$E$435,5,0)</f>
        <v>44867</v>
      </c>
      <c r="P20">
        <f>Продажи[[#This Row],[дата создания чека]]-Продажи[[#This Row],[Дата регистрации]]</f>
        <v>191</v>
      </c>
      <c r="Q20" t="str">
        <f>VLOOKUP(Продажи[[#This Row],[id клиента]],клиенты!$A$2:$G$435,7,0)</f>
        <v>Россия</v>
      </c>
      <c r="R20">
        <f>IF(COUNTIF($H$2:H20, H20)=1, 1, 0)</f>
        <v>1</v>
      </c>
      <c r="S20" t="str">
        <f>VLOOKUP(Продажи[[#This Row],[id клиента]],клиенты!$A$2:$D$435,4,0)</f>
        <v>да</v>
      </c>
      <c r="T20" s="54">
        <f>VLOOKUP(Продажи[[#This Row],[id клиента]],клиенты!$A$2:$I$435,9,0)</f>
        <v>9.8891170431211499</v>
      </c>
    </row>
    <row r="21" spans="1:20" x14ac:dyDescent="0.25">
      <c r="A21">
        <v>20</v>
      </c>
      <c r="B21">
        <v>310</v>
      </c>
      <c r="C21">
        <v>458</v>
      </c>
      <c r="D21">
        <v>2</v>
      </c>
      <c r="E21" s="35">
        <v>4580</v>
      </c>
      <c r="F21" s="48">
        <v>45158</v>
      </c>
      <c r="G21" t="s">
        <v>17</v>
      </c>
      <c r="H21">
        <v>481</v>
      </c>
      <c r="I21" t="str">
        <f>VLOOKUP(Продажи[[#This Row],[id товара]],Товары[],2,0)</f>
        <v>Макароны</v>
      </c>
      <c r="J21" s="17">
        <f>AVERAGEIF(Продажи[Категория],Продажи[[#This Row],[Категория]],Продажи[цена за шт в рублях])</f>
        <v>265.47674418604652</v>
      </c>
      <c r="K21" s="16">
        <f>Продажи[[#This Row],[цена за шт в рублях]]/Продажи[[#This Row],[Средняя цена в категории за шт]]-1</f>
        <v>0.72519819543603004</v>
      </c>
      <c r="L21" t="str">
        <f>VLOOKUP(Продажи[[#This Row],[id товара]],Товары[],3,0)</f>
        <v>Паста Зара</v>
      </c>
      <c r="M21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21" s="16">
        <f>Продажи[[#This Row],[цена за шт в рублях]]/Продажи[[#This Row],[Средняя цена в категории за шт по поставщику]]-1</f>
        <v>0.65536778353033109</v>
      </c>
      <c r="O21" s="48">
        <f>VLOOKUP(Продажи[[#This Row],[id клиента]],клиенты!$A$2:$E$435,5,0)</f>
        <v>44756</v>
      </c>
      <c r="P21">
        <f>Продажи[[#This Row],[дата создания чека]]-Продажи[[#This Row],[Дата регистрации]]</f>
        <v>402</v>
      </c>
      <c r="Q21" t="str">
        <f>VLOOKUP(Продажи[[#This Row],[id клиента]],клиенты!$A$2:$G$435,7,0)</f>
        <v>Беларусь</v>
      </c>
      <c r="R21">
        <f>IF(COUNTIF($H$2:H21, H21)=1, 1, 0)</f>
        <v>1</v>
      </c>
      <c r="S21" t="str">
        <f>VLOOKUP(Продажи[[#This Row],[id клиента]],клиенты!$A$2:$D$435,4,0)</f>
        <v>да</v>
      </c>
      <c r="T21" s="54">
        <f>VLOOKUP(Продажи[[#This Row],[id клиента]],клиенты!$A$2:$I$435,9,0)</f>
        <v>18.759753593429156</v>
      </c>
    </row>
    <row r="22" spans="1:20" x14ac:dyDescent="0.25">
      <c r="A22">
        <v>21</v>
      </c>
      <c r="B22">
        <v>137</v>
      </c>
      <c r="C22">
        <v>152</v>
      </c>
      <c r="D22">
        <v>2</v>
      </c>
      <c r="E22" s="35">
        <v>1520</v>
      </c>
      <c r="F22" s="48">
        <v>45244</v>
      </c>
      <c r="G22" t="s">
        <v>8</v>
      </c>
      <c r="H22">
        <v>363</v>
      </c>
      <c r="I22" t="str">
        <f>VLOOKUP(Продажи[[#This Row],[id товара]],Товары[],2,0)</f>
        <v>Фрукты</v>
      </c>
      <c r="J22" s="17">
        <f>AVERAGEIF(Продажи[Категория],Продажи[[#This Row],[Категория]],Продажи[цена за шт в рублях])</f>
        <v>274.16279069767444</v>
      </c>
      <c r="K22" s="16">
        <f>Продажи[[#This Row],[цена за шт в рублях]]/Продажи[[#This Row],[Средняя цена в категории за шт]]-1</f>
        <v>-0.4455848672491306</v>
      </c>
      <c r="L22" t="str">
        <f>VLOOKUP(Продажи[[#This Row],[id товара]],Товары[],3,0)</f>
        <v>Экзотик</v>
      </c>
      <c r="M22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22" s="16">
        <f>Продажи[[#This Row],[цена за шт в рублях]]/Продажи[[#This Row],[Средняя цена в категории за шт по поставщику]]-1</f>
        <v>-0.40083764474008376</v>
      </c>
      <c r="O22" s="48">
        <f>VLOOKUP(Продажи[[#This Row],[id клиента]],клиенты!$A$2:$E$435,5,0)</f>
        <v>44675</v>
      </c>
      <c r="P22">
        <f>Продажи[[#This Row],[дата создания чека]]-Продажи[[#This Row],[Дата регистрации]]</f>
        <v>569</v>
      </c>
      <c r="Q22" t="str">
        <f>VLOOKUP(Продажи[[#This Row],[id клиента]],клиенты!$A$2:$G$435,7,0)</f>
        <v>Узбекистан</v>
      </c>
      <c r="R22">
        <f>IF(COUNTIF($H$2:H22, H22)=1, 1, 0)</f>
        <v>1</v>
      </c>
      <c r="S22" t="str">
        <f>VLOOKUP(Продажи[[#This Row],[id клиента]],клиенты!$A$2:$D$435,4,0)</f>
        <v>нет</v>
      </c>
      <c r="T22" s="54">
        <f>VLOOKUP(Продажи[[#This Row],[id клиента]],клиенты!$A$2:$I$435,9,0)</f>
        <v>18.694045174537987</v>
      </c>
    </row>
    <row r="23" spans="1:20" x14ac:dyDescent="0.25">
      <c r="A23">
        <v>22</v>
      </c>
      <c r="B23">
        <v>385</v>
      </c>
      <c r="C23">
        <v>352</v>
      </c>
      <c r="D23">
        <v>2</v>
      </c>
      <c r="E23" s="35">
        <v>3520</v>
      </c>
      <c r="F23" s="48">
        <v>45123</v>
      </c>
      <c r="G23" t="s">
        <v>14</v>
      </c>
      <c r="H23">
        <v>397</v>
      </c>
      <c r="I23" t="str">
        <f>VLOOKUP(Продажи[[#This Row],[id товара]],Товары[],2,0)</f>
        <v>Макароны</v>
      </c>
      <c r="J23" s="17">
        <f>AVERAGEIF(Продажи[Категория],Продажи[[#This Row],[Категория]],Продажи[цена за шт в рублях])</f>
        <v>265.47674418604652</v>
      </c>
      <c r="K23" s="16">
        <f>Продажи[[#This Row],[цена за шт в рублях]]/Продажи[[#This Row],[Средняя цена в категории за шт]]-1</f>
        <v>0.32591651701633739</v>
      </c>
      <c r="L23" t="str">
        <f>VLOOKUP(Продажи[[#This Row],[id товара]],Товары[],3,0)</f>
        <v>Макфа</v>
      </c>
      <c r="M23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23" s="16">
        <f>Продажи[[#This Row],[цена за шт в рублях]]/Продажи[[#This Row],[Средняя цена в категории за шт по поставщику]]-1</f>
        <v>6.9022639425731613E-2</v>
      </c>
      <c r="O23" s="48">
        <f>VLOOKUP(Продажи[[#This Row],[id клиента]],клиенты!$A$2:$E$435,5,0)</f>
        <v>44728</v>
      </c>
      <c r="P23">
        <f>Продажи[[#This Row],[дата создания чека]]-Продажи[[#This Row],[Дата регистрации]]</f>
        <v>395</v>
      </c>
      <c r="Q23" t="str">
        <f>VLOOKUP(Продажи[[#This Row],[id клиента]],клиенты!$A$2:$G$435,7,0)</f>
        <v>Беларусь</v>
      </c>
      <c r="R23">
        <f>IF(COUNTIF($H$2:H23, H23)=1, 1, 0)</f>
        <v>1</v>
      </c>
      <c r="S23" t="str">
        <f>VLOOKUP(Продажи[[#This Row],[id клиента]],клиенты!$A$2:$D$435,4,0)</f>
        <v>нет</v>
      </c>
      <c r="T23" s="54">
        <f>VLOOKUP(Продажи[[#This Row],[id клиента]],клиенты!$A$2:$I$435,9,0)</f>
        <v>12.97741273100616</v>
      </c>
    </row>
    <row r="24" spans="1:20" x14ac:dyDescent="0.25">
      <c r="A24">
        <v>23</v>
      </c>
      <c r="B24">
        <v>226</v>
      </c>
      <c r="C24">
        <v>228</v>
      </c>
      <c r="D24">
        <v>2</v>
      </c>
      <c r="E24" s="35">
        <v>2280</v>
      </c>
      <c r="F24" s="48">
        <v>45027</v>
      </c>
      <c r="G24" t="s">
        <v>18</v>
      </c>
      <c r="H24">
        <v>280</v>
      </c>
      <c r="I24" t="str">
        <f>VLOOKUP(Продажи[[#This Row],[id товара]],Товары[],2,0)</f>
        <v>Сыр</v>
      </c>
      <c r="J24" s="17">
        <f>AVERAGEIF(Продажи[Категория],Продажи[[#This Row],[Категория]],Продажи[цена за шт в рублях])</f>
        <v>262.63492063492066</v>
      </c>
      <c r="K24" s="16">
        <f>Продажи[[#This Row],[цена за шт в рублях]]/Продажи[[#This Row],[Средняя цена в категории за шт]]-1</f>
        <v>-0.13187477335912012</v>
      </c>
      <c r="L24" t="str">
        <f>VLOOKUP(Продажи[[#This Row],[id товара]],Товары[],3,0)</f>
        <v>Карат</v>
      </c>
      <c r="M24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24" s="16">
        <f>Продажи[[#This Row],[цена за шт в рублях]]/Продажи[[#This Row],[Средняя цена в категории за шт по поставщику]]-1</f>
        <v>-0.2676659528907922</v>
      </c>
      <c r="O24" s="48">
        <f>VLOOKUP(Продажи[[#This Row],[id клиента]],клиенты!$A$2:$E$435,5,0)</f>
        <v>44563</v>
      </c>
      <c r="P24">
        <f>Продажи[[#This Row],[дата создания чека]]-Продажи[[#This Row],[Дата регистрации]]</f>
        <v>464</v>
      </c>
      <c r="Q24" t="str">
        <f>VLOOKUP(Продажи[[#This Row],[id клиента]],клиенты!$A$2:$G$435,7,0)</f>
        <v>Россия</v>
      </c>
      <c r="R24">
        <f>IF(COUNTIF($H$2:H24, H24)=1, 1, 0)</f>
        <v>1</v>
      </c>
      <c r="S24" t="str">
        <f>VLOOKUP(Продажи[[#This Row],[id клиента]],клиенты!$A$2:$D$435,4,0)</f>
        <v>нет</v>
      </c>
      <c r="T24" s="54">
        <f>VLOOKUP(Продажи[[#This Row],[id клиента]],клиенты!$A$2:$I$435,9,0)</f>
        <v>23.687885010266939</v>
      </c>
    </row>
    <row r="25" spans="1:20" x14ac:dyDescent="0.25">
      <c r="A25">
        <v>24</v>
      </c>
      <c r="B25">
        <v>451</v>
      </c>
      <c r="C25">
        <v>161</v>
      </c>
      <c r="D25">
        <v>4</v>
      </c>
      <c r="E25" s="35">
        <v>3220</v>
      </c>
      <c r="F25" s="48">
        <v>44966</v>
      </c>
      <c r="G25" t="s">
        <v>15</v>
      </c>
      <c r="H25">
        <v>39</v>
      </c>
      <c r="I25" t="str">
        <f>VLOOKUP(Продажи[[#This Row],[id товара]],Товары[],2,0)</f>
        <v>Рис</v>
      </c>
      <c r="J25" s="17">
        <f>AVERAGEIF(Продажи[Категория],Продажи[[#This Row],[Категория]],Продажи[цена за шт в рублях])</f>
        <v>258.375</v>
      </c>
      <c r="K25" s="16">
        <f>Продажи[[#This Row],[цена за шт в рублях]]/Продажи[[#This Row],[Средняя цена в категории за шт]]-1</f>
        <v>-0.37687469762941461</v>
      </c>
      <c r="L25" t="str">
        <f>VLOOKUP(Продажи[[#This Row],[id товара]],Товары[],3,0)</f>
        <v>Белый Злат</v>
      </c>
      <c r="M25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25" s="16">
        <f>Продажи[[#This Row],[цена за шт в рублях]]/Продажи[[#This Row],[Средняя цена в категории за шт по поставщику]]-1</f>
        <v>-0.40305343511450376</v>
      </c>
      <c r="O25" s="48">
        <f>VLOOKUP(Продажи[[#This Row],[id клиента]],клиенты!$A$2:$E$435,5,0)</f>
        <v>44653</v>
      </c>
      <c r="P25">
        <f>Продажи[[#This Row],[дата создания чека]]-Продажи[[#This Row],[Дата регистрации]]</f>
        <v>313</v>
      </c>
      <c r="Q25" t="str">
        <f>VLOOKUP(Продажи[[#This Row],[id клиента]],клиенты!$A$2:$G$435,7,0)</f>
        <v>Беларусь</v>
      </c>
      <c r="R25">
        <f>IF(COUNTIF($H$2:H25, H25)=1, 1, 0)</f>
        <v>1</v>
      </c>
      <c r="S25" t="str">
        <f>VLOOKUP(Продажи[[#This Row],[id клиента]],клиенты!$A$2:$D$435,4,0)</f>
        <v>да</v>
      </c>
      <c r="T25" s="54">
        <f>VLOOKUP(Продажи[[#This Row],[id клиента]],клиенты!$A$2:$I$435,9,0)</f>
        <v>11.498973305954825</v>
      </c>
    </row>
    <row r="26" spans="1:20" x14ac:dyDescent="0.25">
      <c r="A26">
        <v>25</v>
      </c>
      <c r="B26">
        <v>7</v>
      </c>
      <c r="C26">
        <v>362</v>
      </c>
      <c r="D26">
        <v>1</v>
      </c>
      <c r="E26" s="35">
        <v>1810</v>
      </c>
      <c r="F26" s="48">
        <v>45326</v>
      </c>
      <c r="G26" t="s">
        <v>12</v>
      </c>
      <c r="H26">
        <v>303</v>
      </c>
      <c r="I26" t="str">
        <f>VLOOKUP(Продажи[[#This Row],[id товара]],Товары[],2,0)</f>
        <v>Сыр</v>
      </c>
      <c r="J26" s="17">
        <f>AVERAGEIF(Продажи[Категория],Продажи[[#This Row],[Категория]],Продажи[цена за шт в рублях])</f>
        <v>262.63492063492066</v>
      </c>
      <c r="K26" s="16">
        <f>Продажи[[#This Row],[цена за шт в рублях]]/Продажи[[#This Row],[Средняя цена в категории за шт]]-1</f>
        <v>0.37833917563157238</v>
      </c>
      <c r="L26" t="str">
        <f>VLOOKUP(Продажи[[#This Row],[id товара]],Товары[],3,0)</f>
        <v>President</v>
      </c>
      <c r="M26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26" s="16">
        <f>Продажи[[#This Row],[цена за шт в рублях]]/Продажи[[#This Row],[Средняя цена в категории за шт по поставщику]]-1</f>
        <v>0.51640679543867818</v>
      </c>
      <c r="O26" s="48">
        <f>VLOOKUP(Продажи[[#This Row],[id клиента]],клиенты!$A$2:$E$435,5,0)</f>
        <v>44689</v>
      </c>
      <c r="P26">
        <f>Продажи[[#This Row],[дата создания чека]]-Продажи[[#This Row],[Дата регистрации]]</f>
        <v>637</v>
      </c>
      <c r="Q26" t="str">
        <f>VLOOKUP(Продажи[[#This Row],[id клиента]],клиенты!$A$2:$G$435,7,0)</f>
        <v>Узбекистан</v>
      </c>
      <c r="R26">
        <f>IF(COUNTIF($H$2:H26, H26)=1, 1, 0)</f>
        <v>1</v>
      </c>
      <c r="S26" t="str">
        <f>VLOOKUP(Продажи[[#This Row],[id клиента]],клиенты!$A$2:$D$435,4,0)</f>
        <v>нет</v>
      </c>
      <c r="T26" s="54">
        <f>VLOOKUP(Продажи[[#This Row],[id клиента]],клиенты!$A$2:$I$435,9,0)</f>
        <v>20.928131416837783</v>
      </c>
    </row>
    <row r="27" spans="1:20" x14ac:dyDescent="0.25">
      <c r="A27">
        <v>26</v>
      </c>
      <c r="B27">
        <v>495</v>
      </c>
      <c r="C27">
        <v>312</v>
      </c>
      <c r="D27">
        <v>1</v>
      </c>
      <c r="E27" s="35">
        <v>1560</v>
      </c>
      <c r="F27" s="48">
        <v>45174</v>
      </c>
      <c r="G27" t="s">
        <v>16</v>
      </c>
      <c r="H27">
        <v>422</v>
      </c>
      <c r="I27" t="str">
        <f>VLOOKUP(Продажи[[#This Row],[id товара]],Товары[],2,0)</f>
        <v>Чай</v>
      </c>
      <c r="J27" s="17">
        <f>AVERAGEIF(Продажи[Категория],Продажи[[#This Row],[Категория]],Продажи[цена за шт в рублях])</f>
        <v>271.18181818181819</v>
      </c>
      <c r="K27" s="16">
        <f>Продажи[[#This Row],[цена за шт в рублях]]/Продажи[[#This Row],[Средняя цена в категории за шт]]-1</f>
        <v>0.15051961112973511</v>
      </c>
      <c r="L27" t="str">
        <f>VLOOKUP(Продажи[[#This Row],[id товара]],Товары[],3,0)</f>
        <v>Greenfield</v>
      </c>
      <c r="M27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27" s="16">
        <f>Продажи[[#This Row],[цена за шт в рублях]]/Продажи[[#This Row],[Средняя цена в категории за шт по поставщику]]-1</f>
        <v>7.049282595134132E-2</v>
      </c>
      <c r="O27" s="48">
        <f>VLOOKUP(Продажи[[#This Row],[id клиента]],клиенты!$A$2:$E$435,5,0)</f>
        <v>44784</v>
      </c>
      <c r="P27">
        <f>Продажи[[#This Row],[дата создания чека]]-Продажи[[#This Row],[Дата регистрации]]</f>
        <v>390</v>
      </c>
      <c r="Q27" t="str">
        <f>VLOOKUP(Продажи[[#This Row],[id клиента]],клиенты!$A$2:$G$435,7,0)</f>
        <v>Украина</v>
      </c>
      <c r="R27">
        <f>IF(COUNTIF($H$2:H27, H27)=1, 1, 0)</f>
        <v>1</v>
      </c>
      <c r="S27" t="str">
        <f>VLOOKUP(Продажи[[#This Row],[id клиента]],клиенты!$A$2:$D$435,4,0)</f>
        <v>нет</v>
      </c>
      <c r="T27" s="54">
        <f>VLOOKUP(Продажи[[#This Row],[id клиента]],клиенты!$A$2:$I$435,9,0)</f>
        <v>12.813141683778234</v>
      </c>
    </row>
    <row r="28" spans="1:20" x14ac:dyDescent="0.25">
      <c r="A28">
        <v>27</v>
      </c>
      <c r="B28">
        <v>415</v>
      </c>
      <c r="C28">
        <v>311</v>
      </c>
      <c r="D28">
        <v>5</v>
      </c>
      <c r="E28" s="35">
        <v>7775</v>
      </c>
      <c r="F28" s="48">
        <v>45099</v>
      </c>
      <c r="G28" t="s">
        <v>19</v>
      </c>
      <c r="H28">
        <v>24</v>
      </c>
      <c r="I28" t="str">
        <f>VLOOKUP(Продажи[[#This Row],[id товара]],Товары[],2,0)</f>
        <v>Чипсы</v>
      </c>
      <c r="J28" s="17">
        <f>AVERAGEIF(Продажи[Категория],Продажи[[#This Row],[Категория]],Продажи[цена за шт в рублях])</f>
        <v>273.72549019607845</v>
      </c>
      <c r="K28" s="16">
        <f>Продажи[[#This Row],[цена за шт в рублях]]/Продажи[[#This Row],[Средняя цена в категории за шт]]-1</f>
        <v>0.13617478510028636</v>
      </c>
      <c r="L28" t="str">
        <f>VLOOKUP(Продажи[[#This Row],[id товара]],Товары[],3,0)</f>
        <v>Pringles</v>
      </c>
      <c r="M28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28" s="16">
        <f>Продажи[[#This Row],[цена за шт в рублях]]/Продажи[[#This Row],[Средняя цена в категории за шт по поставщику]]-1</f>
        <v>0.10977060322854704</v>
      </c>
      <c r="O28" s="48">
        <f>VLOOKUP(Продажи[[#This Row],[id клиента]],клиенты!$A$2:$E$435,5,0)</f>
        <v>44609</v>
      </c>
      <c r="P28">
        <f>Продажи[[#This Row],[дата создания чека]]-Продажи[[#This Row],[Дата регистрации]]</f>
        <v>490</v>
      </c>
      <c r="Q28" t="str">
        <f>VLOOKUP(Продажи[[#This Row],[id клиента]],клиенты!$A$2:$G$435,7,0)</f>
        <v>Узбекистан</v>
      </c>
      <c r="R28">
        <f>IF(COUNTIF($H$2:H28, H28)=1, 1, 0)</f>
        <v>1</v>
      </c>
      <c r="S28" t="str">
        <f>VLOOKUP(Продажи[[#This Row],[id клиента]],клиенты!$A$2:$D$435,4,0)</f>
        <v>да</v>
      </c>
      <c r="T28" s="54">
        <f>VLOOKUP(Продажи[[#This Row],[id клиента]],клиенты!$A$2:$I$435,9,0)</f>
        <v>22.702258726899384</v>
      </c>
    </row>
    <row r="29" spans="1:20" x14ac:dyDescent="0.25">
      <c r="A29">
        <v>28</v>
      </c>
      <c r="B29">
        <v>176</v>
      </c>
      <c r="C29">
        <v>220</v>
      </c>
      <c r="D29">
        <v>1</v>
      </c>
      <c r="E29" s="35">
        <v>1100</v>
      </c>
      <c r="F29" s="48">
        <v>45368</v>
      </c>
      <c r="G29" t="s">
        <v>8</v>
      </c>
      <c r="H29">
        <v>112</v>
      </c>
      <c r="I29" t="str">
        <f>VLOOKUP(Продажи[[#This Row],[id товара]],Товары[],2,0)</f>
        <v>Сахар</v>
      </c>
      <c r="J29" s="17">
        <f>AVERAGEIF(Продажи[Категория],Продажи[[#This Row],[Категория]],Продажи[цена за шт в рублях])</f>
        <v>252.76271186440678</v>
      </c>
      <c r="K29" s="16">
        <f>Продажи[[#This Row],[цена за шт в рублях]]/Продажи[[#This Row],[Средняя цена в категории за шт]]-1</f>
        <v>-0.12961845369811575</v>
      </c>
      <c r="L29" t="str">
        <f>VLOOKUP(Продажи[[#This Row],[id товара]],Товары[],3,0)</f>
        <v>Продимекс</v>
      </c>
      <c r="M29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29" s="16">
        <f>Продажи[[#This Row],[цена за шт в рублях]]/Продажи[[#This Row],[Средняя цена в категории за шт по поставщику]]-1</f>
        <v>-8.5239085239085188E-2</v>
      </c>
      <c r="O29" s="48">
        <f>VLOOKUP(Продажи[[#This Row],[id клиента]],клиенты!$A$2:$E$435,5,0)</f>
        <v>44652</v>
      </c>
      <c r="P29">
        <f>Продажи[[#This Row],[дата создания чека]]-Продажи[[#This Row],[Дата регистрации]]</f>
        <v>716</v>
      </c>
      <c r="Q29" t="str">
        <f>VLOOKUP(Продажи[[#This Row],[id клиента]],клиенты!$A$2:$G$435,7,0)</f>
        <v>Россия</v>
      </c>
      <c r="R29">
        <f>IF(COUNTIF($H$2:H29, H29)=1, 1, 0)</f>
        <v>1</v>
      </c>
      <c r="S29" t="str">
        <f>VLOOKUP(Продажи[[#This Row],[id клиента]],клиенты!$A$2:$D$435,4,0)</f>
        <v>нет</v>
      </c>
      <c r="T29" s="54">
        <f>VLOOKUP(Продажи[[#This Row],[id клиента]],клиенты!$A$2:$I$435,9,0)</f>
        <v>23.523613963039015</v>
      </c>
    </row>
    <row r="30" spans="1:20" x14ac:dyDescent="0.25">
      <c r="A30">
        <v>29</v>
      </c>
      <c r="B30">
        <v>181</v>
      </c>
      <c r="C30">
        <v>476</v>
      </c>
      <c r="D30">
        <v>4</v>
      </c>
      <c r="E30" s="35">
        <v>9520</v>
      </c>
      <c r="F30" s="48">
        <v>45040</v>
      </c>
      <c r="G30" t="s">
        <v>8</v>
      </c>
      <c r="H30">
        <v>451</v>
      </c>
      <c r="I30" t="str">
        <f>VLOOKUP(Продажи[[#This Row],[id товара]],Товары[],2,0)</f>
        <v>Молоко</v>
      </c>
      <c r="J30" s="17">
        <f>AVERAGEIF(Продажи[Категория],Продажи[[#This Row],[Категория]],Продажи[цена за шт в рублях])</f>
        <v>294.95238095238096</v>
      </c>
      <c r="K30" s="16">
        <f>Продажи[[#This Row],[цена за шт в рублях]]/Продажи[[#This Row],[Средняя цена в категории за шт]]-1</f>
        <v>0.61381982563771387</v>
      </c>
      <c r="L30" t="str">
        <f>VLOOKUP(Продажи[[#This Row],[id товара]],Товары[],3,0)</f>
        <v>Простоквашино</v>
      </c>
      <c r="M30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30" s="16">
        <f>Продажи[[#This Row],[цена за шт в рублях]]/Продажи[[#This Row],[Средняя цена в категории за шт по поставщику]]-1</f>
        <v>0.49301397205588815</v>
      </c>
      <c r="O30" s="48">
        <f>VLOOKUP(Продажи[[#This Row],[id клиента]],клиенты!$A$2:$E$435,5,0)</f>
        <v>44584</v>
      </c>
      <c r="P30">
        <f>Продажи[[#This Row],[дата создания чека]]-Продажи[[#This Row],[Дата регистрации]]</f>
        <v>456</v>
      </c>
      <c r="Q30" t="str">
        <f>VLOOKUP(Продажи[[#This Row],[id клиента]],клиенты!$A$2:$G$435,7,0)</f>
        <v>Россия</v>
      </c>
      <c r="R30">
        <f>IF(COUNTIF($H$2:H30, H30)=1, 1, 0)</f>
        <v>1</v>
      </c>
      <c r="S30" t="str">
        <f>VLOOKUP(Продажи[[#This Row],[id клиента]],клиенты!$A$2:$D$435,4,0)</f>
        <v>да</v>
      </c>
      <c r="T30" s="54">
        <f>VLOOKUP(Продажи[[#This Row],[id клиента]],клиенты!$A$2:$I$435,9,0)</f>
        <v>14.981519507186858</v>
      </c>
    </row>
    <row r="31" spans="1:20" x14ac:dyDescent="0.25">
      <c r="A31">
        <v>30</v>
      </c>
      <c r="B31">
        <v>399</v>
      </c>
      <c r="C31">
        <v>190</v>
      </c>
      <c r="D31">
        <v>1</v>
      </c>
      <c r="E31" s="35">
        <v>950</v>
      </c>
      <c r="F31" s="48">
        <v>45414</v>
      </c>
      <c r="G31" t="s">
        <v>10</v>
      </c>
      <c r="H31">
        <v>131</v>
      </c>
      <c r="I31" t="str">
        <f>VLOOKUP(Продажи[[#This Row],[id товара]],Товары[],2,0)</f>
        <v>Хлеб</v>
      </c>
      <c r="J31" s="17">
        <f>AVERAGEIF(Продажи[Категория],Продажи[[#This Row],[Категория]],Продажи[цена за шт в рублях])</f>
        <v>300.31818181818181</v>
      </c>
      <c r="K31" s="16">
        <f>Продажи[[#This Row],[цена за шт в рублях]]/Продажи[[#This Row],[Средняя цена в категории за шт]]-1</f>
        <v>-0.36733767216588464</v>
      </c>
      <c r="L31" t="str">
        <f>VLOOKUP(Продажи[[#This Row],[id товара]],Товары[],3,0)</f>
        <v>Хлебный Дом</v>
      </c>
      <c r="M31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31" s="16">
        <f>Продажи[[#This Row],[цена за шт в рублях]]/Продажи[[#This Row],[Средняя цена в категории за шт по поставщику]]-1</f>
        <v>-0.32560340747752015</v>
      </c>
      <c r="O31" s="48">
        <f>VLOOKUP(Продажи[[#This Row],[id клиента]],клиенты!$A$2:$E$435,5,0)</f>
        <v>44693</v>
      </c>
      <c r="P31">
        <f>Продажи[[#This Row],[дата создания чека]]-Продажи[[#This Row],[Дата регистрации]]</f>
        <v>721</v>
      </c>
      <c r="Q31" t="str">
        <f>VLOOKUP(Продажи[[#This Row],[id клиента]],клиенты!$A$2:$G$435,7,0)</f>
        <v>Россия</v>
      </c>
      <c r="R31">
        <f>IF(COUNTIF($H$2:H31, H31)=1, 1, 0)</f>
        <v>1</v>
      </c>
      <c r="S31" t="str">
        <f>VLOOKUP(Продажи[[#This Row],[id клиента]],клиенты!$A$2:$D$435,4,0)</f>
        <v>да</v>
      </c>
      <c r="T31" s="54">
        <f>VLOOKUP(Продажи[[#This Row],[id клиента]],клиенты!$A$2:$I$435,9,0)</f>
        <v>23.687885010266939</v>
      </c>
    </row>
    <row r="32" spans="1:20" x14ac:dyDescent="0.25">
      <c r="A32">
        <v>31</v>
      </c>
      <c r="B32">
        <v>382</v>
      </c>
      <c r="C32">
        <v>198</v>
      </c>
      <c r="D32">
        <v>5</v>
      </c>
      <c r="E32" s="35">
        <v>4950</v>
      </c>
      <c r="F32" s="48">
        <v>45125</v>
      </c>
      <c r="G32" t="s">
        <v>20</v>
      </c>
      <c r="H32">
        <v>160</v>
      </c>
      <c r="I32" t="str">
        <f>VLOOKUP(Продажи[[#This Row],[id товара]],Товары[],2,0)</f>
        <v>Овощи</v>
      </c>
      <c r="J32" s="17">
        <f>AVERAGEIF(Продажи[Категория],Продажи[[#This Row],[Категория]],Продажи[цена за шт в рублях])</f>
        <v>250.48780487804879</v>
      </c>
      <c r="K32" s="16">
        <f>Продажи[[#This Row],[цена за шт в рублях]]/Продажи[[#This Row],[Средняя цена в категории за шт]]-1</f>
        <v>-0.2095423563777995</v>
      </c>
      <c r="L32" t="str">
        <f>VLOOKUP(Продажи[[#This Row],[id товара]],Товары[],3,0)</f>
        <v>Овощной ряд</v>
      </c>
      <c r="M32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32" s="16">
        <f>Продажи[[#This Row],[цена за шт в рублях]]/Продажи[[#This Row],[Средняя цена в категории за шт по поставщику]]-1</f>
        <v>-0.34830590513068727</v>
      </c>
      <c r="O32" s="48">
        <f>VLOOKUP(Продажи[[#This Row],[id клиента]],клиенты!$A$2:$E$435,5,0)</f>
        <v>44649</v>
      </c>
      <c r="P32">
        <f>Продажи[[#This Row],[дата создания чека]]-Продажи[[#This Row],[Дата регистрации]]</f>
        <v>476</v>
      </c>
      <c r="Q32" t="str">
        <f>VLOOKUP(Продажи[[#This Row],[id клиента]],клиенты!$A$2:$G$435,7,0)</f>
        <v>Узбекистан</v>
      </c>
      <c r="R32">
        <f>IF(COUNTIF($H$2:H32, H32)=1, 1, 0)</f>
        <v>1</v>
      </c>
      <c r="S32" t="str">
        <f>VLOOKUP(Продажи[[#This Row],[id клиента]],клиенты!$A$2:$D$435,4,0)</f>
        <v>да</v>
      </c>
      <c r="T32" s="54">
        <f>VLOOKUP(Продажи[[#This Row],[id клиента]],клиенты!$A$2:$I$435,9,0)</f>
        <v>15.638603696098563</v>
      </c>
    </row>
    <row r="33" spans="1:20" x14ac:dyDescent="0.25">
      <c r="A33">
        <v>32</v>
      </c>
      <c r="B33">
        <v>103</v>
      </c>
      <c r="C33">
        <v>254</v>
      </c>
      <c r="D33">
        <v>3</v>
      </c>
      <c r="E33" s="35">
        <v>3810</v>
      </c>
      <c r="F33" s="48">
        <v>45352</v>
      </c>
      <c r="G33" t="s">
        <v>21</v>
      </c>
      <c r="H33">
        <v>408</v>
      </c>
      <c r="I33" t="str">
        <f>VLOOKUP(Продажи[[#This Row],[id товара]],Товары[],2,0)</f>
        <v>Рыба</v>
      </c>
      <c r="J33" s="17">
        <f>AVERAGEIF(Продажи[Категория],Продажи[[#This Row],[Категория]],Продажи[цена за шт в рублях])</f>
        <v>258.5128205128205</v>
      </c>
      <c r="K33" s="16">
        <f>Продажи[[#This Row],[цена за шт в рублях]]/Продажи[[#This Row],[Средняя цена в категории за шт]]-1</f>
        <v>-1.7456853798849425E-2</v>
      </c>
      <c r="L33" t="str">
        <f>VLOOKUP(Продажи[[#This Row],[id товара]],Товары[],3,0)</f>
        <v>Санта Бремор</v>
      </c>
      <c r="M33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33" s="16">
        <f>Продажи[[#This Row],[цена за шт в рублях]]/Продажи[[#This Row],[Средняя цена в категории за шт по поставщику]]-1</f>
        <v>0.17375231053604434</v>
      </c>
      <c r="O33" s="48">
        <f>VLOOKUP(Продажи[[#This Row],[id клиента]],клиенты!$A$2:$E$435,5,0)</f>
        <v>44857</v>
      </c>
      <c r="P33">
        <f>Продажи[[#This Row],[дата создания чека]]-Продажи[[#This Row],[Дата регистрации]]</f>
        <v>495</v>
      </c>
      <c r="Q33" t="str">
        <f>VLOOKUP(Продажи[[#This Row],[id клиента]],клиенты!$A$2:$G$435,7,0)</f>
        <v>Россия</v>
      </c>
      <c r="R33">
        <f>IF(COUNTIF($H$2:H33, H33)=1, 1, 0)</f>
        <v>1</v>
      </c>
      <c r="S33" t="str">
        <f>VLOOKUP(Продажи[[#This Row],[id клиента]],клиенты!$A$2:$D$435,4,0)</f>
        <v>нет</v>
      </c>
      <c r="T33" s="54">
        <f>VLOOKUP(Продажи[[#This Row],[id клиента]],клиенты!$A$2:$I$435,9,0)</f>
        <v>16.361396303901437</v>
      </c>
    </row>
    <row r="34" spans="1:20" x14ac:dyDescent="0.25">
      <c r="A34">
        <v>33</v>
      </c>
      <c r="B34">
        <v>104</v>
      </c>
      <c r="C34">
        <v>351</v>
      </c>
      <c r="D34">
        <v>1</v>
      </c>
      <c r="E34" s="35">
        <v>1755</v>
      </c>
      <c r="F34" s="48">
        <v>44997</v>
      </c>
      <c r="G34" t="s">
        <v>20</v>
      </c>
      <c r="H34">
        <v>324</v>
      </c>
      <c r="I34" t="str">
        <f>VLOOKUP(Продажи[[#This Row],[id товара]],Товары[],2,0)</f>
        <v>Йогурт</v>
      </c>
      <c r="J34" s="17">
        <f>AVERAGEIF(Продажи[Категория],Продажи[[#This Row],[Категория]],Продажи[цена за шт в рублях])</f>
        <v>263.25423728813558</v>
      </c>
      <c r="K34" s="16">
        <f>Продажи[[#This Row],[цена за шт в рублях]]/Продажи[[#This Row],[Средняя цена в категории за шт]]-1</f>
        <v>0.33331187226371362</v>
      </c>
      <c r="L34" t="str">
        <f>VLOOKUP(Продажи[[#This Row],[id товара]],Товары[],3,0)</f>
        <v>Ростагроэкспорт</v>
      </c>
      <c r="M34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4" s="16">
        <f>Продажи[[#This Row],[цена за шт в рублях]]/Продажи[[#This Row],[Средняя цена в категории за шт по поставщику]]-1</f>
        <v>0.36161241356046547</v>
      </c>
      <c r="O34" s="48">
        <f>VLOOKUP(Продажи[[#This Row],[id клиента]],клиенты!$A$2:$E$435,5,0)</f>
        <v>44761</v>
      </c>
      <c r="P34">
        <f>Продажи[[#This Row],[дата создания чека]]-Продажи[[#This Row],[Дата регистрации]]</f>
        <v>236</v>
      </c>
      <c r="Q34" t="str">
        <f>VLOOKUP(Продажи[[#This Row],[id клиента]],клиенты!$A$2:$G$435,7,0)</f>
        <v>Узбекистан</v>
      </c>
      <c r="R34">
        <f>IF(COUNTIF($H$2:H34, H34)=1, 1, 0)</f>
        <v>1</v>
      </c>
      <c r="S34" t="str">
        <f>VLOOKUP(Продажи[[#This Row],[id клиента]],клиенты!$A$2:$D$435,4,0)</f>
        <v>нет</v>
      </c>
      <c r="T34" s="54">
        <f>VLOOKUP(Продажи[[#This Row],[id клиента]],клиенты!$A$2:$I$435,9,0)</f>
        <v>21.15811088295688</v>
      </c>
    </row>
    <row r="35" spans="1:20" x14ac:dyDescent="0.25">
      <c r="A35">
        <v>34</v>
      </c>
      <c r="B35">
        <v>213</v>
      </c>
      <c r="C35">
        <v>387</v>
      </c>
      <c r="D35">
        <v>1</v>
      </c>
      <c r="E35" s="35">
        <v>1935</v>
      </c>
      <c r="F35" s="48">
        <v>45267</v>
      </c>
      <c r="G35" t="s">
        <v>13</v>
      </c>
      <c r="H35">
        <v>310</v>
      </c>
      <c r="I35" t="str">
        <f>VLOOKUP(Продажи[[#This Row],[id товара]],Товары[],2,0)</f>
        <v>Сахар</v>
      </c>
      <c r="J35" s="17">
        <f>AVERAGEIF(Продажи[Категория],Продажи[[#This Row],[Категория]],Продажи[цена за шт в рублях])</f>
        <v>252.76271186440678</v>
      </c>
      <c r="K35" s="16">
        <f>Продажи[[#This Row],[цена за шт в рублях]]/Продажи[[#This Row],[Средняя цена в категории за шт]]-1</f>
        <v>0.53108026554013277</v>
      </c>
      <c r="L35" t="str">
        <f>VLOOKUP(Продажи[[#This Row],[id товара]],Товары[],3,0)</f>
        <v>Продимекс</v>
      </c>
      <c r="M35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35" s="16">
        <f>Продажи[[#This Row],[цена за шт в рублях]]/Продажи[[#This Row],[Средняя цена в категории за шт по поставщику]]-1</f>
        <v>0.60914760914760913</v>
      </c>
      <c r="O35" s="48">
        <f>VLOOKUP(Продажи[[#This Row],[id клиента]],клиенты!$A$2:$E$435,5,0)</f>
        <v>44807</v>
      </c>
      <c r="P35">
        <f>Продажи[[#This Row],[дата создания чека]]-Продажи[[#This Row],[Дата регистрации]]</f>
        <v>460</v>
      </c>
      <c r="Q35" t="str">
        <f>VLOOKUP(Продажи[[#This Row],[id клиента]],клиенты!$A$2:$G$435,7,0)</f>
        <v>Таджикистан</v>
      </c>
      <c r="R35">
        <f>IF(COUNTIF($H$2:H35, H35)=1, 1, 0)</f>
        <v>1</v>
      </c>
      <c r="S35" t="str">
        <f>VLOOKUP(Продажи[[#This Row],[id клиента]],клиенты!$A$2:$D$435,4,0)</f>
        <v>нет</v>
      </c>
      <c r="T35" s="54">
        <f>VLOOKUP(Продажи[[#This Row],[id клиента]],клиенты!$A$2:$I$435,9,0)</f>
        <v>15.112936344969199</v>
      </c>
    </row>
    <row r="36" spans="1:20" x14ac:dyDescent="0.25">
      <c r="A36">
        <v>35</v>
      </c>
      <c r="B36">
        <v>157</v>
      </c>
      <c r="C36">
        <v>55</v>
      </c>
      <c r="D36">
        <v>2</v>
      </c>
      <c r="E36" s="35">
        <v>550</v>
      </c>
      <c r="F36" s="48">
        <v>45381</v>
      </c>
      <c r="G36" t="s">
        <v>10</v>
      </c>
      <c r="H36">
        <v>179</v>
      </c>
      <c r="I36" t="str">
        <f>VLOOKUP(Продажи[[#This Row],[id товара]],Товары[],2,0)</f>
        <v>Сыр</v>
      </c>
      <c r="J36" s="17">
        <f>AVERAGEIF(Продажи[Категория],Продажи[[#This Row],[Категория]],Продажи[цена за шт в рублях])</f>
        <v>262.63492063492066</v>
      </c>
      <c r="K36" s="16">
        <f>Продажи[[#This Row],[цена за шт в рублях]]/Продажи[[#This Row],[Средняя цена в категории за шт]]-1</f>
        <v>-0.79058382690680529</v>
      </c>
      <c r="L36" t="str">
        <f>VLOOKUP(Продажи[[#This Row],[id товара]],Товары[],3,0)</f>
        <v>President</v>
      </c>
      <c r="M36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36" s="16">
        <f>Продажи[[#This Row],[цена за шт в рублях]]/Продажи[[#This Row],[Средняя цена в категории за шт по поставщику]]-1</f>
        <v>-0.76960670235047712</v>
      </c>
      <c r="O36" s="48">
        <f>VLOOKUP(Продажи[[#This Row],[id клиента]],клиенты!$A$2:$E$435,5,0)</f>
        <v>44833</v>
      </c>
      <c r="P36">
        <f>Продажи[[#This Row],[дата создания чека]]-Продажи[[#This Row],[Дата регистрации]]</f>
        <v>548</v>
      </c>
      <c r="Q36" t="str">
        <f>VLOOKUP(Продажи[[#This Row],[id клиента]],клиенты!$A$2:$G$435,7,0)</f>
        <v>Россия</v>
      </c>
      <c r="R36">
        <f>IF(COUNTIF($H$2:H36, H36)=1, 1, 0)</f>
        <v>1</v>
      </c>
      <c r="S36" t="str">
        <f>VLOOKUP(Продажи[[#This Row],[id клиента]],клиенты!$A$2:$D$435,4,0)</f>
        <v>да</v>
      </c>
      <c r="T36" s="54">
        <f>VLOOKUP(Продажи[[#This Row],[id клиента]],клиенты!$A$2:$I$435,9,0)</f>
        <v>18.004106776180699</v>
      </c>
    </row>
    <row r="37" spans="1:20" x14ac:dyDescent="0.25">
      <c r="A37">
        <v>36</v>
      </c>
      <c r="B37">
        <v>237</v>
      </c>
      <c r="C37">
        <v>336</v>
      </c>
      <c r="D37">
        <v>1</v>
      </c>
      <c r="E37" s="35">
        <v>1680</v>
      </c>
      <c r="F37" s="48">
        <v>44971</v>
      </c>
      <c r="G37" t="s">
        <v>17</v>
      </c>
      <c r="H37">
        <v>64</v>
      </c>
      <c r="I37" t="str">
        <f>VLOOKUP(Продажи[[#This Row],[id товара]],Товары[],2,0)</f>
        <v>Конфеты</v>
      </c>
      <c r="J37" s="17">
        <f>AVERAGEIF(Продажи[Категория],Продажи[[#This Row],[Категория]],Продажи[цена за шт в рублях])</f>
        <v>267.85483870967744</v>
      </c>
      <c r="K37" s="16">
        <f>Продажи[[#This Row],[цена за шт в рублях]]/Продажи[[#This Row],[Средняя цена в категории за шт]]-1</f>
        <v>0.25441079063045691</v>
      </c>
      <c r="L37" t="str">
        <f>VLOOKUP(Продажи[[#This Row],[id товара]],Товары[],3,0)</f>
        <v>Рот Фронт</v>
      </c>
      <c r="M37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37" s="16">
        <f>Продажи[[#This Row],[цена за шт в рублях]]/Продажи[[#This Row],[Средняя цена в категории за шт по поставщику]]-1</f>
        <v>0.16570295721130024</v>
      </c>
      <c r="O37" s="48">
        <f>VLOOKUP(Продажи[[#This Row],[id клиента]],клиенты!$A$2:$E$435,5,0)</f>
        <v>44707</v>
      </c>
      <c r="P37">
        <f>Продажи[[#This Row],[дата создания чека]]-Продажи[[#This Row],[Дата регистрации]]</f>
        <v>264</v>
      </c>
      <c r="Q37" t="str">
        <f>VLOOKUP(Продажи[[#This Row],[id клиента]],клиенты!$A$2:$G$435,7,0)</f>
        <v>Узбекистан</v>
      </c>
      <c r="R37">
        <f>IF(COUNTIF($H$2:H37, H37)=1, 1, 0)</f>
        <v>1</v>
      </c>
      <c r="S37" t="str">
        <f>VLOOKUP(Продажи[[#This Row],[id клиента]],клиенты!$A$2:$D$435,4,0)</f>
        <v>да</v>
      </c>
      <c r="T37" s="54">
        <f>VLOOKUP(Продажи[[#This Row],[id клиента]],клиенты!$A$2:$I$435,9,0)</f>
        <v>15.835728952772074</v>
      </c>
    </row>
    <row r="38" spans="1:20" x14ac:dyDescent="0.25">
      <c r="A38">
        <v>37</v>
      </c>
      <c r="B38">
        <v>8</v>
      </c>
      <c r="C38">
        <v>480</v>
      </c>
      <c r="D38">
        <v>4</v>
      </c>
      <c r="E38" s="35">
        <v>9600</v>
      </c>
      <c r="F38" s="48">
        <v>44947</v>
      </c>
      <c r="G38" t="s">
        <v>22</v>
      </c>
      <c r="H38">
        <v>318</v>
      </c>
      <c r="I38" t="str">
        <f>VLOOKUP(Продажи[[#This Row],[id товара]],Товары[],2,0)</f>
        <v>Макароны</v>
      </c>
      <c r="J38" s="17">
        <f>AVERAGEIF(Продажи[Категория],Продажи[[#This Row],[Категория]],Продажи[цена за шт в рублях])</f>
        <v>265.47674418604652</v>
      </c>
      <c r="K38" s="16">
        <f>Продажи[[#This Row],[цена за шт в рублях]]/Продажи[[#This Row],[Средняя цена в категории за шт]]-1</f>
        <v>0.80806797774955097</v>
      </c>
      <c r="L38" t="str">
        <f>VLOOKUP(Продажи[[#This Row],[id товара]],Товары[],3,0)</f>
        <v>Паста Зара</v>
      </c>
      <c r="M3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38" s="16">
        <f>Продажи[[#This Row],[цена за шт в рублях]]/Продажи[[#This Row],[Средняя цена в категории за шт по поставщику]]-1</f>
        <v>0.73488326658200642</v>
      </c>
      <c r="O38" s="48">
        <f>VLOOKUP(Продажи[[#This Row],[id клиента]],клиенты!$A$2:$E$435,5,0)</f>
        <v>44892</v>
      </c>
      <c r="P38">
        <f>Продажи[[#This Row],[дата создания чека]]-Продажи[[#This Row],[Дата регистрации]]</f>
        <v>55</v>
      </c>
      <c r="Q38" t="str">
        <f>VLOOKUP(Продажи[[#This Row],[id клиента]],клиенты!$A$2:$G$435,7,0)</f>
        <v>Узбекистан</v>
      </c>
      <c r="R38">
        <f>IF(COUNTIF($H$2:H38, H38)=1, 1, 0)</f>
        <v>1</v>
      </c>
      <c r="S38" t="str">
        <f>VLOOKUP(Продажи[[#This Row],[id клиента]],клиенты!$A$2:$D$435,4,0)</f>
        <v>да</v>
      </c>
      <c r="T38" s="54">
        <f>VLOOKUP(Продажи[[#This Row],[id клиента]],клиенты!$A$2:$I$435,9,0)</f>
        <v>3.3182751540041067</v>
      </c>
    </row>
    <row r="39" spans="1:20" x14ac:dyDescent="0.25">
      <c r="A39">
        <v>38</v>
      </c>
      <c r="B39">
        <v>65</v>
      </c>
      <c r="C39">
        <v>214</v>
      </c>
      <c r="D39">
        <v>3</v>
      </c>
      <c r="E39" s="35">
        <v>3210</v>
      </c>
      <c r="F39" s="48">
        <v>45129</v>
      </c>
      <c r="G39" t="s">
        <v>8</v>
      </c>
      <c r="H39">
        <v>239</v>
      </c>
      <c r="I39" t="str">
        <f>VLOOKUP(Продажи[[#This Row],[id товара]],Товары[],2,0)</f>
        <v>Хлеб</v>
      </c>
      <c r="J39" s="17">
        <f>AVERAGEIF(Продажи[Категория],Продажи[[#This Row],[Категория]],Продажи[цена за шт в рублях])</f>
        <v>300.31818181818181</v>
      </c>
      <c r="K39" s="16">
        <f>Продажи[[#This Row],[цена за шт в рублях]]/Продажи[[#This Row],[Средняя цена в категории за шт]]-1</f>
        <v>-0.28742243075525953</v>
      </c>
      <c r="L39" t="str">
        <f>VLOOKUP(Продажи[[#This Row],[id товара]],Товары[],3,0)</f>
        <v>Хлебный Дом</v>
      </c>
      <c r="M39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39" s="16">
        <f>Продажи[[#This Row],[цена за шт в рублях]]/Продажи[[#This Row],[Средняя цена в категории за шт по поставщику]]-1</f>
        <v>-0.24041646947468054</v>
      </c>
      <c r="O39" s="48">
        <f>VLOOKUP(Продажи[[#This Row],[id клиента]],клиенты!$A$2:$E$435,5,0)</f>
        <v>44767</v>
      </c>
      <c r="P39">
        <f>Продажи[[#This Row],[дата создания чека]]-Продажи[[#This Row],[Дата регистрации]]</f>
        <v>362</v>
      </c>
      <c r="Q39" t="str">
        <f>VLOOKUP(Продажи[[#This Row],[id клиента]],клиенты!$A$2:$G$435,7,0)</f>
        <v>Узбекистан</v>
      </c>
      <c r="R39">
        <f>IF(COUNTIF($H$2:H39, H39)=1, 1, 0)</f>
        <v>1</v>
      </c>
      <c r="S39" t="str">
        <f>VLOOKUP(Продажи[[#This Row],[id клиента]],клиенты!$A$2:$D$435,4,0)</f>
        <v>нет</v>
      </c>
      <c r="T39" s="54">
        <f>VLOOKUP(Продажи[[#This Row],[id клиента]],клиенты!$A$2:$I$435,9,0)</f>
        <v>11.893223819301848</v>
      </c>
    </row>
    <row r="40" spans="1:20" x14ac:dyDescent="0.25">
      <c r="A40">
        <v>39</v>
      </c>
      <c r="B40">
        <v>45</v>
      </c>
      <c r="C40">
        <v>60</v>
      </c>
      <c r="D40">
        <v>2</v>
      </c>
      <c r="E40" s="35">
        <v>600</v>
      </c>
      <c r="F40" s="48">
        <v>45406</v>
      </c>
      <c r="G40" t="s">
        <v>23</v>
      </c>
      <c r="H40">
        <v>194</v>
      </c>
      <c r="I40" t="str">
        <f>VLOOKUP(Продажи[[#This Row],[id товара]],Товары[],2,0)</f>
        <v>Сок</v>
      </c>
      <c r="J40" s="17">
        <f>AVERAGEIF(Продажи[Категория],Продажи[[#This Row],[Категория]],Продажи[цена за шт в рублях])</f>
        <v>268.60344827586209</v>
      </c>
      <c r="K40" s="16">
        <f>Продажи[[#This Row],[цена за шт в рублях]]/Продажи[[#This Row],[Средняя цена в категории за шт]]-1</f>
        <v>-0.77662237627575581</v>
      </c>
      <c r="L40" t="str">
        <f>VLOOKUP(Продажи[[#This Row],[id товара]],Товары[],3,0)</f>
        <v>Добрый</v>
      </c>
      <c r="M40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40" s="16">
        <f>Продажи[[#This Row],[цена за шт в рублях]]/Продажи[[#This Row],[Средняя цена в категории за шт по поставщику]]-1</f>
        <v>-0.75290153500561585</v>
      </c>
      <c r="O40" s="48">
        <f>VLOOKUP(Продажи[[#This Row],[id клиента]],клиенты!$A$2:$E$435,5,0)</f>
        <v>44924</v>
      </c>
      <c r="P40">
        <f>Продажи[[#This Row],[дата создания чека]]-Продажи[[#This Row],[Дата регистрации]]</f>
        <v>482</v>
      </c>
      <c r="Q40" t="str">
        <f>VLOOKUP(Продажи[[#This Row],[id клиента]],клиенты!$A$2:$G$435,7,0)</f>
        <v>Россия</v>
      </c>
      <c r="R40">
        <f>IF(COUNTIF($H$2:H40, H40)=1, 1, 0)</f>
        <v>1</v>
      </c>
      <c r="S40" t="str">
        <f>VLOOKUP(Продажи[[#This Row],[id клиента]],клиенты!$A$2:$D$435,4,0)</f>
        <v>да</v>
      </c>
      <c r="T40" s="54">
        <f>VLOOKUP(Продажи[[#This Row],[id клиента]],клиенты!$A$2:$I$435,9,0)</f>
        <v>15.835728952772074</v>
      </c>
    </row>
    <row r="41" spans="1:20" x14ac:dyDescent="0.25">
      <c r="A41">
        <v>40</v>
      </c>
      <c r="B41">
        <v>36</v>
      </c>
      <c r="C41">
        <v>414</v>
      </c>
      <c r="D41">
        <v>3</v>
      </c>
      <c r="E41" s="35">
        <v>6210</v>
      </c>
      <c r="F41" s="48">
        <v>45117</v>
      </c>
      <c r="G41" t="s">
        <v>14</v>
      </c>
      <c r="H41">
        <v>267</v>
      </c>
      <c r="I41" t="str">
        <f>VLOOKUP(Продажи[[#This Row],[id товара]],Товары[],2,0)</f>
        <v>Макароны</v>
      </c>
      <c r="J41" s="17">
        <f>AVERAGEIF(Продажи[Категория],Продажи[[#This Row],[Категория]],Продажи[цена за шт в рублях])</f>
        <v>265.47674418604652</v>
      </c>
      <c r="K41" s="16">
        <f>Продажи[[#This Row],[цена за шт в рублях]]/Продажи[[#This Row],[Средняя цена в категории за шт]]-1</f>
        <v>0.55945863080898772</v>
      </c>
      <c r="L41" t="str">
        <f>VLOOKUP(Продажи[[#This Row],[id товара]],Товары[],3,0)</f>
        <v>Роллтон</v>
      </c>
      <c r="M41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41" s="16">
        <f>Продажи[[#This Row],[цена за шт в рублях]]/Продажи[[#This Row],[Средняя цена в категории за шт по поставщику]]-1</f>
        <v>0.75754716981132075</v>
      </c>
      <c r="O41" s="48">
        <f>VLOOKUP(Продажи[[#This Row],[id клиента]],клиенты!$A$2:$E$435,5,0)</f>
        <v>44910</v>
      </c>
      <c r="P41">
        <f>Продажи[[#This Row],[дата создания чека]]-Продажи[[#This Row],[Дата регистрации]]</f>
        <v>207</v>
      </c>
      <c r="Q41" t="str">
        <f>VLOOKUP(Продажи[[#This Row],[id клиента]],клиенты!$A$2:$G$435,7,0)</f>
        <v>Россия</v>
      </c>
      <c r="R41">
        <f>IF(COUNTIF($H$2:H41, H41)=1, 1, 0)</f>
        <v>1</v>
      </c>
      <c r="S41" t="str">
        <f>VLOOKUP(Продажи[[#This Row],[id клиента]],клиенты!$A$2:$D$435,4,0)</f>
        <v>да</v>
      </c>
      <c r="T41" s="54">
        <f>VLOOKUP(Продажи[[#This Row],[id клиента]],клиенты!$A$2:$I$435,9,0)</f>
        <v>9.1663244353182751</v>
      </c>
    </row>
    <row r="42" spans="1:20" x14ac:dyDescent="0.25">
      <c r="A42">
        <v>41</v>
      </c>
      <c r="B42">
        <v>443</v>
      </c>
      <c r="C42">
        <v>62</v>
      </c>
      <c r="D42">
        <v>3</v>
      </c>
      <c r="E42" s="35">
        <v>930</v>
      </c>
      <c r="F42" s="48">
        <v>45194</v>
      </c>
      <c r="G42" t="s">
        <v>12</v>
      </c>
      <c r="H42">
        <v>334</v>
      </c>
      <c r="I42" t="str">
        <f>VLOOKUP(Продажи[[#This Row],[id товара]],Товары[],2,0)</f>
        <v>Кофе</v>
      </c>
      <c r="J42" s="17">
        <f>AVERAGEIF(Продажи[Категория],Продажи[[#This Row],[Категория]],Продажи[цена за шт в рублях])</f>
        <v>249.02380952380952</v>
      </c>
      <c r="K42" s="16">
        <f>Продажи[[#This Row],[цена за шт в рублях]]/Продажи[[#This Row],[Средняя цена в категории за шт]]-1</f>
        <v>-0.75102782292762216</v>
      </c>
      <c r="L42" t="str">
        <f>VLOOKUP(Продажи[[#This Row],[id товара]],Товары[],3,0)</f>
        <v>Jacobs</v>
      </c>
      <c r="M42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42" s="16">
        <f>Продажи[[#This Row],[цена за шт в рублях]]/Продажи[[#This Row],[Средняя цена в категории за шт по поставщику]]-1</f>
        <v>-0.77553353658536583</v>
      </c>
      <c r="O42" s="48">
        <f>VLOOKUP(Продажи[[#This Row],[id клиента]],клиенты!$A$2:$E$435,5,0)</f>
        <v>44881</v>
      </c>
      <c r="P42">
        <f>Продажи[[#This Row],[дата создания чека]]-Продажи[[#This Row],[Дата регистрации]]</f>
        <v>313</v>
      </c>
      <c r="Q42" t="str">
        <f>VLOOKUP(Продажи[[#This Row],[id клиента]],клиенты!$A$2:$G$435,7,0)</f>
        <v>Украина</v>
      </c>
      <c r="R42">
        <f>IF(COUNTIF($H$2:H42, H42)=1, 1, 0)</f>
        <v>1</v>
      </c>
      <c r="S42" t="str">
        <f>VLOOKUP(Продажи[[#This Row],[id клиента]],клиенты!$A$2:$D$435,4,0)</f>
        <v>нет</v>
      </c>
      <c r="T42" s="54">
        <f>VLOOKUP(Продажи[[#This Row],[id клиента]],клиенты!$A$2:$I$435,9,0)</f>
        <v>10.381930184804927</v>
      </c>
    </row>
    <row r="43" spans="1:20" x14ac:dyDescent="0.25">
      <c r="A43">
        <v>42</v>
      </c>
      <c r="B43">
        <v>384</v>
      </c>
      <c r="C43">
        <v>357</v>
      </c>
      <c r="D43">
        <v>1</v>
      </c>
      <c r="E43" s="35">
        <v>1785</v>
      </c>
      <c r="F43" s="48">
        <v>45196</v>
      </c>
      <c r="G43" t="s">
        <v>24</v>
      </c>
      <c r="H43">
        <v>47</v>
      </c>
      <c r="I43" t="str">
        <f>VLOOKUP(Продажи[[#This Row],[id товара]],Товары[],2,0)</f>
        <v>Сахар</v>
      </c>
      <c r="J43" s="17">
        <f>AVERAGEIF(Продажи[Категория],Продажи[[#This Row],[Категория]],Продажи[цена за шт в рублях])</f>
        <v>252.76271186440678</v>
      </c>
      <c r="K43" s="16">
        <f>Продажи[[#This Row],[цена за шт в рублях]]/Продажи[[#This Row],[Средняя цена в категории за шт]]-1</f>
        <v>0.41239187286260304</v>
      </c>
      <c r="L43" t="str">
        <f>VLOOKUP(Продажи[[#This Row],[id товара]],Товары[],3,0)</f>
        <v>Сладов</v>
      </c>
      <c r="M43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43" s="16">
        <f>Продажи[[#This Row],[цена за шт в рублях]]/Продажи[[#This Row],[Средняя цена в категории за шт по поставщику]]-1</f>
        <v>0.48584905660377342</v>
      </c>
      <c r="O43" s="48">
        <f>VLOOKUP(Продажи[[#This Row],[id клиента]],клиенты!$A$2:$E$435,5,0)</f>
        <v>44693</v>
      </c>
      <c r="P43">
        <f>Продажи[[#This Row],[дата создания чека]]-Продажи[[#This Row],[Дата регистрации]]</f>
        <v>503</v>
      </c>
      <c r="Q43" t="str">
        <f>VLOOKUP(Продажи[[#This Row],[id клиента]],клиенты!$A$2:$G$435,7,0)</f>
        <v>Беларусь</v>
      </c>
      <c r="R43">
        <f>IF(COUNTIF($H$2:H43, H43)=1, 1, 0)</f>
        <v>1</v>
      </c>
      <c r="S43" t="str">
        <f>VLOOKUP(Продажи[[#This Row],[id клиента]],клиенты!$A$2:$D$435,4,0)</f>
        <v>нет</v>
      </c>
      <c r="T43" s="54">
        <f>VLOOKUP(Продажи[[#This Row],[id клиента]],клиенты!$A$2:$I$435,9,0)</f>
        <v>16.525667351129364</v>
      </c>
    </row>
    <row r="44" spans="1:20" x14ac:dyDescent="0.25">
      <c r="A44">
        <v>43</v>
      </c>
      <c r="B44">
        <v>41</v>
      </c>
      <c r="C44">
        <v>493</v>
      </c>
      <c r="D44">
        <v>3</v>
      </c>
      <c r="E44" s="35">
        <v>7395</v>
      </c>
      <c r="F44" s="48">
        <v>45104</v>
      </c>
      <c r="G44" t="s">
        <v>9</v>
      </c>
      <c r="H44">
        <v>287</v>
      </c>
      <c r="I44" t="str">
        <f>VLOOKUP(Продажи[[#This Row],[id товара]],Товары[],2,0)</f>
        <v>Рис</v>
      </c>
      <c r="J44" s="17">
        <f>AVERAGEIF(Продажи[Категория],Продажи[[#This Row],[Категория]],Продажи[цена за шт в рублях])</f>
        <v>258.375</v>
      </c>
      <c r="K44" s="16">
        <f>Продажи[[#This Row],[цена за шт в рублях]]/Продажи[[#This Row],[Средняя цена в категории за шт]]-1</f>
        <v>0.90807934204160623</v>
      </c>
      <c r="L44" t="str">
        <f>VLOOKUP(Продажи[[#This Row],[id товара]],Товары[],3,0)</f>
        <v>Агро-Альянс</v>
      </c>
      <c r="M44" s="32">
        <f>AVERAGEIFS(Продажи[цена за шт в рублях],Продажи[Категория],Продажи[[#This Row],[Категория]],Продажи[Поставщик],Продажи[[#This Row],[Поставщик]])</f>
        <v>317.85714285714283</v>
      </c>
      <c r="N44" s="16">
        <f>Продажи[[#This Row],[цена за шт в рублях]]/Продажи[[#This Row],[Средняя цена в категории за шт по поставщику]]-1</f>
        <v>0.5510112359550563</v>
      </c>
      <c r="O44" s="48">
        <f>VLOOKUP(Продажи[[#This Row],[id клиента]],клиенты!$A$2:$E$435,5,0)</f>
        <v>44608</v>
      </c>
      <c r="P44">
        <f>Продажи[[#This Row],[дата создания чека]]-Продажи[[#This Row],[Дата регистрации]]</f>
        <v>496</v>
      </c>
      <c r="Q44" t="str">
        <f>VLOOKUP(Продажи[[#This Row],[id клиента]],клиенты!$A$2:$G$435,7,0)</f>
        <v>Россия</v>
      </c>
      <c r="R44">
        <f>IF(COUNTIF($H$2:H44, H44)=1, 1, 0)</f>
        <v>1</v>
      </c>
      <c r="S44" t="str">
        <f>VLOOKUP(Продажи[[#This Row],[id клиента]],клиенты!$A$2:$D$435,4,0)</f>
        <v>да</v>
      </c>
      <c r="T44" s="54">
        <f>VLOOKUP(Продажи[[#This Row],[id клиента]],клиенты!$A$2:$I$435,9,0)</f>
        <v>20.960985626283367</v>
      </c>
    </row>
    <row r="45" spans="1:20" x14ac:dyDescent="0.25">
      <c r="A45">
        <v>44</v>
      </c>
      <c r="B45">
        <v>484</v>
      </c>
      <c r="C45">
        <v>305</v>
      </c>
      <c r="D45">
        <v>2</v>
      </c>
      <c r="E45" s="35">
        <v>3050</v>
      </c>
      <c r="F45" s="48">
        <v>45234</v>
      </c>
      <c r="G45" t="s">
        <v>19</v>
      </c>
      <c r="H45">
        <v>145</v>
      </c>
      <c r="I45" t="str">
        <f>VLOOKUP(Продажи[[#This Row],[id товара]],Товары[],2,0)</f>
        <v>Печенье</v>
      </c>
      <c r="J45" s="17">
        <f>AVERAGEIF(Продажи[Категория],Продажи[[#This Row],[Категория]],Продажи[цена за шт в рублях])</f>
        <v>283.468085106383</v>
      </c>
      <c r="K45" s="16">
        <f>Продажи[[#This Row],[цена за шт в рублях]]/Продажи[[#This Row],[Средняя цена в категории за шт]]-1</f>
        <v>7.5958868122795176E-2</v>
      </c>
      <c r="L45" t="str">
        <f>VLOOKUP(Продажи[[#This Row],[id товара]],Товары[],3,0)</f>
        <v>КДВ</v>
      </c>
      <c r="M45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45" s="16">
        <f>Продажи[[#This Row],[цена за шт в рублях]]/Продажи[[#This Row],[Средняя цена в категории за шт по поставщику]]-1</f>
        <v>-5.5952380952380976E-2</v>
      </c>
      <c r="O45" s="48">
        <f>VLOOKUP(Продажи[[#This Row],[id клиента]],клиенты!$A$2:$E$435,5,0)</f>
        <v>44653</v>
      </c>
      <c r="P45">
        <f>Продажи[[#This Row],[дата создания чека]]-Продажи[[#This Row],[Дата регистрации]]</f>
        <v>581</v>
      </c>
      <c r="Q45" t="str">
        <f>VLOOKUP(Продажи[[#This Row],[id клиента]],клиенты!$A$2:$G$435,7,0)</f>
        <v>Украина</v>
      </c>
      <c r="R45">
        <f>IF(COUNTIF($H$2:H45, H45)=1, 1, 0)</f>
        <v>1</v>
      </c>
      <c r="S45" t="str">
        <f>VLOOKUP(Продажи[[#This Row],[id клиента]],клиенты!$A$2:$D$435,4,0)</f>
        <v>нет</v>
      </c>
      <c r="T45" s="54">
        <f>VLOOKUP(Продажи[[#This Row],[id клиента]],клиенты!$A$2:$I$435,9,0)</f>
        <v>19.088295687885012</v>
      </c>
    </row>
    <row r="46" spans="1:20" x14ac:dyDescent="0.25">
      <c r="A46">
        <v>45</v>
      </c>
      <c r="B46">
        <v>7</v>
      </c>
      <c r="C46">
        <v>162</v>
      </c>
      <c r="D46">
        <v>4</v>
      </c>
      <c r="E46" s="35">
        <v>3240</v>
      </c>
      <c r="F46" s="48">
        <v>45387</v>
      </c>
      <c r="G46" t="s">
        <v>16</v>
      </c>
      <c r="H46">
        <v>270</v>
      </c>
      <c r="I46" t="str">
        <f>VLOOKUP(Продажи[[#This Row],[id товара]],Товары[],2,0)</f>
        <v>Сыр</v>
      </c>
      <c r="J46" s="17">
        <f>AVERAGEIF(Продажи[Категория],Продажи[[#This Row],[Категория]],Продажи[цена за шт в рублях])</f>
        <v>262.63492063492066</v>
      </c>
      <c r="K46" s="16">
        <f>Продажи[[#This Row],[цена за шт в рублях]]/Продажи[[#This Row],[Средняя цена в категории за шт]]-1</f>
        <v>-0.3831741810709538</v>
      </c>
      <c r="L46" t="str">
        <f>VLOOKUP(Продажи[[#This Row],[id товара]],Товары[],3,0)</f>
        <v>President</v>
      </c>
      <c r="M46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46" s="16">
        <f>Продажи[[#This Row],[цена за шт в рублях]]/Продажи[[#This Row],[Средняя цена в категории за шт по поставщику]]-1</f>
        <v>-0.32138701419595073</v>
      </c>
      <c r="O46" s="48">
        <f>VLOOKUP(Продажи[[#This Row],[id клиента]],клиенты!$A$2:$E$435,5,0)</f>
        <v>44827</v>
      </c>
      <c r="P46">
        <f>Продажи[[#This Row],[дата создания чека]]-Продажи[[#This Row],[Дата регистрации]]</f>
        <v>560</v>
      </c>
      <c r="Q46" t="str">
        <f>VLOOKUP(Продажи[[#This Row],[id клиента]],клиенты!$A$2:$G$435,7,0)</f>
        <v>Таджикистан</v>
      </c>
      <c r="R46">
        <f>IF(COUNTIF($H$2:H46, H46)=1, 1, 0)</f>
        <v>1</v>
      </c>
      <c r="S46" t="str">
        <f>VLOOKUP(Продажи[[#This Row],[id клиента]],клиенты!$A$2:$D$435,4,0)</f>
        <v>да</v>
      </c>
      <c r="T46" s="54">
        <f>VLOOKUP(Продажи[[#This Row],[id клиента]],клиенты!$A$2:$I$435,9,0)</f>
        <v>18.39835728952772</v>
      </c>
    </row>
    <row r="47" spans="1:20" x14ac:dyDescent="0.25">
      <c r="A47">
        <v>46</v>
      </c>
      <c r="B47">
        <v>390</v>
      </c>
      <c r="C47">
        <v>78</v>
      </c>
      <c r="D47">
        <v>1</v>
      </c>
      <c r="E47" s="35">
        <v>390</v>
      </c>
      <c r="F47" s="48">
        <v>44976</v>
      </c>
      <c r="G47" t="s">
        <v>15</v>
      </c>
      <c r="H47">
        <v>64</v>
      </c>
      <c r="I47" t="str">
        <f>VLOOKUP(Продажи[[#This Row],[id товара]],Товары[],2,0)</f>
        <v>Сок</v>
      </c>
      <c r="J47" s="17">
        <f>AVERAGEIF(Продажи[Категория],Продажи[[#This Row],[Категория]],Продажи[цена за шт в рублях])</f>
        <v>268.60344827586209</v>
      </c>
      <c r="K47" s="16">
        <f>Продажи[[#This Row],[цена за шт в рублях]]/Продажи[[#This Row],[Средняя цена в категории за шт]]-1</f>
        <v>-0.70960908915848253</v>
      </c>
      <c r="L47" t="str">
        <f>VLOOKUP(Продажи[[#This Row],[id товара]],Товары[],3,0)</f>
        <v>Сады Придонья</v>
      </c>
      <c r="M47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47" s="16">
        <f>Продажи[[#This Row],[цена за шт в рублях]]/Продажи[[#This Row],[Средняя цена в категории за шт по поставщику]]-1</f>
        <v>-0.69313304721030045</v>
      </c>
      <c r="O47" s="48">
        <f>VLOOKUP(Продажи[[#This Row],[id клиента]],клиенты!$A$2:$E$435,5,0)</f>
        <v>44707</v>
      </c>
      <c r="P47">
        <f>Продажи[[#This Row],[дата создания чека]]-Продажи[[#This Row],[Дата регистрации]]</f>
        <v>269</v>
      </c>
      <c r="Q47" t="str">
        <f>VLOOKUP(Продажи[[#This Row],[id клиента]],клиенты!$A$2:$G$435,7,0)</f>
        <v>Узбекистан</v>
      </c>
      <c r="R47">
        <f>IF(COUNTIF($H$2:H47, H47)=1, 1, 0)</f>
        <v>0</v>
      </c>
      <c r="S47" t="str">
        <f>VLOOKUP(Продажи[[#This Row],[id клиента]],клиенты!$A$2:$D$435,4,0)</f>
        <v>да</v>
      </c>
      <c r="T47" s="54">
        <f>VLOOKUP(Продажи[[#This Row],[id клиента]],клиенты!$A$2:$I$435,9,0)</f>
        <v>15.835728952772074</v>
      </c>
    </row>
    <row r="48" spans="1:20" x14ac:dyDescent="0.25">
      <c r="A48">
        <v>47</v>
      </c>
      <c r="B48">
        <v>57</v>
      </c>
      <c r="C48">
        <v>343</v>
      </c>
      <c r="D48">
        <v>5</v>
      </c>
      <c r="E48" s="35">
        <v>8575</v>
      </c>
      <c r="F48" s="48">
        <v>45063</v>
      </c>
      <c r="G48" t="s">
        <v>9</v>
      </c>
      <c r="H48">
        <v>183</v>
      </c>
      <c r="I48" t="str">
        <f>VLOOKUP(Продажи[[#This Row],[id товара]],Товары[],2,0)</f>
        <v>Печенье</v>
      </c>
      <c r="J48" s="17">
        <f>AVERAGEIF(Продажи[Категория],Продажи[[#This Row],[Категория]],Продажи[цена за шт в рублях])</f>
        <v>283.468085106383</v>
      </c>
      <c r="K48" s="16">
        <f>Продажи[[#This Row],[цена за шт в рублях]]/Продажи[[#This Row],[Средняя цена в категории за шт]]-1</f>
        <v>0.21001275988891388</v>
      </c>
      <c r="L48" t="str">
        <f>VLOOKUP(Продажи[[#This Row],[id товара]],Товары[],3,0)</f>
        <v>Юбилейное</v>
      </c>
      <c r="M48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48" s="16">
        <f>Продажи[[#This Row],[цена за шт в рублях]]/Продажи[[#This Row],[Средняя цена в категории за шт по поставщику]]-1</f>
        <v>0.47562141491395793</v>
      </c>
      <c r="O48" s="48">
        <f>VLOOKUP(Продажи[[#This Row],[id клиента]],клиенты!$A$2:$E$435,5,0)</f>
        <v>44900</v>
      </c>
      <c r="P48">
        <f>Продажи[[#This Row],[дата создания чека]]-Продажи[[#This Row],[Дата регистрации]]</f>
        <v>163</v>
      </c>
      <c r="Q48" t="str">
        <f>VLOOKUP(Продажи[[#This Row],[id клиента]],клиенты!$A$2:$G$435,7,0)</f>
        <v>Таджикистан</v>
      </c>
      <c r="R48">
        <f>IF(COUNTIF($H$2:H48, H48)=1, 1, 0)</f>
        <v>1</v>
      </c>
      <c r="S48" t="str">
        <f>VLOOKUP(Продажи[[#This Row],[id клиента]],клиенты!$A$2:$D$435,4,0)</f>
        <v>да</v>
      </c>
      <c r="T48" s="54">
        <f>VLOOKUP(Продажи[[#This Row],[id клиента]],клиенты!$A$2:$I$435,9,0)</f>
        <v>16.328542094455852</v>
      </c>
    </row>
    <row r="49" spans="1:20" x14ac:dyDescent="0.25">
      <c r="A49">
        <v>48</v>
      </c>
      <c r="B49">
        <v>285</v>
      </c>
      <c r="C49">
        <v>498</v>
      </c>
      <c r="D49">
        <v>4</v>
      </c>
      <c r="E49" s="35">
        <v>9960</v>
      </c>
      <c r="F49" s="48">
        <v>45208</v>
      </c>
      <c r="G49" t="s">
        <v>17</v>
      </c>
      <c r="H49">
        <v>2</v>
      </c>
      <c r="I49" t="str">
        <f>VLOOKUP(Продажи[[#This Row],[id товара]],Товары[],2,0)</f>
        <v>Макароны</v>
      </c>
      <c r="J49" s="17">
        <f>AVERAGEIF(Продажи[Категория],Продажи[[#This Row],[Категория]],Продажи[цена за шт в рублях])</f>
        <v>265.47674418604652</v>
      </c>
      <c r="K49" s="16">
        <f>Продажи[[#This Row],[цена за шт в рублях]]/Продажи[[#This Row],[Средняя цена в категории за шт]]-1</f>
        <v>0.87587052691515921</v>
      </c>
      <c r="L49" t="str">
        <f>VLOOKUP(Продажи[[#This Row],[id товара]],Товары[],3,0)</f>
        <v>Паста Зара</v>
      </c>
      <c r="M49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49" s="16">
        <f>Продажи[[#This Row],[цена за шт в рублях]]/Продажи[[#This Row],[Средняя цена в категории за шт по поставщику]]-1</f>
        <v>0.79994138907883161</v>
      </c>
      <c r="O49" s="48">
        <f>VLOOKUP(Продажи[[#This Row],[id клиента]],клиенты!$A$2:$E$435,5,0)</f>
        <v>44775</v>
      </c>
      <c r="P49">
        <f>Продажи[[#This Row],[дата создания чека]]-Продажи[[#This Row],[Дата регистрации]]</f>
        <v>433</v>
      </c>
      <c r="Q49" t="str">
        <f>VLOOKUP(Продажи[[#This Row],[id клиента]],клиенты!$A$2:$G$435,7,0)</f>
        <v>Узбекистан</v>
      </c>
      <c r="R49">
        <f>IF(COUNTIF($H$2:H49, H49)=1, 1, 0)</f>
        <v>1</v>
      </c>
      <c r="S49" t="str">
        <f>VLOOKUP(Продажи[[#This Row],[id клиента]],клиенты!$A$2:$D$435,4,0)</f>
        <v>нет</v>
      </c>
      <c r="T49" s="54">
        <f>VLOOKUP(Продажи[[#This Row],[id клиента]],клиенты!$A$2:$I$435,9,0)</f>
        <v>14.225872689938399</v>
      </c>
    </row>
    <row r="50" spans="1:20" x14ac:dyDescent="0.25">
      <c r="A50">
        <v>49</v>
      </c>
      <c r="B50">
        <v>299</v>
      </c>
      <c r="C50">
        <v>133</v>
      </c>
      <c r="D50">
        <v>1</v>
      </c>
      <c r="E50" s="35">
        <v>665</v>
      </c>
      <c r="F50" s="48">
        <v>45104</v>
      </c>
      <c r="G50" t="s">
        <v>16</v>
      </c>
      <c r="H50">
        <v>204</v>
      </c>
      <c r="I50" t="str">
        <f>VLOOKUP(Продажи[[#This Row],[id товара]],Товары[],2,0)</f>
        <v>Чай</v>
      </c>
      <c r="J50" s="17">
        <f>AVERAGEIF(Продажи[Категория],Продажи[[#This Row],[Категория]],Продажи[цена за шт в рублях])</f>
        <v>271.18181818181819</v>
      </c>
      <c r="K50" s="16">
        <f>Продажи[[#This Row],[цена за шт в рублях]]/Продажи[[#This Row],[Средняя цена в категории за шт]]-1</f>
        <v>-0.50955414012738853</v>
      </c>
      <c r="L50" t="str">
        <f>VLOOKUP(Продажи[[#This Row],[id товара]],Товары[],3,0)</f>
        <v>Lipton</v>
      </c>
      <c r="M50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50" s="16">
        <f>Продажи[[#This Row],[цена за шт в рублях]]/Продажи[[#This Row],[Средняя цена в категории за шт по поставщику]]-1</f>
        <v>-0.48877200080922512</v>
      </c>
      <c r="O50" s="48">
        <f>VLOOKUP(Продажи[[#This Row],[id клиента]],клиенты!$A$2:$E$435,5,0)</f>
        <v>44867</v>
      </c>
      <c r="P50">
        <f>Продажи[[#This Row],[дата создания чека]]-Продажи[[#This Row],[Дата регистрации]]</f>
        <v>237</v>
      </c>
      <c r="Q50" t="str">
        <f>VLOOKUP(Продажи[[#This Row],[id клиента]],клиенты!$A$2:$G$435,7,0)</f>
        <v>Россия</v>
      </c>
      <c r="R50">
        <f>IF(COUNTIF($H$2:H50, H50)=1, 1, 0)</f>
        <v>0</v>
      </c>
      <c r="S50" t="str">
        <f>VLOOKUP(Продажи[[#This Row],[id клиента]],клиенты!$A$2:$D$435,4,0)</f>
        <v>да</v>
      </c>
      <c r="T50" s="54">
        <f>VLOOKUP(Продажи[[#This Row],[id клиента]],клиенты!$A$2:$I$435,9,0)</f>
        <v>9.8891170431211499</v>
      </c>
    </row>
    <row r="51" spans="1:20" x14ac:dyDescent="0.25">
      <c r="A51">
        <v>50</v>
      </c>
      <c r="B51">
        <v>444</v>
      </c>
      <c r="C51">
        <v>311</v>
      </c>
      <c r="D51">
        <v>4</v>
      </c>
      <c r="E51" s="35">
        <v>6220</v>
      </c>
      <c r="F51" s="48">
        <v>45398</v>
      </c>
      <c r="G51" t="s">
        <v>23</v>
      </c>
      <c r="H51">
        <v>229</v>
      </c>
      <c r="I51" t="str">
        <f>VLOOKUP(Продажи[[#This Row],[id товара]],Товары[],2,0)</f>
        <v>Йогурт</v>
      </c>
      <c r="J51" s="17">
        <f>AVERAGEIF(Продажи[Категория],Продажи[[#This Row],[Категория]],Продажи[цена за шт в рублях])</f>
        <v>263.25423728813558</v>
      </c>
      <c r="K51" s="16">
        <f>Продажи[[#This Row],[цена за шт в рублях]]/Продажи[[#This Row],[Средняя цена в категории за шт]]-1</f>
        <v>0.18136749935616803</v>
      </c>
      <c r="L51" t="str">
        <f>VLOOKUP(Продажи[[#This Row],[id товара]],Товары[],3,0)</f>
        <v>Эрманн</v>
      </c>
      <c r="M51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51" s="16">
        <f>Продажи[[#This Row],[цена за шт в рублях]]/Продажи[[#This Row],[Средняя цена в категории за шт по поставщику]]-1</f>
        <v>0.25150905432595572</v>
      </c>
      <c r="O51" s="48">
        <f>VLOOKUP(Продажи[[#This Row],[id клиента]],клиенты!$A$2:$E$435,5,0)</f>
        <v>44766</v>
      </c>
      <c r="P51">
        <f>Продажи[[#This Row],[дата создания чека]]-Продажи[[#This Row],[Дата регистрации]]</f>
        <v>632</v>
      </c>
      <c r="Q51" t="str">
        <f>VLOOKUP(Продажи[[#This Row],[id клиента]],клиенты!$A$2:$G$435,7,0)</f>
        <v>Беларусь</v>
      </c>
      <c r="R51">
        <f>IF(COUNTIF($H$2:H51, H51)=1, 1, 0)</f>
        <v>1</v>
      </c>
      <c r="S51" t="str">
        <f>VLOOKUP(Продажи[[#This Row],[id клиента]],клиенты!$A$2:$D$435,4,0)</f>
        <v>нет</v>
      </c>
      <c r="T51" s="54">
        <f>VLOOKUP(Продажи[[#This Row],[id клиента]],клиенты!$A$2:$I$435,9,0)</f>
        <v>21.453798767967147</v>
      </c>
    </row>
    <row r="52" spans="1:20" x14ac:dyDescent="0.25">
      <c r="A52">
        <v>51</v>
      </c>
      <c r="B52">
        <v>35</v>
      </c>
      <c r="C52">
        <v>242</v>
      </c>
      <c r="D52">
        <v>2</v>
      </c>
      <c r="E52" s="35">
        <v>2420</v>
      </c>
      <c r="F52" s="48">
        <v>45239</v>
      </c>
      <c r="G52" t="s">
        <v>22</v>
      </c>
      <c r="H52">
        <v>385</v>
      </c>
      <c r="I52" t="str">
        <f>VLOOKUP(Продажи[[#This Row],[id товара]],Товары[],2,0)</f>
        <v>Крупа</v>
      </c>
      <c r="J52" s="17">
        <f>AVERAGEIF(Продажи[Категория],Продажи[[#This Row],[Категория]],Продажи[цена за шт в рублях])</f>
        <v>255.11627906976744</v>
      </c>
      <c r="K52" s="16">
        <f>Продажи[[#This Row],[цена за шт в рублях]]/Продажи[[#This Row],[Средняя цена в категории за шт]]-1</f>
        <v>-5.1412944393801285E-2</v>
      </c>
      <c r="L52" t="str">
        <f>VLOOKUP(Продажи[[#This Row],[id товара]],Товары[],3,0)</f>
        <v>Мистраль</v>
      </c>
      <c r="M52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52" s="16">
        <f>Продажи[[#This Row],[цена за шт в рублях]]/Продажи[[#This Row],[Средняя цена в категории за шт по поставщику]]-1</f>
        <v>-3.3189920098340542E-2</v>
      </c>
      <c r="O52" s="48">
        <f>VLOOKUP(Продажи[[#This Row],[id клиента]],клиенты!$A$2:$E$435,5,0)</f>
        <v>44753</v>
      </c>
      <c r="P52">
        <f>Продажи[[#This Row],[дата создания чека]]-Продажи[[#This Row],[Дата регистрации]]</f>
        <v>486</v>
      </c>
      <c r="Q52" t="str">
        <f>VLOOKUP(Продажи[[#This Row],[id клиента]],клиенты!$A$2:$G$435,7,0)</f>
        <v>Украина</v>
      </c>
      <c r="R52">
        <f>IF(COUNTIF($H$2:H52, H52)=1, 1, 0)</f>
        <v>1</v>
      </c>
      <c r="S52" t="str">
        <f>VLOOKUP(Продажи[[#This Row],[id клиента]],клиенты!$A$2:$D$435,4,0)</f>
        <v>нет</v>
      </c>
      <c r="T52" s="54">
        <f>VLOOKUP(Продажи[[#This Row],[id клиента]],клиенты!$A$2:$I$435,9,0)</f>
        <v>21.453798767967147</v>
      </c>
    </row>
    <row r="53" spans="1:20" x14ac:dyDescent="0.25">
      <c r="A53">
        <v>52</v>
      </c>
      <c r="B53">
        <v>296</v>
      </c>
      <c r="C53">
        <v>101</v>
      </c>
      <c r="D53">
        <v>3</v>
      </c>
      <c r="E53" s="35">
        <v>1515</v>
      </c>
      <c r="F53" s="48">
        <v>45080</v>
      </c>
      <c r="G53" t="s">
        <v>19</v>
      </c>
      <c r="H53">
        <v>407</v>
      </c>
      <c r="I53" t="str">
        <f>VLOOKUP(Продажи[[#This Row],[id товара]],Товары[],2,0)</f>
        <v>Крупа</v>
      </c>
      <c r="J53" s="17">
        <f>AVERAGEIF(Продажи[Категория],Продажи[[#This Row],[Категория]],Продажи[цена за шт в рублях])</f>
        <v>255.11627906976744</v>
      </c>
      <c r="K53" s="16">
        <f>Продажи[[#This Row],[цена за шт в рублях]]/Продажи[[#This Row],[Средняя цена в категории за шт]]-1</f>
        <v>-0.60410209662716507</v>
      </c>
      <c r="L53" t="str">
        <f>VLOOKUP(Продажи[[#This Row],[id товара]],Товары[],3,0)</f>
        <v>Мистраль</v>
      </c>
      <c r="M53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53" s="16">
        <f>Продажи[[#This Row],[цена за шт в рублях]]/Продажи[[#This Row],[Средняя цена в категории за шт по поставщику]]-1</f>
        <v>-0.59649661954517519</v>
      </c>
      <c r="O53" s="48">
        <f>VLOOKUP(Продажи[[#This Row],[id клиента]],клиенты!$A$2:$E$435,5,0)</f>
        <v>44621</v>
      </c>
      <c r="P53">
        <f>Продажи[[#This Row],[дата создания чека]]-Продажи[[#This Row],[Дата регистрации]]</f>
        <v>459</v>
      </c>
      <c r="Q53" t="str">
        <f>VLOOKUP(Продажи[[#This Row],[id клиента]],клиенты!$A$2:$G$435,7,0)</f>
        <v>Беларусь</v>
      </c>
      <c r="R53">
        <f>IF(COUNTIF($H$2:H53, H53)=1, 1, 0)</f>
        <v>1</v>
      </c>
      <c r="S53" t="str">
        <f>VLOOKUP(Продажи[[#This Row],[id клиента]],клиенты!$A$2:$D$435,4,0)</f>
        <v>да</v>
      </c>
      <c r="T53" s="54">
        <f>VLOOKUP(Продажи[[#This Row],[id клиента]],клиенты!$A$2:$I$435,9,0)</f>
        <v>25.166324435318277</v>
      </c>
    </row>
    <row r="54" spans="1:20" x14ac:dyDescent="0.25">
      <c r="A54">
        <v>53</v>
      </c>
      <c r="B54">
        <v>227</v>
      </c>
      <c r="C54">
        <v>65</v>
      </c>
      <c r="D54">
        <v>1</v>
      </c>
      <c r="E54" s="35">
        <v>325</v>
      </c>
      <c r="F54" s="48">
        <v>45308</v>
      </c>
      <c r="G54" t="s">
        <v>10</v>
      </c>
      <c r="H54">
        <v>493</v>
      </c>
      <c r="I54" t="str">
        <f>VLOOKUP(Продажи[[#This Row],[id товара]],Товары[],2,0)</f>
        <v>Макароны</v>
      </c>
      <c r="J54" s="17">
        <f>AVERAGEIF(Продажи[Категория],Продажи[[#This Row],[Категория]],Продажи[цена за шт в рублях])</f>
        <v>265.47674418604652</v>
      </c>
      <c r="K54" s="16">
        <f>Продажи[[#This Row],[цена за шт в рублях]]/Продажи[[#This Row],[Средняя цена в категории за шт]]-1</f>
        <v>-0.75515746134641493</v>
      </c>
      <c r="L54" t="str">
        <f>VLOOKUP(Продажи[[#This Row],[id товара]],Товары[],3,0)</f>
        <v>Макфа</v>
      </c>
      <c r="M54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54" s="16">
        <f>Продажи[[#This Row],[цена за шт в рублях]]/Продажи[[#This Row],[Средняя цена в категории за шт по поставщику]]-1</f>
        <v>-0.80259525124240749</v>
      </c>
      <c r="O54" s="48">
        <f>VLOOKUP(Продажи[[#This Row],[id клиента]],клиенты!$A$2:$E$435,5,0)</f>
        <v>44855</v>
      </c>
      <c r="P54">
        <f>Продажи[[#This Row],[дата создания чека]]-Продажи[[#This Row],[Дата регистрации]]</f>
        <v>453</v>
      </c>
      <c r="Q54" t="str">
        <f>VLOOKUP(Продажи[[#This Row],[id клиента]],клиенты!$A$2:$G$435,7,0)</f>
        <v>Украина</v>
      </c>
      <c r="R54">
        <f>IF(COUNTIF($H$2:H54, H54)=1, 1, 0)</f>
        <v>1</v>
      </c>
      <c r="S54" t="str">
        <f>VLOOKUP(Продажи[[#This Row],[id клиента]],клиенты!$A$2:$D$435,4,0)</f>
        <v>да</v>
      </c>
      <c r="T54" s="54">
        <f>VLOOKUP(Продажи[[#This Row],[id клиента]],клиенты!$A$2:$I$435,9,0)</f>
        <v>14.882956878850102</v>
      </c>
    </row>
    <row r="55" spans="1:20" x14ac:dyDescent="0.25">
      <c r="A55">
        <v>54</v>
      </c>
      <c r="B55">
        <v>167</v>
      </c>
      <c r="C55">
        <v>143</v>
      </c>
      <c r="D55">
        <v>3</v>
      </c>
      <c r="E55" s="35">
        <v>2145</v>
      </c>
      <c r="F55" s="48">
        <v>45246</v>
      </c>
      <c r="G55" t="s">
        <v>22</v>
      </c>
      <c r="H55">
        <v>34</v>
      </c>
      <c r="I55" t="str">
        <f>VLOOKUP(Продажи[[#This Row],[id товара]],Товары[],2,0)</f>
        <v>Мясо</v>
      </c>
      <c r="J55" s="17">
        <f>AVERAGEIF(Продажи[Категория],Продажи[[#This Row],[Категория]],Продажи[цена за шт в рублях])</f>
        <v>271.74545454545455</v>
      </c>
      <c r="K55" s="16">
        <f>Продажи[[#This Row],[цена за шт в рублях]]/Продажи[[#This Row],[Средняя цена в категории за шт]]-1</f>
        <v>-0.47377224675498464</v>
      </c>
      <c r="L55" t="str">
        <f>VLOOKUP(Продажи[[#This Row],[id товара]],Товары[],3,0)</f>
        <v>Сава</v>
      </c>
      <c r="M55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55" s="16">
        <f>Продажи[[#This Row],[цена за шт в рублях]]/Продажи[[#This Row],[Средняя цена в категории за шт по поставщику]]-1</f>
        <v>-0.32804698972099855</v>
      </c>
      <c r="O55" s="48">
        <f>VLOOKUP(Продажи[[#This Row],[id клиента]],клиенты!$A$2:$E$435,5,0)</f>
        <v>44654</v>
      </c>
      <c r="P55">
        <f>Продажи[[#This Row],[дата создания чека]]-Продажи[[#This Row],[Дата регистрации]]</f>
        <v>592</v>
      </c>
      <c r="Q55" t="str">
        <f>VLOOKUP(Продажи[[#This Row],[id клиента]],клиенты!$A$2:$G$435,7,0)</f>
        <v>Таджикистан</v>
      </c>
      <c r="R55">
        <f>IF(COUNTIF($H$2:H55, H55)=1, 1, 0)</f>
        <v>1</v>
      </c>
      <c r="S55" t="str">
        <f>VLOOKUP(Продажи[[#This Row],[id клиента]],клиенты!$A$2:$D$435,4,0)</f>
        <v>нет</v>
      </c>
      <c r="T55" s="54">
        <f>VLOOKUP(Продажи[[#This Row],[id клиента]],клиенты!$A$2:$I$435,9,0)</f>
        <v>19.909650924024639</v>
      </c>
    </row>
    <row r="56" spans="1:20" x14ac:dyDescent="0.25">
      <c r="A56">
        <v>55</v>
      </c>
      <c r="B56">
        <v>146</v>
      </c>
      <c r="C56">
        <v>402</v>
      </c>
      <c r="D56">
        <v>5</v>
      </c>
      <c r="E56" s="35">
        <v>10050</v>
      </c>
      <c r="F56" s="48">
        <v>45356</v>
      </c>
      <c r="G56" t="s">
        <v>13</v>
      </c>
      <c r="H56">
        <v>190</v>
      </c>
      <c r="I56" t="str">
        <f>VLOOKUP(Продажи[[#This Row],[id товара]],Товары[],2,0)</f>
        <v>Сок</v>
      </c>
      <c r="J56" s="17">
        <f>AVERAGEIF(Продажи[Категория],Продажи[[#This Row],[Категория]],Продажи[цена за шт в рублях])</f>
        <v>268.60344827586209</v>
      </c>
      <c r="K56" s="16">
        <f>Продажи[[#This Row],[цена за шт в рублях]]/Продажи[[#This Row],[Средняя цена в категории за шт]]-1</f>
        <v>0.49663007895243583</v>
      </c>
      <c r="L56" t="str">
        <f>VLOOKUP(Продажи[[#This Row],[id товара]],Товары[],3,0)</f>
        <v>Добрый</v>
      </c>
      <c r="M56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56" s="16">
        <f>Продажи[[#This Row],[цена за шт в рублях]]/Продажи[[#This Row],[Средняя цена в категории за шт по поставщику]]-1</f>
        <v>0.65555971546237357</v>
      </c>
      <c r="O56" s="48">
        <f>VLOOKUP(Продажи[[#This Row],[id клиента]],клиенты!$A$2:$E$435,5,0)</f>
        <v>44689</v>
      </c>
      <c r="P56">
        <f>Продажи[[#This Row],[дата создания чека]]-Продажи[[#This Row],[Дата регистрации]]</f>
        <v>667</v>
      </c>
      <c r="Q56" t="str">
        <f>VLOOKUP(Продажи[[#This Row],[id клиента]],клиенты!$A$2:$G$435,7,0)</f>
        <v>Беларусь</v>
      </c>
      <c r="R56">
        <f>IF(COUNTIF($H$2:H56, H56)=1, 1, 0)</f>
        <v>1</v>
      </c>
      <c r="S56" t="str">
        <f>VLOOKUP(Продажи[[#This Row],[id клиента]],клиенты!$A$2:$D$435,4,0)</f>
        <v>нет</v>
      </c>
      <c r="T56" s="54">
        <f>VLOOKUP(Продажи[[#This Row],[id клиента]],клиенты!$A$2:$I$435,9,0)</f>
        <v>23.293634496919918</v>
      </c>
    </row>
    <row r="57" spans="1:20" x14ac:dyDescent="0.25">
      <c r="A57">
        <v>56</v>
      </c>
      <c r="B57">
        <v>338</v>
      </c>
      <c r="C57">
        <v>97</v>
      </c>
      <c r="D57">
        <v>1</v>
      </c>
      <c r="E57" s="35">
        <v>485</v>
      </c>
      <c r="F57" s="48">
        <v>45234</v>
      </c>
      <c r="G57" t="s">
        <v>17</v>
      </c>
      <c r="H57">
        <v>266</v>
      </c>
      <c r="I57" t="str">
        <f>VLOOKUP(Продажи[[#This Row],[id товара]],Товары[],2,0)</f>
        <v>Сыр</v>
      </c>
      <c r="J57" s="17">
        <f>AVERAGEIF(Продажи[Категория],Продажи[[#This Row],[Категория]],Продажи[цена за шт в рублях])</f>
        <v>262.63492063492066</v>
      </c>
      <c r="K57" s="16">
        <f>Продажи[[#This Row],[цена за шт в рублях]]/Продажи[[#This Row],[Средняя цена в категории за шт]]-1</f>
        <v>-0.6306660219992748</v>
      </c>
      <c r="L57" t="str">
        <f>VLOOKUP(Продажи[[#This Row],[id товара]],Товары[],3,0)</f>
        <v>President</v>
      </c>
      <c r="M57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57" s="16">
        <f>Продажи[[#This Row],[цена за шт в рублях]]/Продажи[[#This Row],[Средняя цена в категории за шт по поставщику]]-1</f>
        <v>-0.59367000232720502</v>
      </c>
      <c r="O57" s="48">
        <f>VLOOKUP(Продажи[[#This Row],[id клиента]],клиенты!$A$2:$E$435,5,0)</f>
        <v>44795</v>
      </c>
      <c r="P57">
        <f>Продажи[[#This Row],[дата создания чека]]-Продажи[[#This Row],[Дата регистрации]]</f>
        <v>439</v>
      </c>
      <c r="Q57" t="str">
        <f>VLOOKUP(Продажи[[#This Row],[id клиента]],клиенты!$A$2:$G$435,7,0)</f>
        <v>Россия</v>
      </c>
      <c r="R57">
        <f>IF(COUNTIF($H$2:H57, H57)=1, 1, 0)</f>
        <v>1</v>
      </c>
      <c r="S57" t="str">
        <f>VLOOKUP(Продажи[[#This Row],[id клиента]],клиенты!$A$2:$D$435,4,0)</f>
        <v>нет</v>
      </c>
      <c r="T57" s="54">
        <f>VLOOKUP(Продажи[[#This Row],[id клиента]],клиенты!$A$2:$I$435,9,0)</f>
        <v>14.422997946611909</v>
      </c>
    </row>
    <row r="58" spans="1:20" x14ac:dyDescent="0.25">
      <c r="A58">
        <v>57</v>
      </c>
      <c r="B58">
        <v>155</v>
      </c>
      <c r="C58">
        <v>482</v>
      </c>
      <c r="D58">
        <v>1</v>
      </c>
      <c r="E58" s="35">
        <v>2410</v>
      </c>
      <c r="F58" s="48">
        <v>45400</v>
      </c>
      <c r="G58" t="s">
        <v>14</v>
      </c>
      <c r="H58">
        <v>222</v>
      </c>
      <c r="I58" t="str">
        <f>VLOOKUP(Продажи[[#This Row],[id товара]],Товары[],2,0)</f>
        <v>Йогурт</v>
      </c>
      <c r="J58" s="17">
        <f>AVERAGEIF(Продажи[Категория],Продажи[[#This Row],[Категория]],Продажи[цена за шт в рублях])</f>
        <v>263.25423728813558</v>
      </c>
      <c r="K58" s="16">
        <f>Продажи[[#This Row],[цена за шт в рублях]]/Продажи[[#This Row],[Средняя цена в категории за шт]]-1</f>
        <v>0.83092969353592583</v>
      </c>
      <c r="L58" t="str">
        <f>VLOOKUP(Продажи[[#This Row],[id товара]],Товары[],3,0)</f>
        <v>Эрманн</v>
      </c>
      <c r="M58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58" s="16">
        <f>Продажи[[#This Row],[цена за шт в рублях]]/Продажи[[#This Row],[Средняя цена в категории за шт по поставщику]]-1</f>
        <v>0.93963782696177067</v>
      </c>
      <c r="O58" s="48">
        <f>VLOOKUP(Продажи[[#This Row],[id клиента]],клиенты!$A$2:$E$435,5,0)</f>
        <v>44694</v>
      </c>
      <c r="P58">
        <f>Продажи[[#This Row],[дата создания чека]]-Продажи[[#This Row],[Дата регистрации]]</f>
        <v>706</v>
      </c>
      <c r="Q58" t="str">
        <f>VLOOKUP(Продажи[[#This Row],[id клиента]],клиенты!$A$2:$G$435,7,0)</f>
        <v>Украина</v>
      </c>
      <c r="R58">
        <f>IF(COUNTIF($H$2:H58, H58)=1, 1, 0)</f>
        <v>1</v>
      </c>
      <c r="S58" t="str">
        <f>VLOOKUP(Продажи[[#This Row],[id клиента]],клиенты!$A$2:$D$435,4,0)</f>
        <v>да</v>
      </c>
      <c r="T58" s="54">
        <f>VLOOKUP(Продажи[[#This Row],[id клиента]],клиенты!$A$2:$I$435,9,0)</f>
        <v>23.622176591375769</v>
      </c>
    </row>
    <row r="59" spans="1:20" x14ac:dyDescent="0.25">
      <c r="A59">
        <v>58</v>
      </c>
      <c r="B59">
        <v>239</v>
      </c>
      <c r="C59">
        <v>59</v>
      </c>
      <c r="D59">
        <v>1</v>
      </c>
      <c r="E59" s="35">
        <v>295</v>
      </c>
      <c r="F59" s="48">
        <v>45214</v>
      </c>
      <c r="G59" t="s">
        <v>25</v>
      </c>
      <c r="H59">
        <v>382</v>
      </c>
      <c r="I59" t="str">
        <f>VLOOKUP(Продажи[[#This Row],[id товара]],Товары[],2,0)</f>
        <v>Йогурт</v>
      </c>
      <c r="J59" s="17">
        <f>AVERAGEIF(Продажи[Категория],Продажи[[#This Row],[Категория]],Продажи[цена за шт в рублях])</f>
        <v>263.25423728813558</v>
      </c>
      <c r="K59" s="16">
        <f>Продажи[[#This Row],[цена за шт в рублях]]/Продажи[[#This Row],[Средняя цена в категории за шт]]-1</f>
        <v>-0.77588204996137011</v>
      </c>
      <c r="L59" t="str">
        <f>VLOOKUP(Продажи[[#This Row],[id товара]],Товары[],3,0)</f>
        <v>Эрманн</v>
      </c>
      <c r="M59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59" s="16">
        <f>Продажи[[#This Row],[цена за шт в рублях]]/Продажи[[#This Row],[Средняя цена в категории за шт по поставщику]]-1</f>
        <v>-0.76257545271629779</v>
      </c>
      <c r="O59" s="48">
        <f>VLOOKUP(Продажи[[#This Row],[id клиента]],клиенты!$A$2:$E$435,5,0)</f>
        <v>44850</v>
      </c>
      <c r="P59">
        <f>Продажи[[#This Row],[дата создания чека]]-Продажи[[#This Row],[Дата регистрации]]</f>
        <v>364</v>
      </c>
      <c r="Q59" t="str">
        <f>VLOOKUP(Продажи[[#This Row],[id клиента]],клиенты!$A$2:$G$435,7,0)</f>
        <v>Беларусь</v>
      </c>
      <c r="R59">
        <f>IF(COUNTIF($H$2:H59, H59)=1, 1, 0)</f>
        <v>1</v>
      </c>
      <c r="S59" t="str">
        <f>VLOOKUP(Продажи[[#This Row],[id клиента]],клиенты!$A$2:$D$435,4,0)</f>
        <v>да</v>
      </c>
      <c r="T59" s="54">
        <f>VLOOKUP(Продажи[[#This Row],[id клиента]],клиенты!$A$2:$I$435,9,0)</f>
        <v>11.958932238193018</v>
      </c>
    </row>
    <row r="60" spans="1:20" x14ac:dyDescent="0.25">
      <c r="A60">
        <v>59</v>
      </c>
      <c r="B60">
        <v>158</v>
      </c>
      <c r="C60">
        <v>87</v>
      </c>
      <c r="D60">
        <v>4</v>
      </c>
      <c r="E60" s="35">
        <v>1740</v>
      </c>
      <c r="F60" s="48">
        <v>45423</v>
      </c>
      <c r="G60" t="s">
        <v>16</v>
      </c>
      <c r="H60">
        <v>142</v>
      </c>
      <c r="I60" t="str">
        <f>VLOOKUP(Продажи[[#This Row],[id товара]],Товары[],2,0)</f>
        <v>Сахар</v>
      </c>
      <c r="J60" s="17">
        <f>AVERAGEIF(Продажи[Категория],Продажи[[#This Row],[Категория]],Продажи[цена за шт в рублях])</f>
        <v>252.76271186440678</v>
      </c>
      <c r="K60" s="16">
        <f>Продажи[[#This Row],[цена за шт в рублях]]/Продажи[[#This Row],[Средняя цена в категории за шт]]-1</f>
        <v>-0.65580366123516398</v>
      </c>
      <c r="L60" t="str">
        <f>VLOOKUP(Продажи[[#This Row],[id товара]],Товары[],3,0)</f>
        <v>Сладов</v>
      </c>
      <c r="M60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60" s="16">
        <f>Продажи[[#This Row],[цена за шт в рублях]]/Продажи[[#This Row],[Средняя цена в категории за шт по поставщику]]-1</f>
        <v>-0.63790233074361824</v>
      </c>
      <c r="O60" s="48">
        <f>VLOOKUP(Продажи[[#This Row],[id клиента]],клиенты!$A$2:$E$435,5,0)</f>
        <v>44683</v>
      </c>
      <c r="P60">
        <f>Продажи[[#This Row],[дата создания чека]]-Продажи[[#This Row],[Дата регистрации]]</f>
        <v>740</v>
      </c>
      <c r="Q60" t="str">
        <f>VLOOKUP(Продажи[[#This Row],[id клиента]],клиенты!$A$2:$G$435,7,0)</f>
        <v>Россия</v>
      </c>
      <c r="R60">
        <f>IF(COUNTIF($H$2:H60, H60)=1, 1, 0)</f>
        <v>1</v>
      </c>
      <c r="S60" t="str">
        <f>VLOOKUP(Продажи[[#This Row],[id клиента]],клиенты!$A$2:$D$435,4,0)</f>
        <v>нет</v>
      </c>
      <c r="T60" s="54">
        <f>VLOOKUP(Продажи[[#This Row],[id клиента]],клиенты!$A$2:$I$435,9,0)</f>
        <v>24.312114989733061</v>
      </c>
    </row>
    <row r="61" spans="1:20" x14ac:dyDescent="0.25">
      <c r="A61">
        <v>60</v>
      </c>
      <c r="B61">
        <v>147</v>
      </c>
      <c r="C61">
        <v>238</v>
      </c>
      <c r="D61">
        <v>5</v>
      </c>
      <c r="E61" s="35">
        <v>5950</v>
      </c>
      <c r="F61" s="48">
        <v>44981</v>
      </c>
      <c r="G61" t="s">
        <v>15</v>
      </c>
      <c r="H61">
        <v>270</v>
      </c>
      <c r="I61" t="str">
        <f>VLOOKUP(Продажи[[#This Row],[id товара]],Товары[],2,0)</f>
        <v>Конфеты</v>
      </c>
      <c r="J61" s="17">
        <f>AVERAGEIF(Продажи[Категория],Продажи[[#This Row],[Категория]],Продажи[цена за шт в рублях])</f>
        <v>267.85483870967744</v>
      </c>
      <c r="K61" s="16">
        <f>Продажи[[#This Row],[цена за шт в рублях]]/Продажи[[#This Row],[Средняя цена в категории за шт]]-1</f>
        <v>-0.11145902330342627</v>
      </c>
      <c r="L61" t="str">
        <f>VLOOKUP(Продажи[[#This Row],[id товара]],Товары[],3,0)</f>
        <v>Бабаевский</v>
      </c>
      <c r="M61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61" s="16">
        <f>Продажи[[#This Row],[цена за шт в рублях]]/Продажи[[#This Row],[Средняя цена в категории за шт по поставщику]]-1</f>
        <v>-4.8986236495486168E-2</v>
      </c>
      <c r="O61" s="48">
        <f>VLOOKUP(Продажи[[#This Row],[id клиента]],клиенты!$A$2:$E$435,5,0)</f>
        <v>44827</v>
      </c>
      <c r="P61">
        <f>Продажи[[#This Row],[дата создания чека]]-Продажи[[#This Row],[Дата регистрации]]</f>
        <v>154</v>
      </c>
      <c r="Q61" t="str">
        <f>VLOOKUP(Продажи[[#This Row],[id клиента]],клиенты!$A$2:$G$435,7,0)</f>
        <v>Таджикистан</v>
      </c>
      <c r="R61">
        <f>IF(COUNTIF($H$2:H61, H61)=1, 1, 0)</f>
        <v>0</v>
      </c>
      <c r="S61" t="str">
        <f>VLOOKUP(Продажи[[#This Row],[id клиента]],клиенты!$A$2:$D$435,4,0)</f>
        <v>да</v>
      </c>
      <c r="T61" s="54">
        <f>VLOOKUP(Продажи[[#This Row],[id клиента]],клиенты!$A$2:$I$435,9,0)</f>
        <v>18.39835728952772</v>
      </c>
    </row>
    <row r="62" spans="1:20" x14ac:dyDescent="0.25">
      <c r="A62">
        <v>61</v>
      </c>
      <c r="B62">
        <v>311</v>
      </c>
      <c r="C62">
        <v>238</v>
      </c>
      <c r="D62">
        <v>5</v>
      </c>
      <c r="E62" s="35">
        <v>5950</v>
      </c>
      <c r="F62" s="48">
        <v>45245</v>
      </c>
      <c r="G62" t="s">
        <v>15</v>
      </c>
      <c r="H62">
        <v>150</v>
      </c>
      <c r="I62" t="str">
        <f>VLOOKUP(Продажи[[#This Row],[id товара]],Товары[],2,0)</f>
        <v>Макароны</v>
      </c>
      <c r="J62" s="17">
        <f>AVERAGEIF(Продажи[Категория],Продажи[[#This Row],[Категория]],Продажи[цена за шт в рублях])</f>
        <v>265.47674418604652</v>
      </c>
      <c r="K62" s="16">
        <f>Продажи[[#This Row],[цена за шт в рублях]]/Продажи[[#This Row],[Средняя цена в категории за шт]]-1</f>
        <v>-0.10349962769918097</v>
      </c>
      <c r="L62" t="str">
        <f>VLOOKUP(Продажи[[#This Row],[id товара]],Товары[],3,0)</f>
        <v>Паста Зара</v>
      </c>
      <c r="M62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2" s="16">
        <f>Продажи[[#This Row],[цена за шт в рублях]]/Продажи[[#This Row],[Средняя цена в категории за шт по поставщику]]-1</f>
        <v>-0.13978704698642186</v>
      </c>
      <c r="O62" s="48">
        <f>VLOOKUP(Продажи[[#This Row],[id клиента]],клиенты!$A$2:$E$435,5,0)</f>
        <v>44622</v>
      </c>
      <c r="P62">
        <f>Продажи[[#This Row],[дата создания чека]]-Продажи[[#This Row],[Дата регистрации]]</f>
        <v>623</v>
      </c>
      <c r="Q62" t="str">
        <f>VLOOKUP(Продажи[[#This Row],[id клиента]],клиенты!$A$2:$G$435,7,0)</f>
        <v>Узбекистан</v>
      </c>
      <c r="R62">
        <f>IF(COUNTIF($H$2:H62, H62)=1, 1, 0)</f>
        <v>1</v>
      </c>
      <c r="S62" t="str">
        <f>VLOOKUP(Продажи[[#This Row],[id клиента]],клиенты!$A$2:$D$435,4,0)</f>
        <v>нет</v>
      </c>
      <c r="T62" s="54">
        <f>VLOOKUP(Продажи[[#This Row],[id клиента]],клиенты!$A$2:$I$435,9,0)</f>
        <v>20.468172484599588</v>
      </c>
    </row>
    <row r="63" spans="1:20" x14ac:dyDescent="0.25">
      <c r="A63">
        <v>62</v>
      </c>
      <c r="B63">
        <v>465</v>
      </c>
      <c r="C63">
        <v>311</v>
      </c>
      <c r="D63">
        <v>2</v>
      </c>
      <c r="E63" s="35">
        <v>3110</v>
      </c>
      <c r="F63" s="48">
        <v>44934</v>
      </c>
      <c r="G63" t="s">
        <v>9</v>
      </c>
      <c r="H63">
        <v>14</v>
      </c>
      <c r="I63" t="str">
        <f>VLOOKUP(Продажи[[#This Row],[id товара]],Товары[],2,0)</f>
        <v>Йогурт</v>
      </c>
      <c r="J63" s="17">
        <f>AVERAGEIF(Продажи[Категория],Продажи[[#This Row],[Категория]],Продажи[цена за шт в рублях])</f>
        <v>263.25423728813558</v>
      </c>
      <c r="K63" s="16">
        <f>Продажи[[#This Row],[цена за шт в рублях]]/Продажи[[#This Row],[Средняя цена в категории за шт]]-1</f>
        <v>0.18136749935616803</v>
      </c>
      <c r="L63" t="str">
        <f>VLOOKUP(Продажи[[#This Row],[id товара]],Товары[],3,0)</f>
        <v>Ростагроэкспорт</v>
      </c>
      <c r="M63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63" s="16">
        <f>Продажи[[#This Row],[цена за шт в рублях]]/Продажи[[#This Row],[Средняя цена в категории за шт по поставщику]]-1</f>
        <v>0.20644290774160901</v>
      </c>
      <c r="O63" s="48">
        <f>VLOOKUP(Продажи[[#This Row],[id клиента]],клиенты!$A$2:$E$435,5,0)</f>
        <v>44775</v>
      </c>
      <c r="P63">
        <f>Продажи[[#This Row],[дата создания чека]]-Продажи[[#This Row],[Дата регистрации]]</f>
        <v>159</v>
      </c>
      <c r="Q63" t="str">
        <f>VLOOKUP(Продажи[[#This Row],[id клиента]],клиенты!$A$2:$G$435,7,0)</f>
        <v>Таджикистан</v>
      </c>
      <c r="R63">
        <f>IF(COUNTIF($H$2:H63, H63)=1, 1, 0)</f>
        <v>1</v>
      </c>
      <c r="S63" t="str">
        <f>VLOOKUP(Продажи[[#This Row],[id клиента]],клиенты!$A$2:$D$435,4,0)</f>
        <v>да</v>
      </c>
      <c r="T63" s="54">
        <f>VLOOKUP(Продажи[[#This Row],[id клиента]],клиенты!$A$2:$I$435,9,0)</f>
        <v>7.786447638603696</v>
      </c>
    </row>
    <row r="64" spans="1:20" x14ac:dyDescent="0.25">
      <c r="A64">
        <v>63</v>
      </c>
      <c r="B64">
        <v>449</v>
      </c>
      <c r="C64">
        <v>392</v>
      </c>
      <c r="D64">
        <v>3</v>
      </c>
      <c r="E64" s="35">
        <v>5880</v>
      </c>
      <c r="F64" s="48">
        <v>45267</v>
      </c>
      <c r="G64" t="s">
        <v>19</v>
      </c>
      <c r="H64">
        <v>371</v>
      </c>
      <c r="I64" t="str">
        <f>VLOOKUP(Продажи[[#This Row],[id товара]],Товары[],2,0)</f>
        <v>Мясо</v>
      </c>
      <c r="J64" s="17">
        <f>AVERAGEIF(Продажи[Категория],Продажи[[#This Row],[Категория]],Продажи[цена за шт в рублях])</f>
        <v>271.74545454545455</v>
      </c>
      <c r="K64" s="16">
        <f>Продажи[[#This Row],[цена за шт в рублях]]/Продажи[[#This Row],[Средняя цена в категории за шт]]-1</f>
        <v>0.44252642847584633</v>
      </c>
      <c r="L64" t="str">
        <f>VLOOKUP(Продажи[[#This Row],[id товара]],Товары[],3,0)</f>
        <v>Агрокомплекс</v>
      </c>
      <c r="M64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64" s="16">
        <f>Продажи[[#This Row],[цена за шт в рублях]]/Продажи[[#This Row],[Средняя цена в категории за шт по поставщику]]-1</f>
        <v>0.25964010282776351</v>
      </c>
      <c r="O64" s="48">
        <f>VLOOKUP(Продажи[[#This Row],[id клиента]],клиенты!$A$2:$E$435,5,0)</f>
        <v>44844</v>
      </c>
      <c r="P64">
        <f>Продажи[[#This Row],[дата создания чека]]-Продажи[[#This Row],[Дата регистрации]]</f>
        <v>423</v>
      </c>
      <c r="Q64" t="str">
        <f>VLOOKUP(Продажи[[#This Row],[id клиента]],клиенты!$A$2:$G$435,7,0)</f>
        <v>Украина</v>
      </c>
      <c r="R64">
        <f>IF(COUNTIF($H$2:H64, H64)=1, 1, 0)</f>
        <v>1</v>
      </c>
      <c r="S64" t="str">
        <f>VLOOKUP(Продажи[[#This Row],[id клиента]],клиенты!$A$2:$D$435,4,0)</f>
        <v>нет</v>
      </c>
      <c r="T64" s="54">
        <f>VLOOKUP(Продажи[[#This Row],[id клиента]],клиенты!$A$2:$I$435,9,0)</f>
        <v>13.897330595482547</v>
      </c>
    </row>
    <row r="65" spans="1:20" x14ac:dyDescent="0.25">
      <c r="A65">
        <v>64</v>
      </c>
      <c r="B65">
        <v>144</v>
      </c>
      <c r="C65">
        <v>473</v>
      </c>
      <c r="D65">
        <v>5</v>
      </c>
      <c r="E65" s="35">
        <v>11825</v>
      </c>
      <c r="F65" s="48">
        <v>45280</v>
      </c>
      <c r="G65" t="s">
        <v>17</v>
      </c>
      <c r="H65">
        <v>328</v>
      </c>
      <c r="I65" t="str">
        <f>VLOOKUP(Продажи[[#This Row],[id товара]],Товары[],2,0)</f>
        <v>Макароны</v>
      </c>
      <c r="J65" s="17">
        <f>AVERAGEIF(Продажи[Категория],Продажи[[#This Row],[Категория]],Продажи[цена за шт в рублях])</f>
        <v>265.47674418604652</v>
      </c>
      <c r="K65" s="16">
        <f>Продажи[[#This Row],[цена за шт в рублях]]/Продажи[[#This Row],[Средняя цена в категории за шт]]-1</f>
        <v>0.78170031974070331</v>
      </c>
      <c r="L65" t="str">
        <f>VLOOKUP(Продажи[[#This Row],[id товара]],Товары[],3,0)</f>
        <v>Роллтон</v>
      </c>
      <c r="M65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65" s="16">
        <f>Продажи[[#This Row],[цена за шт в рублях]]/Продажи[[#This Row],[Средняя цена в категории за шт по поставщику]]-1</f>
        <v>1.0080188679245285</v>
      </c>
      <c r="O65" s="48">
        <f>VLOOKUP(Продажи[[#This Row],[id клиента]],клиенты!$A$2:$E$435,5,0)</f>
        <v>44568</v>
      </c>
      <c r="P65">
        <f>Продажи[[#This Row],[дата создания чека]]-Продажи[[#This Row],[Дата регистрации]]</f>
        <v>712</v>
      </c>
      <c r="Q65" t="str">
        <f>VLOOKUP(Продажи[[#This Row],[id клиента]],клиенты!$A$2:$G$435,7,0)</f>
        <v>Россия</v>
      </c>
      <c r="R65">
        <f>IF(COUNTIF($H$2:H65, H65)=1, 1, 0)</f>
        <v>1</v>
      </c>
      <c r="S65" t="str">
        <f>VLOOKUP(Продажи[[#This Row],[id клиента]],клиенты!$A$2:$D$435,4,0)</f>
        <v>да</v>
      </c>
      <c r="T65" s="54">
        <f>VLOOKUP(Продажи[[#This Row],[id клиента]],клиенты!$A$2:$I$435,9,0)</f>
        <v>23.392197125256672</v>
      </c>
    </row>
    <row r="66" spans="1:20" x14ac:dyDescent="0.25">
      <c r="A66">
        <v>65</v>
      </c>
      <c r="B66">
        <v>375</v>
      </c>
      <c r="C66">
        <v>231</v>
      </c>
      <c r="D66">
        <v>2</v>
      </c>
      <c r="E66" s="35">
        <v>2310</v>
      </c>
      <c r="F66" s="48">
        <v>45114</v>
      </c>
      <c r="G66" t="s">
        <v>18</v>
      </c>
      <c r="H66">
        <v>171</v>
      </c>
      <c r="I66" t="str">
        <f>VLOOKUP(Продажи[[#This Row],[id товара]],Товары[],2,0)</f>
        <v>Макароны</v>
      </c>
      <c r="J66" s="17">
        <f>AVERAGEIF(Продажи[Категория],Продажи[[#This Row],[Категория]],Продажи[цена за шт в рублях])</f>
        <v>265.47674418604652</v>
      </c>
      <c r="K66" s="16">
        <f>Продажи[[#This Row],[цена за шт в рублях]]/Продажи[[#This Row],[Средняя цена в категории за шт]]-1</f>
        <v>-0.12986728570802852</v>
      </c>
      <c r="L66" t="str">
        <f>VLOOKUP(Продажи[[#This Row],[id товара]],Товары[],3,0)</f>
        <v>Борилла</v>
      </c>
      <c r="M66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66" s="16">
        <f>Продажи[[#This Row],[цена за шт в рублях]]/Продажи[[#This Row],[Средняя цена в категории за шт по поставщику]]-1</f>
        <v>-2.2329246935201441E-2</v>
      </c>
      <c r="O66" s="48">
        <f>VLOOKUP(Продажи[[#This Row],[id клиента]],клиенты!$A$2:$E$435,5,0)</f>
        <v>44710</v>
      </c>
      <c r="P66">
        <f>Продажи[[#This Row],[дата создания чека]]-Продажи[[#This Row],[Дата регистрации]]</f>
        <v>404</v>
      </c>
      <c r="Q66" t="str">
        <f>VLOOKUP(Продажи[[#This Row],[id клиента]],клиенты!$A$2:$G$435,7,0)</f>
        <v>Россия</v>
      </c>
      <c r="R66">
        <f>IF(COUNTIF($H$2:H66, H66)=1, 1, 0)</f>
        <v>1</v>
      </c>
      <c r="S66" t="str">
        <f>VLOOKUP(Продажи[[#This Row],[id клиента]],клиенты!$A$2:$D$435,4,0)</f>
        <v>да</v>
      </c>
      <c r="T66" s="54">
        <f>VLOOKUP(Продажи[[#This Row],[id клиента]],клиенты!$A$2:$I$435,9,0)</f>
        <v>15.93429158110883</v>
      </c>
    </row>
    <row r="67" spans="1:20" x14ac:dyDescent="0.25">
      <c r="A67">
        <v>66</v>
      </c>
      <c r="B67">
        <v>408</v>
      </c>
      <c r="C67">
        <v>438</v>
      </c>
      <c r="D67">
        <v>3</v>
      </c>
      <c r="E67" s="35">
        <v>6570</v>
      </c>
      <c r="F67" s="48">
        <v>44973</v>
      </c>
      <c r="G67" t="s">
        <v>19</v>
      </c>
      <c r="H67">
        <v>68</v>
      </c>
      <c r="I67" t="str">
        <f>VLOOKUP(Продажи[[#This Row],[id товара]],Товары[],2,0)</f>
        <v>Йогурт</v>
      </c>
      <c r="J67" s="17">
        <f>AVERAGEIF(Продажи[Категория],Продажи[[#This Row],[Категория]],Продажи[цена за шт в рублях])</f>
        <v>263.25423728813558</v>
      </c>
      <c r="K67" s="16">
        <f>Продажи[[#This Row],[цена за шт в рублях]]/Продажи[[#This Row],[Средняя цена в категории за шт]]-1</f>
        <v>0.66379088333762559</v>
      </c>
      <c r="L67" t="str">
        <f>VLOOKUP(Продажи[[#This Row],[id товара]],Товары[],3,0)</f>
        <v>Эрманн</v>
      </c>
      <c r="M67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67" s="16">
        <f>Продажи[[#This Row],[цена за шт в рублях]]/Продажи[[#This Row],[Средняя цена в категории за шт по поставщику]]-1</f>
        <v>0.76257545271629779</v>
      </c>
      <c r="O67" s="48">
        <f>VLOOKUP(Продажи[[#This Row],[id клиента]],клиенты!$A$2:$E$435,5,0)</f>
        <v>44882</v>
      </c>
      <c r="P67">
        <f>Продажи[[#This Row],[дата создания чека]]-Продажи[[#This Row],[Дата регистрации]]</f>
        <v>91</v>
      </c>
      <c r="Q67" t="str">
        <f>VLOOKUP(Продажи[[#This Row],[id клиента]],клиенты!$A$2:$G$435,7,0)</f>
        <v>Узбекистан</v>
      </c>
      <c r="R67">
        <f>IF(COUNTIF($H$2:H67, H67)=1, 1, 0)</f>
        <v>1</v>
      </c>
      <c r="S67" t="str">
        <f>VLOOKUP(Продажи[[#This Row],[id клиента]],клиенты!$A$2:$D$435,4,0)</f>
        <v>да</v>
      </c>
      <c r="T67" s="54">
        <f>VLOOKUP(Продажи[[#This Row],[id клиента]],клиенты!$A$2:$I$435,9,0)</f>
        <v>16.854209445585216</v>
      </c>
    </row>
    <row r="68" spans="1:20" x14ac:dyDescent="0.25">
      <c r="A68">
        <v>67</v>
      </c>
      <c r="B68">
        <v>425</v>
      </c>
      <c r="C68">
        <v>365</v>
      </c>
      <c r="D68">
        <v>2</v>
      </c>
      <c r="E68" s="35">
        <v>3650</v>
      </c>
      <c r="F68" s="48">
        <v>44989</v>
      </c>
      <c r="G68" t="s">
        <v>21</v>
      </c>
      <c r="H68">
        <v>346</v>
      </c>
      <c r="I68" t="str">
        <f>VLOOKUP(Продажи[[#This Row],[id товара]],Товары[],2,0)</f>
        <v>Соль</v>
      </c>
      <c r="J68" s="17">
        <f>AVERAGEIF(Продажи[Категория],Продажи[[#This Row],[Категория]],Продажи[цена за шт в рублях])</f>
        <v>264.8679245283019</v>
      </c>
      <c r="K68" s="16">
        <f>Продажи[[#This Row],[цена за шт в рублях]]/Продажи[[#This Row],[Средняя цена в категории за шт]]-1</f>
        <v>0.37804530559908822</v>
      </c>
      <c r="L68" t="str">
        <f>VLOOKUP(Продажи[[#This Row],[id товара]],Товары[],3,0)</f>
        <v>Экстра</v>
      </c>
      <c r="M68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68" s="16">
        <f>Продажи[[#This Row],[цена за шт в рублях]]/Продажи[[#This Row],[Средняя цена в категории за шт по поставщику]]-1</f>
        <v>0.13761687844641557</v>
      </c>
      <c r="O68" s="48">
        <f>VLOOKUP(Продажи[[#This Row],[id клиента]],клиенты!$A$2:$E$435,5,0)</f>
        <v>44636</v>
      </c>
      <c r="P68">
        <f>Продажи[[#This Row],[дата создания чека]]-Продажи[[#This Row],[Дата регистрации]]</f>
        <v>353</v>
      </c>
      <c r="Q68" t="str">
        <f>VLOOKUP(Продажи[[#This Row],[id клиента]],клиенты!$A$2:$G$435,7,0)</f>
        <v>Россия</v>
      </c>
      <c r="R68">
        <f>IF(COUNTIF($H$2:H68, H68)=1, 1, 0)</f>
        <v>1</v>
      </c>
      <c r="S68" t="str">
        <f>VLOOKUP(Продажи[[#This Row],[id клиента]],клиенты!$A$2:$D$435,4,0)</f>
        <v>да</v>
      </c>
      <c r="T68" s="54">
        <f>VLOOKUP(Продажи[[#This Row],[id клиента]],клиенты!$A$2:$I$435,9,0)</f>
        <v>22.11088295687885</v>
      </c>
    </row>
    <row r="69" spans="1:20" x14ac:dyDescent="0.25">
      <c r="A69">
        <v>68</v>
      </c>
      <c r="B69">
        <v>277</v>
      </c>
      <c r="C69">
        <v>324</v>
      </c>
      <c r="D69">
        <v>2</v>
      </c>
      <c r="E69" s="35">
        <v>3240</v>
      </c>
      <c r="F69" s="48">
        <v>45287</v>
      </c>
      <c r="G69" t="s">
        <v>21</v>
      </c>
      <c r="H69">
        <v>415</v>
      </c>
      <c r="I69" t="str">
        <f>VLOOKUP(Продажи[[#This Row],[id товара]],Товары[],2,0)</f>
        <v>Чай</v>
      </c>
      <c r="J69" s="17">
        <f>AVERAGEIF(Продажи[Категория],Продажи[[#This Row],[Категория]],Продажи[цена за шт в рублях])</f>
        <v>271.18181818181819</v>
      </c>
      <c r="K69" s="16">
        <f>Продажи[[#This Row],[цена за шт в рублях]]/Продажи[[#This Row],[Средняя цена в категории за шт]]-1</f>
        <v>0.19477036540395565</v>
      </c>
      <c r="L69" t="str">
        <f>VLOOKUP(Продажи[[#This Row],[id товара]],Товары[],3,0)</f>
        <v>Greenfield</v>
      </c>
      <c r="M69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69" s="16">
        <f>Продажи[[#This Row],[цена за шт в рублях]]/Продажи[[#This Row],[Средняя цена в категории за шт по поставщику]]-1</f>
        <v>0.1116656269494698</v>
      </c>
      <c r="O69" s="48">
        <f>VLOOKUP(Продажи[[#This Row],[id клиента]],клиенты!$A$2:$E$435,5,0)</f>
        <v>44661</v>
      </c>
      <c r="P69">
        <f>Продажи[[#This Row],[дата создания чека]]-Продажи[[#This Row],[Дата регистрации]]</f>
        <v>626</v>
      </c>
      <c r="Q69" t="str">
        <f>VLOOKUP(Продажи[[#This Row],[id клиента]],клиенты!$A$2:$G$435,7,0)</f>
        <v>Украина</v>
      </c>
      <c r="R69">
        <f>IF(COUNTIF($H$2:H69, H69)=1, 1, 0)</f>
        <v>1</v>
      </c>
      <c r="S69" t="str">
        <f>VLOOKUP(Продажи[[#This Row],[id клиента]],клиенты!$A$2:$D$435,4,0)</f>
        <v>да</v>
      </c>
      <c r="T69" s="54">
        <f>VLOOKUP(Продажи[[#This Row],[id клиента]],клиенты!$A$2:$I$435,9,0)</f>
        <v>20.566735112936346</v>
      </c>
    </row>
    <row r="70" spans="1:20" x14ac:dyDescent="0.25">
      <c r="A70">
        <v>69</v>
      </c>
      <c r="B70">
        <v>130</v>
      </c>
      <c r="C70">
        <v>208</v>
      </c>
      <c r="D70">
        <v>5</v>
      </c>
      <c r="E70" s="35">
        <v>5200</v>
      </c>
      <c r="F70" s="48">
        <v>44975</v>
      </c>
      <c r="G70" t="s">
        <v>15</v>
      </c>
      <c r="H70">
        <v>115</v>
      </c>
      <c r="I70" t="str">
        <f>VLOOKUP(Продажи[[#This Row],[id товара]],Товары[],2,0)</f>
        <v>Соль</v>
      </c>
      <c r="J70" s="17">
        <f>AVERAGEIF(Продажи[Категория],Продажи[[#This Row],[Категория]],Продажи[цена за шт в рублях])</f>
        <v>264.8679245283019</v>
      </c>
      <c r="K70" s="16">
        <f>Продажи[[#This Row],[цена за шт в рублях]]/Продажи[[#This Row],[Средняя цена в категории за шт]]-1</f>
        <v>-0.21470294913805388</v>
      </c>
      <c r="L70" t="str">
        <f>VLOOKUP(Продажи[[#This Row],[id товара]],Товары[],3,0)</f>
        <v>Илецкая</v>
      </c>
      <c r="M70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70" s="16">
        <f>Продажи[[#This Row],[цена за шт в рублях]]/Продажи[[#This Row],[Средняя цена в категории за шт по поставщику]]-1</f>
        <v>-0.12666200139958006</v>
      </c>
      <c r="O70" s="48">
        <f>VLOOKUP(Продажи[[#This Row],[id клиента]],клиенты!$A$2:$E$435,5,0)</f>
        <v>44832</v>
      </c>
      <c r="P70">
        <f>Продажи[[#This Row],[дата создания чека]]-Продажи[[#This Row],[Дата регистрации]]</f>
        <v>143</v>
      </c>
      <c r="Q70" t="str">
        <f>VLOOKUP(Продажи[[#This Row],[id клиента]],клиенты!$A$2:$G$435,7,0)</f>
        <v>Беларусь</v>
      </c>
      <c r="R70">
        <f>IF(COUNTIF($H$2:H70, H70)=1, 1, 0)</f>
        <v>1</v>
      </c>
      <c r="S70" t="str">
        <f>VLOOKUP(Продажи[[#This Row],[id клиента]],клиенты!$A$2:$D$435,4,0)</f>
        <v>да</v>
      </c>
      <c r="T70" s="54">
        <f>VLOOKUP(Продажи[[#This Row],[id клиента]],клиенты!$A$2:$I$435,9,0)</f>
        <v>19.154004106776181</v>
      </c>
    </row>
    <row r="71" spans="1:20" x14ac:dyDescent="0.25">
      <c r="A71">
        <v>70</v>
      </c>
      <c r="B71">
        <v>337</v>
      </c>
      <c r="C71">
        <v>115</v>
      </c>
      <c r="D71">
        <v>3</v>
      </c>
      <c r="E71" s="35">
        <v>1725</v>
      </c>
      <c r="F71" s="48">
        <v>45046</v>
      </c>
      <c r="G71" t="s">
        <v>8</v>
      </c>
      <c r="H71">
        <v>42</v>
      </c>
      <c r="I71" t="str">
        <f>VLOOKUP(Продажи[[#This Row],[id товара]],Товары[],2,0)</f>
        <v>Макароны</v>
      </c>
      <c r="J71" s="17">
        <f>AVERAGEIF(Продажи[Категория],Продажи[[#This Row],[Категория]],Продажи[цена за шт в рублях])</f>
        <v>265.47674418604652</v>
      </c>
      <c r="K71" s="16">
        <f>Продажи[[#This Row],[цена за шт в рублях]]/Продажи[[#This Row],[Средняя цена в категории за шт]]-1</f>
        <v>-0.56681704699750335</v>
      </c>
      <c r="L71" t="str">
        <f>VLOOKUP(Продажи[[#This Row],[id товара]],Товары[],3,0)</f>
        <v>Паста Зара</v>
      </c>
      <c r="M71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71" s="16">
        <f>Продажи[[#This Row],[цена за шт в рублях]]/Продажи[[#This Row],[Средняя цена в категории за шт по поставщику]]-1</f>
        <v>-0.5843508840480609</v>
      </c>
      <c r="O71" s="48">
        <f>VLOOKUP(Продажи[[#This Row],[id клиента]],клиенты!$A$2:$E$435,5,0)</f>
        <v>44783</v>
      </c>
      <c r="P71">
        <f>Продажи[[#This Row],[дата создания чека]]-Продажи[[#This Row],[Дата регистрации]]</f>
        <v>263</v>
      </c>
      <c r="Q71" t="str">
        <f>VLOOKUP(Продажи[[#This Row],[id клиента]],клиенты!$A$2:$G$435,7,0)</f>
        <v>Таджикистан</v>
      </c>
      <c r="R71">
        <f>IF(COUNTIF($H$2:H71, H71)=1, 1, 0)</f>
        <v>1</v>
      </c>
      <c r="S71" t="str">
        <f>VLOOKUP(Продажи[[#This Row],[id клиента]],клиенты!$A$2:$D$435,4,0)</f>
        <v>да</v>
      </c>
      <c r="T71" s="54">
        <f>VLOOKUP(Продажи[[#This Row],[id клиента]],клиенты!$A$2:$I$435,9,0)</f>
        <v>19.351129363449694</v>
      </c>
    </row>
    <row r="72" spans="1:20" x14ac:dyDescent="0.25">
      <c r="A72">
        <v>71</v>
      </c>
      <c r="B72">
        <v>30</v>
      </c>
      <c r="C72">
        <v>261</v>
      </c>
      <c r="D72">
        <v>1</v>
      </c>
      <c r="E72" s="35">
        <v>1305</v>
      </c>
      <c r="F72" s="48">
        <v>45000</v>
      </c>
      <c r="G72" t="s">
        <v>22</v>
      </c>
      <c r="H72">
        <v>378</v>
      </c>
      <c r="I72" t="str">
        <f>VLOOKUP(Продажи[[#This Row],[id товара]],Товары[],2,0)</f>
        <v>Чипсы</v>
      </c>
      <c r="J72" s="17">
        <f>AVERAGEIF(Продажи[Категория],Продажи[[#This Row],[Категория]],Продажи[цена за шт в рублях])</f>
        <v>273.72549019607845</v>
      </c>
      <c r="K72" s="16">
        <f>Продажи[[#This Row],[цена за шт в рублях]]/Продажи[[#This Row],[Средняя цена в категории за шт]]-1</f>
        <v>-4.6489971346704961E-2</v>
      </c>
      <c r="L72" t="str">
        <f>VLOOKUP(Продажи[[#This Row],[id товара]],Товары[],3,0)</f>
        <v>Pringles</v>
      </c>
      <c r="M72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72" s="16">
        <f>Продажи[[#This Row],[цена за шт в рублях]]/Продажи[[#This Row],[Средняя цена в категории за шт по поставщику]]-1</f>
        <v>-6.8649107901444406E-2</v>
      </c>
      <c r="O72" s="48">
        <f>VLOOKUP(Продажи[[#This Row],[id клиента]],клиенты!$A$2:$E$435,5,0)</f>
        <v>44710</v>
      </c>
      <c r="P72">
        <f>Продажи[[#This Row],[дата создания чека]]-Продажи[[#This Row],[Дата регистрации]]</f>
        <v>290</v>
      </c>
      <c r="Q72" t="str">
        <f>VLOOKUP(Продажи[[#This Row],[id клиента]],клиенты!$A$2:$G$435,7,0)</f>
        <v>Россия</v>
      </c>
      <c r="R72">
        <f>IF(COUNTIF($H$2:H72, H72)=1, 1, 0)</f>
        <v>1</v>
      </c>
      <c r="S72" t="str">
        <f>VLOOKUP(Продажи[[#This Row],[id клиента]],клиенты!$A$2:$D$435,4,0)</f>
        <v>нет</v>
      </c>
      <c r="T72" s="54">
        <f>VLOOKUP(Продажи[[#This Row],[id клиента]],клиенты!$A$2:$I$435,9,0)</f>
        <v>9.5277207392197134</v>
      </c>
    </row>
    <row r="73" spans="1:20" x14ac:dyDescent="0.25">
      <c r="A73">
        <v>72</v>
      </c>
      <c r="B73">
        <v>75</v>
      </c>
      <c r="C73">
        <v>257</v>
      </c>
      <c r="D73">
        <v>2</v>
      </c>
      <c r="E73" s="35">
        <v>2570</v>
      </c>
      <c r="F73" s="48">
        <v>45306</v>
      </c>
      <c r="G73" t="s">
        <v>25</v>
      </c>
      <c r="H73">
        <v>449</v>
      </c>
      <c r="I73" t="str">
        <f>VLOOKUP(Продажи[[#This Row],[id товара]],Товары[],2,0)</f>
        <v>Печенье</v>
      </c>
      <c r="J73" s="17">
        <f>AVERAGEIF(Продажи[Категория],Продажи[[#This Row],[Категория]],Продажи[цена за шт в рублях])</f>
        <v>283.468085106383</v>
      </c>
      <c r="K73" s="16">
        <f>Продажи[[#This Row],[цена за шт в рублях]]/Продажи[[#This Row],[Средняя цена в категории за шт]]-1</f>
        <v>-9.3372363581775919E-2</v>
      </c>
      <c r="L73" t="str">
        <f>VLOOKUP(Продажи[[#This Row],[id товара]],Товары[],3,0)</f>
        <v>Белогорье</v>
      </c>
      <c r="M73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73" s="16">
        <f>Продажи[[#This Row],[цена за шт в рублях]]/Продажи[[#This Row],[Средняя цена в категории за шт по поставщику]]-1</f>
        <v>3.0060120240480881E-2</v>
      </c>
      <c r="O73" s="48">
        <f>VLOOKUP(Продажи[[#This Row],[id клиента]],клиенты!$A$2:$E$435,5,0)</f>
        <v>44645</v>
      </c>
      <c r="P73">
        <f>Продажи[[#This Row],[дата создания чека]]-Продажи[[#This Row],[Дата регистрации]]</f>
        <v>661</v>
      </c>
      <c r="Q73" t="str">
        <f>VLOOKUP(Продажи[[#This Row],[id клиента]],клиенты!$A$2:$G$435,7,0)</f>
        <v>Таджикистан</v>
      </c>
      <c r="R73">
        <f>IF(COUNTIF($H$2:H73, H73)=1, 1, 0)</f>
        <v>1</v>
      </c>
      <c r="S73" t="str">
        <f>VLOOKUP(Продажи[[#This Row],[id клиента]],клиенты!$A$2:$D$435,4,0)</f>
        <v>нет</v>
      </c>
      <c r="T73" s="54">
        <f>VLOOKUP(Продажи[[#This Row],[id клиента]],клиенты!$A$2:$I$435,9,0)</f>
        <v>24.50924024640657</v>
      </c>
    </row>
    <row r="74" spans="1:20" x14ac:dyDescent="0.25">
      <c r="A74">
        <v>73</v>
      </c>
      <c r="B74">
        <v>118</v>
      </c>
      <c r="C74">
        <v>459</v>
      </c>
      <c r="D74">
        <v>2</v>
      </c>
      <c r="E74" s="35">
        <v>4590</v>
      </c>
      <c r="F74" s="48">
        <v>44993</v>
      </c>
      <c r="G74" t="s">
        <v>17</v>
      </c>
      <c r="H74">
        <v>318</v>
      </c>
      <c r="I74" t="str">
        <f>VLOOKUP(Продажи[[#This Row],[id товара]],Товары[],2,0)</f>
        <v>Сахар</v>
      </c>
      <c r="J74" s="17">
        <f>AVERAGEIF(Продажи[Категория],Продажи[[#This Row],[Категория]],Продажи[цена за шт в рублях])</f>
        <v>252.76271186440678</v>
      </c>
      <c r="K74" s="16">
        <f>Продажи[[#This Row],[цена за шт в рублях]]/Продажи[[#This Row],[Средняя цена в категории за шт]]-1</f>
        <v>0.81593240796620403</v>
      </c>
      <c r="L74" t="str">
        <f>VLOOKUP(Продажи[[#This Row],[id товара]],Товары[],3,0)</f>
        <v>Продимекс</v>
      </c>
      <c r="M74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74" s="16">
        <f>Продажи[[#This Row],[цена за шт в рублях]]/Продажи[[#This Row],[Средняя цена в категории за шт по поставщику]]-1</f>
        <v>0.90852390852390852</v>
      </c>
      <c r="O74" s="48">
        <f>VLOOKUP(Продажи[[#This Row],[id клиента]],клиенты!$A$2:$E$435,5,0)</f>
        <v>44892</v>
      </c>
      <c r="P74">
        <f>Продажи[[#This Row],[дата создания чека]]-Продажи[[#This Row],[Дата регистрации]]</f>
        <v>101</v>
      </c>
      <c r="Q74" t="str">
        <f>VLOOKUP(Продажи[[#This Row],[id клиента]],клиенты!$A$2:$G$435,7,0)</f>
        <v>Узбекистан</v>
      </c>
      <c r="R74">
        <f>IF(COUNTIF($H$2:H74, H74)=1, 1, 0)</f>
        <v>0</v>
      </c>
      <c r="S74" t="str">
        <f>VLOOKUP(Продажи[[#This Row],[id клиента]],клиенты!$A$2:$D$435,4,0)</f>
        <v>да</v>
      </c>
      <c r="T74" s="54">
        <f>VLOOKUP(Продажи[[#This Row],[id клиента]],клиенты!$A$2:$I$435,9,0)</f>
        <v>3.3182751540041067</v>
      </c>
    </row>
    <row r="75" spans="1:20" x14ac:dyDescent="0.25">
      <c r="A75">
        <v>74</v>
      </c>
      <c r="B75">
        <v>19</v>
      </c>
      <c r="C75">
        <v>112</v>
      </c>
      <c r="D75">
        <v>4</v>
      </c>
      <c r="E75" s="35">
        <v>2240</v>
      </c>
      <c r="F75" s="48">
        <v>45360</v>
      </c>
      <c r="G75" t="s">
        <v>17</v>
      </c>
      <c r="H75">
        <v>317</v>
      </c>
      <c r="I75" t="str">
        <f>VLOOKUP(Продажи[[#This Row],[id товара]],Товары[],2,0)</f>
        <v>Мясо</v>
      </c>
      <c r="J75" s="17">
        <f>AVERAGEIF(Продажи[Категория],Продажи[[#This Row],[Категория]],Продажи[цена за шт в рублях])</f>
        <v>271.74545454545455</v>
      </c>
      <c r="K75" s="16">
        <f>Продажи[[#This Row],[цена за шт в рублях]]/Продажи[[#This Row],[Средняя цена в категории за шт]]-1</f>
        <v>-0.58784959186404384</v>
      </c>
      <c r="L75" t="str">
        <f>VLOOKUP(Продажи[[#This Row],[id товара]],Товары[],3,0)</f>
        <v>Снежана</v>
      </c>
      <c r="M75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75" s="16">
        <f>Продажи[[#This Row],[цена за шт в рублях]]/Продажи[[#This Row],[Средняя цена в категории за шт по поставщику]]-1</f>
        <v>-0.58876889848812097</v>
      </c>
      <c r="O75" s="48">
        <f>VLOOKUP(Продажи[[#This Row],[id клиента]],клиенты!$A$2:$E$435,5,0)</f>
        <v>44770</v>
      </c>
      <c r="P75">
        <f>Продажи[[#This Row],[дата создания чека]]-Продажи[[#This Row],[Дата регистрации]]</f>
        <v>590</v>
      </c>
      <c r="Q75" t="str">
        <f>VLOOKUP(Продажи[[#This Row],[id клиента]],клиенты!$A$2:$G$435,7,0)</f>
        <v>Россия</v>
      </c>
      <c r="R75">
        <f>IF(COUNTIF($H$2:H75, H75)=1, 1, 0)</f>
        <v>1</v>
      </c>
      <c r="S75" t="str">
        <f>VLOOKUP(Продажи[[#This Row],[id клиента]],клиенты!$A$2:$D$435,4,0)</f>
        <v>нет</v>
      </c>
      <c r="T75" s="54">
        <f>VLOOKUP(Продажи[[#This Row],[id клиента]],клиенты!$A$2:$I$435,9,0)</f>
        <v>19.383983572895279</v>
      </c>
    </row>
    <row r="76" spans="1:20" x14ac:dyDescent="0.25">
      <c r="A76">
        <v>75</v>
      </c>
      <c r="B76">
        <v>204</v>
      </c>
      <c r="C76">
        <v>491</v>
      </c>
      <c r="D76">
        <v>4</v>
      </c>
      <c r="E76" s="35">
        <v>9820</v>
      </c>
      <c r="F76" s="48">
        <v>44930</v>
      </c>
      <c r="G76" t="s">
        <v>18</v>
      </c>
      <c r="H76">
        <v>426</v>
      </c>
      <c r="I76" t="str">
        <f>VLOOKUP(Продажи[[#This Row],[id товара]],Товары[],2,0)</f>
        <v>Печенье</v>
      </c>
      <c r="J76" s="17">
        <f>AVERAGEIF(Продажи[Категория],Продажи[[#This Row],[Категория]],Продажи[цена за шт в рублях])</f>
        <v>283.468085106383</v>
      </c>
      <c r="K76" s="16">
        <f>Продажи[[#This Row],[цена за шт в рублях]]/Продажи[[#This Row],[Средняя цена в категории за шт]]-1</f>
        <v>0.73211739097800788</v>
      </c>
      <c r="L76" t="str">
        <f>VLOOKUP(Продажи[[#This Row],[id товара]],Товары[],3,0)</f>
        <v>Юбилейное</v>
      </c>
      <c r="M76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76" s="16">
        <f>Продажи[[#This Row],[цена за шт в рублях]]/Продажи[[#This Row],[Средняя цена в категории за шт по поставщику]]-1</f>
        <v>1.1123326959847035</v>
      </c>
      <c r="O76" s="48">
        <f>VLOOKUP(Продажи[[#This Row],[id клиента]],клиенты!$A$2:$E$435,5,0)</f>
        <v>44768</v>
      </c>
      <c r="P76">
        <f>Продажи[[#This Row],[дата создания чека]]-Продажи[[#This Row],[Дата регистрации]]</f>
        <v>162</v>
      </c>
      <c r="Q76" t="str">
        <f>VLOOKUP(Продажи[[#This Row],[id клиента]],клиенты!$A$2:$G$435,7,0)</f>
        <v>Таджикистан</v>
      </c>
      <c r="R76">
        <f>IF(COUNTIF($H$2:H76, H76)=1, 1, 0)</f>
        <v>1</v>
      </c>
      <c r="S76" t="str">
        <f>VLOOKUP(Продажи[[#This Row],[id клиента]],клиенты!$A$2:$D$435,4,0)</f>
        <v>да</v>
      </c>
      <c r="T76" s="54">
        <f>VLOOKUP(Продажи[[#This Row],[id клиента]],клиенты!$A$2:$I$435,9,0)</f>
        <v>5.3223819301848048</v>
      </c>
    </row>
    <row r="77" spans="1:20" x14ac:dyDescent="0.25">
      <c r="A77">
        <v>76</v>
      </c>
      <c r="B77">
        <v>304</v>
      </c>
      <c r="C77">
        <v>162</v>
      </c>
      <c r="D77">
        <v>1</v>
      </c>
      <c r="E77" s="35">
        <v>810</v>
      </c>
      <c r="F77" s="48">
        <v>45316</v>
      </c>
      <c r="G77" t="s">
        <v>15</v>
      </c>
      <c r="H77">
        <v>25</v>
      </c>
      <c r="I77" t="str">
        <f>VLOOKUP(Продажи[[#This Row],[id товара]],Товары[],2,0)</f>
        <v>Конфеты</v>
      </c>
      <c r="J77" s="17">
        <f>AVERAGEIF(Продажи[Категория],Продажи[[#This Row],[Категория]],Продажи[цена за шт в рублях])</f>
        <v>267.85483870967744</v>
      </c>
      <c r="K77" s="16">
        <f>Продажи[[#This Row],[цена за шт в рублях]]/Продажи[[#This Row],[Средняя цена в категории за шт]]-1</f>
        <v>-0.39519479737460106</v>
      </c>
      <c r="L77" t="str">
        <f>VLOOKUP(Продажи[[#This Row],[id товара]],Товары[],3,0)</f>
        <v>Рот Фронт</v>
      </c>
      <c r="M77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77" s="16">
        <f>Продажи[[#This Row],[цена за шт в рублях]]/Продажи[[#This Row],[Средняя цена в категории за шт по поставщику]]-1</f>
        <v>-0.43796464563026594</v>
      </c>
      <c r="O77" s="48">
        <f>VLOOKUP(Продажи[[#This Row],[id клиента]],клиенты!$A$2:$E$435,5,0)</f>
        <v>44582</v>
      </c>
      <c r="P77">
        <f>Продажи[[#This Row],[дата создания чека]]-Продажи[[#This Row],[Дата регистрации]]</f>
        <v>734</v>
      </c>
      <c r="Q77" t="str">
        <f>VLOOKUP(Продажи[[#This Row],[id клиента]],клиенты!$A$2:$G$435,7,0)</f>
        <v>Таджикистан</v>
      </c>
      <c r="R77">
        <f>IF(COUNTIF($H$2:H77, H77)=1, 1, 0)</f>
        <v>1</v>
      </c>
      <c r="S77" t="str">
        <f>VLOOKUP(Продажи[[#This Row],[id клиента]],клиенты!$A$2:$D$435,4,0)</f>
        <v>да</v>
      </c>
      <c r="T77" s="54">
        <f>VLOOKUP(Продажи[[#This Row],[id клиента]],клиенты!$A$2:$I$435,9,0)</f>
        <v>24.114989733059549</v>
      </c>
    </row>
    <row r="78" spans="1:20" x14ac:dyDescent="0.25">
      <c r="A78">
        <v>77</v>
      </c>
      <c r="B78">
        <v>189</v>
      </c>
      <c r="C78">
        <v>278</v>
      </c>
      <c r="D78">
        <v>2</v>
      </c>
      <c r="E78" s="35">
        <v>2780</v>
      </c>
      <c r="F78" s="48">
        <v>45109</v>
      </c>
      <c r="G78" t="s">
        <v>23</v>
      </c>
      <c r="H78">
        <v>462</v>
      </c>
      <c r="I78" t="str">
        <f>VLOOKUP(Продажи[[#This Row],[id товара]],Товары[],2,0)</f>
        <v>Хлеб</v>
      </c>
      <c r="J78" s="17">
        <f>AVERAGEIF(Продажи[Категория],Продажи[[#This Row],[Категория]],Продажи[цена за шт в рублях])</f>
        <v>300.31818181818181</v>
      </c>
      <c r="K78" s="16">
        <f>Продажи[[#This Row],[цена за шт в рублях]]/Продажи[[#This Row],[Средняя цена в категории за шт]]-1</f>
        <v>-7.4315120326925999E-2</v>
      </c>
      <c r="L78" t="str">
        <f>VLOOKUP(Продажи[[#This Row],[id товара]],Товары[],3,0)</f>
        <v>Дарница</v>
      </c>
      <c r="M78" s="32">
        <f>AVERAGEIFS(Продажи[цена за шт в рублях],Продажи[Категория],Продажи[[#This Row],[Категория]],Продажи[Поставщик],Продажи[[#This Row],[Поставщик]])</f>
        <v>264</v>
      </c>
      <c r="N78" s="16">
        <f>Продажи[[#This Row],[цена за шт в рублях]]/Продажи[[#This Row],[Средняя цена в категории за шт по поставщику]]-1</f>
        <v>5.3030303030302983E-2</v>
      </c>
      <c r="O78" s="48">
        <f>VLOOKUP(Продажи[[#This Row],[id клиента]],клиенты!$A$2:$E$435,5,0)</f>
        <v>44751</v>
      </c>
      <c r="P78">
        <f>Продажи[[#This Row],[дата создания чека]]-Продажи[[#This Row],[Дата регистрации]]</f>
        <v>358</v>
      </c>
      <c r="Q78" t="str">
        <f>VLOOKUP(Продажи[[#This Row],[id клиента]],клиенты!$A$2:$G$435,7,0)</f>
        <v>Россия</v>
      </c>
      <c r="R78">
        <f>IF(COUNTIF($H$2:H78, H78)=1, 1, 0)</f>
        <v>1</v>
      </c>
      <c r="S78" t="str">
        <f>VLOOKUP(Продажи[[#This Row],[id клиента]],клиенты!$A$2:$D$435,4,0)</f>
        <v>да</v>
      </c>
      <c r="T78" s="54">
        <f>VLOOKUP(Продажи[[#This Row],[id клиента]],клиенты!$A$2:$I$435,9,0)</f>
        <v>11.761806981519507</v>
      </c>
    </row>
    <row r="79" spans="1:20" x14ac:dyDescent="0.25">
      <c r="A79">
        <v>78</v>
      </c>
      <c r="B79">
        <v>392</v>
      </c>
      <c r="C79">
        <v>484</v>
      </c>
      <c r="D79">
        <v>4</v>
      </c>
      <c r="E79" s="35">
        <v>9680</v>
      </c>
      <c r="F79" s="48">
        <v>45302</v>
      </c>
      <c r="G79" t="s">
        <v>10</v>
      </c>
      <c r="H79">
        <v>252</v>
      </c>
      <c r="I79" t="str">
        <f>VLOOKUP(Продажи[[#This Row],[id товара]],Товары[],2,0)</f>
        <v>Кофе</v>
      </c>
      <c r="J79" s="17">
        <f>AVERAGEIF(Продажи[Категория],Продажи[[#This Row],[Категория]],Продажи[цена за шт в рублях])</f>
        <v>249.02380952380952</v>
      </c>
      <c r="K79" s="16">
        <f>Продажи[[#This Row],[цена за шт в рублях]]/Продажи[[#This Row],[Средняя цена в категории за шт]]-1</f>
        <v>0.94358925327469167</v>
      </c>
      <c r="L79" t="str">
        <f>VLOOKUP(Продажи[[#This Row],[id товара]],Товары[],3,0)</f>
        <v>Черная Карта</v>
      </c>
      <c r="M79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79" s="16">
        <f>Продажи[[#This Row],[цена за шт в рублях]]/Продажи[[#This Row],[Средняя цена в категории за шт по поставщику]]-1</f>
        <v>1.1782178217821784</v>
      </c>
      <c r="O79" s="48">
        <f>VLOOKUP(Продажи[[#This Row],[id клиента]],клиенты!$A$2:$E$435,5,0)</f>
        <v>44643</v>
      </c>
      <c r="P79">
        <f>Продажи[[#This Row],[дата создания чека]]-Продажи[[#This Row],[Дата регистрации]]</f>
        <v>659</v>
      </c>
      <c r="Q79" t="str">
        <f>VLOOKUP(Продажи[[#This Row],[id клиента]],клиенты!$A$2:$G$435,7,0)</f>
        <v>Россия</v>
      </c>
      <c r="R79">
        <f>IF(COUNTIF($H$2:H79, H79)=1, 1, 0)</f>
        <v>1</v>
      </c>
      <c r="S79" t="str">
        <f>VLOOKUP(Продажи[[#This Row],[id клиента]],клиенты!$A$2:$D$435,4,0)</f>
        <v>нет</v>
      </c>
      <c r="T79" s="54">
        <f>VLOOKUP(Продажи[[#This Row],[id клиента]],клиенты!$A$2:$I$435,9,0)</f>
        <v>23.687885010266939</v>
      </c>
    </row>
    <row r="80" spans="1:20" x14ac:dyDescent="0.25">
      <c r="A80">
        <v>79</v>
      </c>
      <c r="B80">
        <v>10</v>
      </c>
      <c r="C80">
        <v>53</v>
      </c>
      <c r="D80">
        <v>1</v>
      </c>
      <c r="E80" s="35">
        <v>265</v>
      </c>
      <c r="F80" s="48">
        <v>45164</v>
      </c>
      <c r="G80" t="s">
        <v>25</v>
      </c>
      <c r="H80">
        <v>392</v>
      </c>
      <c r="I80" t="str">
        <f>VLOOKUP(Продажи[[#This Row],[id товара]],Товары[],2,0)</f>
        <v>Сок</v>
      </c>
      <c r="J80" s="17">
        <f>AVERAGEIF(Продажи[Категория],Продажи[[#This Row],[Категория]],Продажи[цена за шт в рублях])</f>
        <v>268.60344827586209</v>
      </c>
      <c r="K80" s="16">
        <f>Продажи[[#This Row],[цена за шт в рублях]]/Продажи[[#This Row],[Средняя цена в категории за шт]]-1</f>
        <v>-0.80268309904358437</v>
      </c>
      <c r="L80" t="str">
        <f>VLOOKUP(Продажи[[#This Row],[id товара]],Товары[],3,0)</f>
        <v>Фруктовый сад</v>
      </c>
      <c r="M80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80" s="16">
        <f>Продажи[[#This Row],[цена за шт в рублях]]/Продажи[[#This Row],[Средняя цена в категории за шт по поставщику]]-1</f>
        <v>-0.81203590823451177</v>
      </c>
      <c r="O80" s="48">
        <f>VLOOKUP(Продажи[[#This Row],[id клиента]],клиенты!$A$2:$E$435,5,0)</f>
        <v>44919</v>
      </c>
      <c r="P80">
        <f>Продажи[[#This Row],[дата создания чека]]-Продажи[[#This Row],[Дата регистрации]]</f>
        <v>245</v>
      </c>
      <c r="Q80" t="str">
        <f>VLOOKUP(Продажи[[#This Row],[id клиента]],клиенты!$A$2:$G$435,7,0)</f>
        <v>Россия</v>
      </c>
      <c r="R80">
        <f>IF(COUNTIF($H$2:H80, H80)=1, 1, 0)</f>
        <v>1</v>
      </c>
      <c r="S80" t="str">
        <f>VLOOKUP(Продажи[[#This Row],[id клиента]],клиенты!$A$2:$D$435,4,0)</f>
        <v>нет</v>
      </c>
      <c r="T80" s="54">
        <f>VLOOKUP(Продажи[[#This Row],[id клиента]],клиенты!$A$2:$I$435,9,0)</f>
        <v>8.0492813141683772</v>
      </c>
    </row>
    <row r="81" spans="1:20" x14ac:dyDescent="0.25">
      <c r="A81">
        <v>80</v>
      </c>
      <c r="B81">
        <v>64</v>
      </c>
      <c r="C81">
        <v>131</v>
      </c>
      <c r="D81">
        <v>5</v>
      </c>
      <c r="E81" s="35">
        <v>3275</v>
      </c>
      <c r="F81" s="48">
        <v>44946</v>
      </c>
      <c r="G81" t="s">
        <v>15</v>
      </c>
      <c r="H81">
        <v>487</v>
      </c>
      <c r="I81" t="str">
        <f>VLOOKUP(Продажи[[#This Row],[id товара]],Товары[],2,0)</f>
        <v>Колбаса</v>
      </c>
      <c r="J81" s="17">
        <f>AVERAGEIF(Продажи[Категория],Продажи[[#This Row],[Категория]],Продажи[цена за шт в рублях])</f>
        <v>286.92307692307691</v>
      </c>
      <c r="K81" s="16">
        <f>Продажи[[#This Row],[цена за шт в рублях]]/Продажи[[#This Row],[Средняя цена в категории за шт]]-1</f>
        <v>-0.54343163538873984</v>
      </c>
      <c r="L81" t="str">
        <f>VLOOKUP(Продажи[[#This Row],[id товара]],Товары[],3,0)</f>
        <v>Окраина</v>
      </c>
      <c r="M81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81" s="16">
        <f>Продажи[[#This Row],[цена за шт в рублях]]/Продажи[[#This Row],[Средняя цена в категории за шт по поставщику]]-1</f>
        <v>-0.52116966189460856</v>
      </c>
      <c r="O81" s="48">
        <f>VLOOKUP(Продажи[[#This Row],[id клиента]],клиенты!$A$2:$E$435,5,0)</f>
        <v>44815</v>
      </c>
      <c r="P81">
        <f>Продажи[[#This Row],[дата создания чека]]-Продажи[[#This Row],[Дата регистрации]]</f>
        <v>131</v>
      </c>
      <c r="Q81" t="str">
        <f>VLOOKUP(Продажи[[#This Row],[id клиента]],клиенты!$A$2:$G$435,7,0)</f>
        <v>Россия</v>
      </c>
      <c r="R81">
        <f>IF(COUNTIF($H$2:H81, H81)=1, 1, 0)</f>
        <v>1</v>
      </c>
      <c r="S81" t="str">
        <f>VLOOKUP(Продажи[[#This Row],[id клиента]],клиенты!$A$2:$D$435,4,0)</f>
        <v>да</v>
      </c>
      <c r="T81" s="54">
        <f>VLOOKUP(Продажи[[#This Row],[id клиента]],клиенты!$A$2:$I$435,9,0)</f>
        <v>9.462012320328542</v>
      </c>
    </row>
    <row r="82" spans="1:20" x14ac:dyDescent="0.25">
      <c r="A82">
        <v>81</v>
      </c>
      <c r="B82">
        <v>116</v>
      </c>
      <c r="C82">
        <v>120</v>
      </c>
      <c r="D82">
        <v>2</v>
      </c>
      <c r="E82" s="35">
        <v>1200</v>
      </c>
      <c r="F82" s="48">
        <v>45326</v>
      </c>
      <c r="G82" t="s">
        <v>26</v>
      </c>
      <c r="H82">
        <v>332</v>
      </c>
      <c r="I82" t="str">
        <f>VLOOKUP(Продажи[[#This Row],[id товара]],Товары[],2,0)</f>
        <v>Соль</v>
      </c>
      <c r="J82" s="17">
        <f>AVERAGEIF(Продажи[Категория],Продажи[[#This Row],[Категория]],Продажи[цена за шт в рублях])</f>
        <v>264.8679245283019</v>
      </c>
      <c r="K82" s="16">
        <f>Продажи[[#This Row],[цена за шт в рублях]]/Продажи[[#This Row],[Средняя цена в категории за шт]]-1</f>
        <v>-0.54694400911810803</v>
      </c>
      <c r="L82" t="str">
        <f>VLOOKUP(Продажи[[#This Row],[id товара]],Товары[],3,0)</f>
        <v>Экстра</v>
      </c>
      <c r="M82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82" s="16">
        <f>Продажи[[#This Row],[цена за шт в рублях]]/Продажи[[#This Row],[Средняя цена в категории за шт по поставщику]]-1</f>
        <v>-0.62598897146967158</v>
      </c>
      <c r="O82" s="48">
        <f>VLOOKUP(Продажи[[#This Row],[id клиента]],клиенты!$A$2:$E$435,5,0)</f>
        <v>44858</v>
      </c>
      <c r="P82">
        <f>Продажи[[#This Row],[дата создания чека]]-Продажи[[#This Row],[Дата регистрации]]</f>
        <v>468</v>
      </c>
      <c r="Q82" t="str">
        <f>VLOOKUP(Продажи[[#This Row],[id клиента]],клиенты!$A$2:$G$435,7,0)</f>
        <v>Узбекистан</v>
      </c>
      <c r="R82">
        <f>IF(COUNTIF($H$2:H82, H82)=1, 1, 0)</f>
        <v>0</v>
      </c>
      <c r="S82" t="str">
        <f>VLOOKUP(Продажи[[#This Row],[id клиента]],клиенты!$A$2:$D$435,4,0)</f>
        <v>нет</v>
      </c>
      <c r="T82" s="54">
        <f>VLOOKUP(Продажи[[#This Row],[id клиента]],клиенты!$A$2:$I$435,9,0)</f>
        <v>15.375770020533881</v>
      </c>
    </row>
    <row r="83" spans="1:20" x14ac:dyDescent="0.25">
      <c r="A83">
        <v>82</v>
      </c>
      <c r="B83">
        <v>334</v>
      </c>
      <c r="C83">
        <v>396</v>
      </c>
      <c r="D83">
        <v>4</v>
      </c>
      <c r="E83" s="35">
        <v>7920</v>
      </c>
      <c r="F83" s="48">
        <v>45173</v>
      </c>
      <c r="G83" t="s">
        <v>25</v>
      </c>
      <c r="H83">
        <v>134</v>
      </c>
      <c r="I83" t="str">
        <f>VLOOKUP(Продажи[[#This Row],[id товара]],Товары[],2,0)</f>
        <v>Молоко</v>
      </c>
      <c r="J83" s="17">
        <f>AVERAGEIF(Продажи[Категория],Продажи[[#This Row],[Категория]],Продажи[цена за шт в рублях])</f>
        <v>294.95238095238096</v>
      </c>
      <c r="K83" s="16">
        <f>Продажи[[#This Row],[цена за шт в рублях]]/Продажи[[#This Row],[Средняя цена в категории за шт]]-1</f>
        <v>0.34258960284145945</v>
      </c>
      <c r="L83" t="str">
        <f>VLOOKUP(Продажи[[#This Row],[id товара]],Товары[],3,0)</f>
        <v>Домик в деревне</v>
      </c>
      <c r="M83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83" s="16">
        <f>Продажи[[#This Row],[цена за шт в рублях]]/Продажи[[#This Row],[Средняя цена в категории за шт по поставщику]]-1</f>
        <v>0.44116457743631221</v>
      </c>
      <c r="O83" s="48">
        <f>VLOOKUP(Продажи[[#This Row],[id клиента]],клиенты!$A$2:$E$435,5,0)</f>
        <v>44753</v>
      </c>
      <c r="P83">
        <f>Продажи[[#This Row],[дата создания чека]]-Продажи[[#This Row],[Дата регистрации]]</f>
        <v>420</v>
      </c>
      <c r="Q83" t="str">
        <f>VLOOKUP(Продажи[[#This Row],[id клиента]],клиенты!$A$2:$G$435,7,0)</f>
        <v>Россия</v>
      </c>
      <c r="R83">
        <f>IF(COUNTIF($H$2:H83, H83)=1, 1, 0)</f>
        <v>1</v>
      </c>
      <c r="S83" t="str">
        <f>VLOOKUP(Продажи[[#This Row],[id клиента]],клиенты!$A$2:$D$435,4,0)</f>
        <v>да</v>
      </c>
      <c r="T83" s="54">
        <f>VLOOKUP(Продажи[[#This Row],[id клиента]],клиенты!$A$2:$I$435,9,0)</f>
        <v>20.336755646817249</v>
      </c>
    </row>
    <row r="84" spans="1:20" x14ac:dyDescent="0.25">
      <c r="A84">
        <v>83</v>
      </c>
      <c r="B84">
        <v>345</v>
      </c>
      <c r="C84">
        <v>267</v>
      </c>
      <c r="D84">
        <v>5</v>
      </c>
      <c r="E84" s="35">
        <v>6675</v>
      </c>
      <c r="F84" s="48">
        <v>45004</v>
      </c>
      <c r="G84" t="s">
        <v>9</v>
      </c>
      <c r="H84">
        <v>287</v>
      </c>
      <c r="I84" t="str">
        <f>VLOOKUP(Продажи[[#This Row],[id товара]],Товары[],2,0)</f>
        <v>Конфеты</v>
      </c>
      <c r="J84" s="17">
        <f>AVERAGEIF(Продажи[Категория],Продажи[[#This Row],[Категория]],Продажи[цена за шт в рублях])</f>
        <v>267.85483870967744</v>
      </c>
      <c r="K84" s="16">
        <f>Продажи[[#This Row],[цена за шт в рублях]]/Продажи[[#This Row],[Средняя цена в категории за шт]]-1</f>
        <v>-3.1914253025833172E-3</v>
      </c>
      <c r="L84" t="str">
        <f>VLOOKUP(Продажи[[#This Row],[id товара]],Товары[],3,0)</f>
        <v>Рот Фронт</v>
      </c>
      <c r="M84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84" s="16">
        <f>Продажи[[#This Row],[цена за шт в рублях]]/Продажи[[#This Row],[Средняя цена в категории за шт по поставщику]]-1</f>
        <v>-7.3682471501734681E-2</v>
      </c>
      <c r="O84" s="48">
        <f>VLOOKUP(Продажи[[#This Row],[id клиента]],клиенты!$A$2:$E$435,5,0)</f>
        <v>44608</v>
      </c>
      <c r="P84">
        <f>Продажи[[#This Row],[дата создания чека]]-Продажи[[#This Row],[Дата регистрации]]</f>
        <v>396</v>
      </c>
      <c r="Q84" t="str">
        <f>VLOOKUP(Продажи[[#This Row],[id клиента]],клиенты!$A$2:$G$435,7,0)</f>
        <v>Россия</v>
      </c>
      <c r="R84">
        <f>IF(COUNTIF($H$2:H84, H84)=1, 1, 0)</f>
        <v>0</v>
      </c>
      <c r="S84" t="str">
        <f>VLOOKUP(Продажи[[#This Row],[id клиента]],клиенты!$A$2:$D$435,4,0)</f>
        <v>да</v>
      </c>
      <c r="T84" s="54">
        <f>VLOOKUP(Продажи[[#This Row],[id клиента]],клиенты!$A$2:$I$435,9,0)</f>
        <v>20.960985626283367</v>
      </c>
    </row>
    <row r="85" spans="1:20" x14ac:dyDescent="0.25">
      <c r="A85">
        <v>84</v>
      </c>
      <c r="B85">
        <v>281</v>
      </c>
      <c r="C85">
        <v>371</v>
      </c>
      <c r="D85">
        <v>1</v>
      </c>
      <c r="E85" s="35">
        <v>1855</v>
      </c>
      <c r="F85" s="48">
        <v>44993</v>
      </c>
      <c r="G85" t="s">
        <v>22</v>
      </c>
      <c r="H85">
        <v>11</v>
      </c>
      <c r="I85" t="str">
        <f>VLOOKUP(Продажи[[#This Row],[id товара]],Товары[],2,0)</f>
        <v>Чай</v>
      </c>
      <c r="J85" s="17">
        <f>AVERAGEIF(Продажи[Категория],Продажи[[#This Row],[Категория]],Продажи[цена за шт в рублях])</f>
        <v>271.18181818181819</v>
      </c>
      <c r="K85" s="16">
        <f>Продажи[[#This Row],[цена за шт в рублях]]/Продажи[[#This Row],[Средняя цена в категории за шт]]-1</f>
        <v>0.36808581964465303</v>
      </c>
      <c r="L85" t="str">
        <f>VLOOKUP(Продажи[[#This Row],[id товара]],Товары[],3,0)</f>
        <v>Lipton</v>
      </c>
      <c r="M85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85" s="16">
        <f>Продажи[[#This Row],[цена за шт в рублях]]/Продажи[[#This Row],[Средняя цена в категории за шт по поставщику]]-1</f>
        <v>0.42605705037426667</v>
      </c>
      <c r="O85" s="48">
        <f>VLOOKUP(Продажи[[#This Row],[id клиента]],клиенты!$A$2:$E$435,5,0)</f>
        <v>44690</v>
      </c>
      <c r="P85">
        <f>Продажи[[#This Row],[дата создания чека]]-Продажи[[#This Row],[Дата регистрации]]</f>
        <v>303</v>
      </c>
      <c r="Q85" t="str">
        <f>VLOOKUP(Продажи[[#This Row],[id клиента]],клиенты!$A$2:$G$435,7,0)</f>
        <v>Таджикистан</v>
      </c>
      <c r="R85">
        <f>IF(COUNTIF($H$2:H85, H85)=1, 1, 0)</f>
        <v>1</v>
      </c>
      <c r="S85" t="str">
        <f>VLOOKUP(Продажи[[#This Row],[id клиента]],клиенты!$A$2:$D$435,4,0)</f>
        <v>нет</v>
      </c>
      <c r="T85" s="54">
        <f>VLOOKUP(Продажи[[#This Row],[id клиента]],клиенты!$A$2:$I$435,9,0)</f>
        <v>22.04517453798768</v>
      </c>
    </row>
    <row r="86" spans="1:20" x14ac:dyDescent="0.25">
      <c r="A86">
        <v>85</v>
      </c>
      <c r="B86">
        <v>276</v>
      </c>
      <c r="C86">
        <v>295</v>
      </c>
      <c r="D86">
        <v>1</v>
      </c>
      <c r="E86" s="35">
        <v>1475</v>
      </c>
      <c r="F86" s="48">
        <v>45272</v>
      </c>
      <c r="G86" t="s">
        <v>17</v>
      </c>
      <c r="H86">
        <v>458</v>
      </c>
      <c r="I86" t="str">
        <f>VLOOKUP(Продажи[[#This Row],[id товара]],Товары[],2,0)</f>
        <v>Колбаса</v>
      </c>
      <c r="J86" s="17">
        <f>AVERAGEIF(Продажи[Категория],Продажи[[#This Row],[Категория]],Продажи[цена за шт в рублях])</f>
        <v>286.92307692307691</v>
      </c>
      <c r="K86" s="16">
        <f>Продажи[[#This Row],[цена за шт в рублях]]/Продажи[[#This Row],[Средняя цена в категории за шт]]-1</f>
        <v>2.8150134048257502E-2</v>
      </c>
      <c r="L86" t="str">
        <f>VLOOKUP(Продажи[[#This Row],[id товара]],Товары[],3,0)</f>
        <v>Дымов</v>
      </c>
      <c r="M86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86" s="16">
        <f>Продажи[[#This Row],[цена за шт в рублях]]/Продажи[[#This Row],[Средняя цена в категории за шт по поставщику]]-1</f>
        <v>-5.6503198294243107E-2</v>
      </c>
      <c r="O86" s="48">
        <f>VLOOKUP(Продажи[[#This Row],[id клиента]],клиенты!$A$2:$E$435,5,0)</f>
        <v>44694</v>
      </c>
      <c r="P86">
        <f>Продажи[[#This Row],[дата создания чека]]-Продажи[[#This Row],[Дата регистрации]]</f>
        <v>578</v>
      </c>
      <c r="Q86" t="str">
        <f>VLOOKUP(Продажи[[#This Row],[id клиента]],клиенты!$A$2:$G$435,7,0)</f>
        <v>Россия</v>
      </c>
      <c r="R86">
        <f>IF(COUNTIF($H$2:H86, H86)=1, 1, 0)</f>
        <v>1</v>
      </c>
      <c r="S86" t="str">
        <f>VLOOKUP(Продажи[[#This Row],[id клиента]],клиенты!$A$2:$D$435,4,0)</f>
        <v>да</v>
      </c>
      <c r="T86" s="54">
        <f>VLOOKUP(Продажи[[#This Row],[id клиента]],клиенты!$A$2:$I$435,9,0)</f>
        <v>18.989733059548254</v>
      </c>
    </row>
    <row r="87" spans="1:20" x14ac:dyDescent="0.25">
      <c r="A87">
        <v>86</v>
      </c>
      <c r="B87">
        <v>234</v>
      </c>
      <c r="C87">
        <v>75</v>
      </c>
      <c r="D87">
        <v>5</v>
      </c>
      <c r="E87" s="35">
        <v>1875</v>
      </c>
      <c r="F87" s="48">
        <v>44939</v>
      </c>
      <c r="G87" t="s">
        <v>23</v>
      </c>
      <c r="H87">
        <v>130</v>
      </c>
      <c r="I87" t="str">
        <f>VLOOKUP(Продажи[[#This Row],[id товара]],Товары[],2,0)</f>
        <v>Чай</v>
      </c>
      <c r="J87" s="17">
        <f>AVERAGEIF(Продажи[Категория],Продажи[[#This Row],[Категория]],Продажи[цена за шт в рублях])</f>
        <v>271.18181818181819</v>
      </c>
      <c r="K87" s="16">
        <f>Продажи[[#This Row],[цена за шт в рублях]]/Продажи[[#This Row],[Средняя цена в категории за шт]]-1</f>
        <v>-0.72343278578612136</v>
      </c>
      <c r="L87" t="str">
        <f>VLOOKUP(Продажи[[#This Row],[id товара]],Товары[],3,0)</f>
        <v>Greenfield</v>
      </c>
      <c r="M87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87" s="16">
        <f>Продажи[[#This Row],[цена за шт в рублях]]/Продажи[[#This Row],[Средняя цена в категории за шт по поставщику]]-1</f>
        <v>-0.74266999376169673</v>
      </c>
      <c r="O87" s="48">
        <f>VLOOKUP(Продажи[[#This Row],[id клиента]],клиенты!$A$2:$E$435,5,0)</f>
        <v>44863</v>
      </c>
      <c r="P87">
        <f>Продажи[[#This Row],[дата создания чека]]-Продажи[[#This Row],[Дата регистрации]]</f>
        <v>76</v>
      </c>
      <c r="Q87" t="str">
        <f>VLOOKUP(Продажи[[#This Row],[id клиента]],клиенты!$A$2:$G$435,7,0)</f>
        <v>Таджикистан</v>
      </c>
      <c r="R87">
        <f>IF(COUNTIF($H$2:H87, H87)=1, 1, 0)</f>
        <v>1</v>
      </c>
      <c r="S87" t="str">
        <f>VLOOKUP(Продажи[[#This Row],[id клиента]],клиенты!$A$2:$D$435,4,0)</f>
        <v>нет</v>
      </c>
      <c r="T87" s="54">
        <f>VLOOKUP(Продажи[[#This Row],[id клиента]],клиенты!$A$2:$I$435,9,0)</f>
        <v>10.809034907597535</v>
      </c>
    </row>
    <row r="88" spans="1:20" x14ac:dyDescent="0.25">
      <c r="A88">
        <v>87</v>
      </c>
      <c r="B88">
        <v>319</v>
      </c>
      <c r="C88">
        <v>247</v>
      </c>
      <c r="D88">
        <v>2</v>
      </c>
      <c r="E88" s="35">
        <v>2470</v>
      </c>
      <c r="F88" s="48">
        <v>45189</v>
      </c>
      <c r="G88" t="s">
        <v>8</v>
      </c>
      <c r="H88">
        <v>330</v>
      </c>
      <c r="I88" t="str">
        <f>VLOOKUP(Продажи[[#This Row],[id товара]],Товары[],2,0)</f>
        <v>Йогурт</v>
      </c>
      <c r="J88" s="17">
        <f>AVERAGEIF(Продажи[Категория],Продажи[[#This Row],[Категория]],Продажи[цена за шт в рублях])</f>
        <v>263.25423728813558</v>
      </c>
      <c r="K88" s="16">
        <f>Продажи[[#This Row],[цена за шт в рублях]]/Продажи[[#This Row],[Средняя цена в категории за шт]]-1</f>
        <v>-6.1743497295905225E-2</v>
      </c>
      <c r="L88" t="str">
        <f>VLOOKUP(Продажи[[#This Row],[id товара]],Товары[],3,0)</f>
        <v>Эрманн</v>
      </c>
      <c r="M88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88" s="16">
        <f>Продажи[[#This Row],[цена за шт в рублях]]/Продажи[[#This Row],[Средняя цена в категории за шт по поставщику]]-1</f>
        <v>-6.0362173038229772E-3</v>
      </c>
      <c r="O88" s="48">
        <f>VLOOKUP(Продажи[[#This Row],[id клиента]],клиенты!$A$2:$E$435,5,0)</f>
        <v>44815</v>
      </c>
      <c r="P88">
        <f>Продажи[[#This Row],[дата создания чека]]-Продажи[[#This Row],[Дата регистрации]]</f>
        <v>374</v>
      </c>
      <c r="Q88" t="str">
        <f>VLOOKUP(Продажи[[#This Row],[id клиента]],клиенты!$A$2:$G$435,7,0)</f>
        <v>Узбекистан</v>
      </c>
      <c r="R88">
        <f>IF(COUNTIF($H$2:H88, H88)=1, 1, 0)</f>
        <v>1</v>
      </c>
      <c r="S88" t="str">
        <f>VLOOKUP(Продажи[[#This Row],[id клиента]],клиенты!$A$2:$D$435,4,0)</f>
        <v>нет</v>
      </c>
      <c r="T88" s="54">
        <f>VLOOKUP(Продажи[[#This Row],[id клиента]],клиенты!$A$2:$I$435,9,0)</f>
        <v>19.154004106776181</v>
      </c>
    </row>
    <row r="89" spans="1:20" x14ac:dyDescent="0.25">
      <c r="A89">
        <v>88</v>
      </c>
      <c r="B89">
        <v>375</v>
      </c>
      <c r="C89">
        <v>281</v>
      </c>
      <c r="D89">
        <v>2</v>
      </c>
      <c r="E89" s="35">
        <v>2810</v>
      </c>
      <c r="F89" s="48">
        <v>45079</v>
      </c>
      <c r="G89" t="s">
        <v>17</v>
      </c>
      <c r="H89">
        <v>167</v>
      </c>
      <c r="I89" t="str">
        <f>VLOOKUP(Продажи[[#This Row],[id товара]],Товары[],2,0)</f>
        <v>Макароны</v>
      </c>
      <c r="J89" s="17">
        <f>AVERAGEIF(Продажи[Категория],Продажи[[#This Row],[Категория]],Продажи[цена за шт в рублях])</f>
        <v>265.47674418604652</v>
      </c>
      <c r="K89" s="16">
        <f>Продажи[[#This Row],[цена за шт в рублях]]/Продажи[[#This Row],[Средняя цена в категории за шт]]-1</f>
        <v>5.8473128640883054E-2</v>
      </c>
      <c r="L89" t="str">
        <f>VLOOKUP(Продажи[[#This Row],[id товара]],Товары[],3,0)</f>
        <v>Борилла</v>
      </c>
      <c r="M89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89" s="16">
        <f>Продажи[[#This Row],[цена за шт в рублях]]/Продажи[[#This Row],[Средняя цена в категории за шт по поставщику]]-1</f>
        <v>0.18928779918272043</v>
      </c>
      <c r="O89" s="48">
        <f>VLOOKUP(Продажи[[#This Row],[id клиента]],клиенты!$A$2:$E$435,5,0)</f>
        <v>44563</v>
      </c>
      <c r="P89">
        <f>Продажи[[#This Row],[дата создания чека]]-Продажи[[#This Row],[Дата регистрации]]</f>
        <v>516</v>
      </c>
      <c r="Q89" t="str">
        <f>VLOOKUP(Продажи[[#This Row],[id клиента]],клиенты!$A$2:$G$435,7,0)</f>
        <v>Узбекистан</v>
      </c>
      <c r="R89">
        <f>IF(COUNTIF($H$2:H89, H89)=1, 1, 0)</f>
        <v>1</v>
      </c>
      <c r="S89" t="str">
        <f>VLOOKUP(Продажи[[#This Row],[id клиента]],клиенты!$A$2:$D$435,4,0)</f>
        <v>да</v>
      </c>
      <c r="T89" s="54">
        <f>VLOOKUP(Продажи[[#This Row],[id клиента]],клиенты!$A$2:$I$435,9,0)</f>
        <v>26.119096509240247</v>
      </c>
    </row>
    <row r="90" spans="1:20" x14ac:dyDescent="0.25">
      <c r="A90">
        <v>89</v>
      </c>
      <c r="B90">
        <v>443</v>
      </c>
      <c r="C90">
        <v>136</v>
      </c>
      <c r="D90">
        <v>2</v>
      </c>
      <c r="E90" s="35">
        <v>1360</v>
      </c>
      <c r="F90" s="48">
        <v>44927</v>
      </c>
      <c r="G90" t="s">
        <v>25</v>
      </c>
      <c r="H90">
        <v>140</v>
      </c>
      <c r="I90" t="str">
        <f>VLOOKUP(Продажи[[#This Row],[id товара]],Товары[],2,0)</f>
        <v>Кофе</v>
      </c>
      <c r="J90" s="17">
        <f>AVERAGEIF(Продажи[Категория],Продажи[[#This Row],[Категория]],Продажи[цена за шт в рублях])</f>
        <v>249.02380952380952</v>
      </c>
      <c r="K90" s="16">
        <f>Продажи[[#This Row],[цена за шт в рублях]]/Продажи[[#This Row],[Средняя цена в категории за шт]]-1</f>
        <v>-0.45386748255091303</v>
      </c>
      <c r="L90" t="str">
        <f>VLOOKUP(Продажи[[#This Row],[id товара]],Товары[],3,0)</f>
        <v>Jacobs</v>
      </c>
      <c r="M90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90" s="16">
        <f>Продажи[[#This Row],[цена за шт в рублях]]/Продажи[[#This Row],[Средняя цена в категории за шт по поставщику]]-1</f>
        <v>-0.50762195121951215</v>
      </c>
      <c r="O90" s="48">
        <f>VLOOKUP(Продажи[[#This Row],[id клиента]],клиенты!$A$2:$E$435,5,0)</f>
        <v>44627</v>
      </c>
      <c r="P90">
        <f>Продажи[[#This Row],[дата создания чека]]-Продажи[[#This Row],[Дата регистрации]]</f>
        <v>300</v>
      </c>
      <c r="Q90" t="str">
        <f>VLOOKUP(Продажи[[#This Row],[id клиента]],клиенты!$A$2:$G$435,7,0)</f>
        <v>Россия</v>
      </c>
      <c r="R90">
        <f>IF(COUNTIF($H$2:H90, H90)=1, 1, 0)</f>
        <v>1</v>
      </c>
      <c r="S90" t="str">
        <f>VLOOKUP(Продажи[[#This Row],[id клиента]],клиенты!$A$2:$D$435,4,0)</f>
        <v>да</v>
      </c>
      <c r="T90" s="54">
        <f>VLOOKUP(Продажи[[#This Row],[id клиента]],клиенты!$A$2:$I$435,9,0)</f>
        <v>24.147843942505133</v>
      </c>
    </row>
    <row r="91" spans="1:20" x14ac:dyDescent="0.25">
      <c r="A91">
        <v>90</v>
      </c>
      <c r="B91">
        <v>30</v>
      </c>
      <c r="C91">
        <v>142</v>
      </c>
      <c r="D91">
        <v>5</v>
      </c>
      <c r="E91" s="35">
        <v>3550</v>
      </c>
      <c r="F91" s="48">
        <v>45226</v>
      </c>
      <c r="G91" t="s">
        <v>23</v>
      </c>
      <c r="H91">
        <v>423</v>
      </c>
      <c r="I91" t="str">
        <f>VLOOKUP(Продажи[[#This Row],[id товара]],Товары[],2,0)</f>
        <v>Чипсы</v>
      </c>
      <c r="J91" s="17">
        <f>AVERAGEIF(Продажи[Категория],Продажи[[#This Row],[Категория]],Продажи[цена за шт в рублях])</f>
        <v>273.72549019607845</v>
      </c>
      <c r="K91" s="16">
        <f>Продажи[[#This Row],[цена за шт в рублях]]/Продажи[[#This Row],[Средняя цена в категории за шт]]-1</f>
        <v>-0.48123209169054448</v>
      </c>
      <c r="L91" t="str">
        <f>VLOOKUP(Продажи[[#This Row],[id товара]],Товары[],3,0)</f>
        <v>Pringles</v>
      </c>
      <c r="M91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91" s="16">
        <f>Продажи[[#This Row],[цена за шт в рублях]]/Продажи[[#This Row],[Средняя цена в категории за шт по поставщику]]-1</f>
        <v>-0.49328802039082409</v>
      </c>
      <c r="O91" s="48">
        <f>VLOOKUP(Продажи[[#This Row],[id клиента]],клиенты!$A$2:$E$435,5,0)</f>
        <v>44841</v>
      </c>
      <c r="P91">
        <f>Продажи[[#This Row],[дата создания чека]]-Продажи[[#This Row],[Дата регистрации]]</f>
        <v>385</v>
      </c>
      <c r="Q91" t="str">
        <f>VLOOKUP(Продажи[[#This Row],[id клиента]],клиенты!$A$2:$G$435,7,0)</f>
        <v>Беларусь</v>
      </c>
      <c r="R91">
        <f>IF(COUNTIF($H$2:H91, H91)=1, 1, 0)</f>
        <v>1</v>
      </c>
      <c r="S91" t="str">
        <f>VLOOKUP(Продажи[[#This Row],[id клиента]],клиенты!$A$2:$D$435,4,0)</f>
        <v>нет</v>
      </c>
      <c r="T91" s="54">
        <f>VLOOKUP(Продажи[[#This Row],[id клиента]],клиенты!$A$2:$I$435,9,0)</f>
        <v>12.648870636550308</v>
      </c>
    </row>
    <row r="92" spans="1:20" x14ac:dyDescent="0.25">
      <c r="A92">
        <v>91</v>
      </c>
      <c r="B92">
        <v>24</v>
      </c>
      <c r="C92">
        <v>414</v>
      </c>
      <c r="D92">
        <v>1</v>
      </c>
      <c r="E92" s="35">
        <v>2070</v>
      </c>
      <c r="F92" s="48">
        <v>45388</v>
      </c>
      <c r="G92" t="s">
        <v>12</v>
      </c>
      <c r="H92">
        <v>365</v>
      </c>
      <c r="I92" t="str">
        <f>VLOOKUP(Продажи[[#This Row],[id товара]],Товары[],2,0)</f>
        <v>Йогурт</v>
      </c>
      <c r="J92" s="17">
        <f>AVERAGEIF(Продажи[Категория],Продажи[[#This Row],[Категория]],Продажи[цена за шт в рублях])</f>
        <v>263.25423728813558</v>
      </c>
      <c r="K92" s="16">
        <f>Продажи[[#This Row],[цена за шт в рублях]]/Продажи[[#This Row],[Средняя цена в категории за шт]]-1</f>
        <v>0.57262425959309815</v>
      </c>
      <c r="L92" t="str">
        <f>VLOOKUP(Продажи[[#This Row],[id товара]],Товары[],3,0)</f>
        <v>Чудо</v>
      </c>
      <c r="M92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92" s="16">
        <f>Продажи[[#This Row],[цена за шт в рублях]]/Продажи[[#This Row],[Средняя цена в категории за шт по поставщику]]-1</f>
        <v>0.44200626959247646</v>
      </c>
      <c r="O92" s="48">
        <f>VLOOKUP(Продажи[[#This Row],[id клиента]],клиенты!$A$2:$E$435,5,0)</f>
        <v>44841</v>
      </c>
      <c r="P92">
        <f>Продажи[[#This Row],[дата создания чека]]-Продажи[[#This Row],[Дата регистрации]]</f>
        <v>547</v>
      </c>
      <c r="Q92" t="str">
        <f>VLOOKUP(Продажи[[#This Row],[id клиента]],клиенты!$A$2:$G$435,7,0)</f>
        <v>Беларусь</v>
      </c>
      <c r="R92">
        <f>IF(COUNTIF($H$2:H92, H92)=1, 1, 0)</f>
        <v>1</v>
      </c>
      <c r="S92" t="str">
        <f>VLOOKUP(Продажи[[#This Row],[id клиента]],клиенты!$A$2:$D$435,4,0)</f>
        <v>нет</v>
      </c>
      <c r="T92" s="54">
        <f>VLOOKUP(Продажи[[#This Row],[id клиента]],клиенты!$A$2:$I$435,9,0)</f>
        <v>17.971252566735114</v>
      </c>
    </row>
    <row r="93" spans="1:20" x14ac:dyDescent="0.25">
      <c r="A93">
        <v>92</v>
      </c>
      <c r="B93">
        <v>357</v>
      </c>
      <c r="C93">
        <v>206</v>
      </c>
      <c r="D93">
        <v>2</v>
      </c>
      <c r="E93" s="35">
        <v>2060</v>
      </c>
      <c r="F93" s="48">
        <v>45424</v>
      </c>
      <c r="G93" t="s">
        <v>26</v>
      </c>
      <c r="H93">
        <v>452</v>
      </c>
      <c r="I93" t="str">
        <f>VLOOKUP(Продажи[[#This Row],[id товара]],Товары[],2,0)</f>
        <v>Мясо</v>
      </c>
      <c r="J93" s="17">
        <f>AVERAGEIF(Продажи[Категория],Продажи[[#This Row],[Категория]],Продажи[цена за шт в рублях])</f>
        <v>271.74545454545455</v>
      </c>
      <c r="K93" s="16">
        <f>Продажи[[#This Row],[цена за шт в рублях]]/Продажи[[#This Row],[Средняя цена в категории за шт]]-1</f>
        <v>-0.24193764217850933</v>
      </c>
      <c r="L93" t="str">
        <f>VLOOKUP(Продажи[[#This Row],[id товара]],Товары[],3,0)</f>
        <v>Снежана</v>
      </c>
      <c r="M93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93" s="16">
        <f>Продажи[[#This Row],[цена за шт в рублях]]/Продажи[[#This Row],[Средняя цена в категории за шт по поставщику]]-1</f>
        <v>-0.24362850971922256</v>
      </c>
      <c r="O93" s="48">
        <f>VLOOKUP(Продажи[[#This Row],[id клиента]],клиенты!$A$2:$E$435,5,0)</f>
        <v>44769</v>
      </c>
      <c r="P93">
        <f>Продажи[[#This Row],[дата создания чека]]-Продажи[[#This Row],[Дата регистрации]]</f>
        <v>655</v>
      </c>
      <c r="Q93" t="str">
        <f>VLOOKUP(Продажи[[#This Row],[id клиента]],клиенты!$A$2:$G$435,7,0)</f>
        <v>Россия</v>
      </c>
      <c r="R93">
        <f>IF(COUNTIF($H$2:H93, H93)=1, 1, 0)</f>
        <v>1</v>
      </c>
      <c r="S93" t="str">
        <f>VLOOKUP(Продажи[[#This Row],[id клиента]],клиенты!$A$2:$D$435,4,0)</f>
        <v>да</v>
      </c>
      <c r="T93" s="54">
        <f>VLOOKUP(Продажи[[#This Row],[id клиента]],клиенты!$A$2:$I$435,9,0)</f>
        <v>21.519507186858316</v>
      </c>
    </row>
    <row r="94" spans="1:20" x14ac:dyDescent="0.25">
      <c r="A94">
        <v>93</v>
      </c>
      <c r="B94">
        <v>265</v>
      </c>
      <c r="C94">
        <v>66</v>
      </c>
      <c r="D94">
        <v>1</v>
      </c>
      <c r="E94" s="35">
        <v>330</v>
      </c>
      <c r="F94" s="48">
        <v>45183</v>
      </c>
      <c r="G94" t="s">
        <v>24</v>
      </c>
      <c r="H94">
        <v>424</v>
      </c>
      <c r="I94" t="str">
        <f>VLOOKUP(Продажи[[#This Row],[id товара]],Товары[],2,0)</f>
        <v>Мясо</v>
      </c>
      <c r="J94" s="17">
        <f>AVERAGEIF(Продажи[Категория],Продажи[[#This Row],[Категория]],Продажи[цена за шт в рублях])</f>
        <v>271.74545454545455</v>
      </c>
      <c r="K94" s="16">
        <f>Продажи[[#This Row],[цена за шт в рублях]]/Продажи[[#This Row],[Средняя цена в категории за шт]]-1</f>
        <v>-0.75712565234845441</v>
      </c>
      <c r="L94" t="str">
        <f>VLOOKUP(Продажи[[#This Row],[id товара]],Товары[],3,0)</f>
        <v>Мираторг</v>
      </c>
      <c r="M94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94" s="16">
        <f>Продажи[[#This Row],[цена за шт в рублях]]/Продажи[[#This Row],[Средняя цена в категории за шт по поставщику]]-1</f>
        <v>-0.79152408528560148</v>
      </c>
      <c r="O94" s="48">
        <f>VLOOKUP(Продажи[[#This Row],[id клиента]],клиенты!$A$2:$E$435,5,0)</f>
        <v>44585</v>
      </c>
      <c r="P94">
        <f>Продажи[[#This Row],[дата создания чека]]-Продажи[[#This Row],[Дата регистрации]]</f>
        <v>598</v>
      </c>
      <c r="Q94" t="str">
        <f>VLOOKUP(Продажи[[#This Row],[id клиента]],клиенты!$A$2:$G$435,7,0)</f>
        <v>Россия</v>
      </c>
      <c r="R94">
        <f>IF(COUNTIF($H$2:H94, H94)=1, 1, 0)</f>
        <v>1</v>
      </c>
      <c r="S94" t="str">
        <f>VLOOKUP(Продажи[[#This Row],[id клиента]],клиенты!$A$2:$D$435,4,0)</f>
        <v>да</v>
      </c>
      <c r="T94" s="54">
        <f>VLOOKUP(Продажи[[#This Row],[id клиента]],клиенты!$A$2:$I$435,9,0)</f>
        <v>20.632443531827516</v>
      </c>
    </row>
    <row r="95" spans="1:20" x14ac:dyDescent="0.25">
      <c r="A95">
        <v>94</v>
      </c>
      <c r="B95">
        <v>102</v>
      </c>
      <c r="C95">
        <v>452</v>
      </c>
      <c r="D95">
        <v>1</v>
      </c>
      <c r="E95" s="35">
        <v>2260</v>
      </c>
      <c r="F95" s="48">
        <v>45218</v>
      </c>
      <c r="G95" t="s">
        <v>21</v>
      </c>
      <c r="H95">
        <v>75</v>
      </c>
      <c r="I95" t="str">
        <f>VLOOKUP(Продажи[[#This Row],[id товара]],Товары[],2,0)</f>
        <v>Печенье</v>
      </c>
      <c r="J95" s="17">
        <f>AVERAGEIF(Продажи[Категория],Продажи[[#This Row],[Категория]],Продажи[цена за шт в рублях])</f>
        <v>283.468085106383</v>
      </c>
      <c r="K95" s="16">
        <f>Продажи[[#This Row],[цена за шт в рублях]]/Продажи[[#This Row],[Средняя цена в категории за шт]]-1</f>
        <v>0.59453576521804385</v>
      </c>
      <c r="L95" t="str">
        <f>VLOOKUP(Продажи[[#This Row],[id товара]],Товары[],3,0)</f>
        <v>Белогорье</v>
      </c>
      <c r="M95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95" s="16">
        <f>Продажи[[#This Row],[цена за шт в рублях]]/Продажи[[#This Row],[Средняя цена в категории за шт по поставщику]]-1</f>
        <v>0.81162324649298601</v>
      </c>
      <c r="O95" s="48">
        <f>VLOOKUP(Продажи[[#This Row],[id клиента]],клиенты!$A$2:$E$435,5,0)</f>
        <v>44796</v>
      </c>
      <c r="P95">
        <f>Продажи[[#This Row],[дата создания чека]]-Продажи[[#This Row],[Дата регистрации]]</f>
        <v>422</v>
      </c>
      <c r="Q95" t="str">
        <f>VLOOKUP(Продажи[[#This Row],[id клиента]],клиенты!$A$2:$G$435,7,0)</f>
        <v>Украина</v>
      </c>
      <c r="R95">
        <f>IF(COUNTIF($H$2:H95, H95)=1, 1, 0)</f>
        <v>1</v>
      </c>
      <c r="S95" t="str">
        <f>VLOOKUP(Продажи[[#This Row],[id клиента]],клиенты!$A$2:$D$435,4,0)</f>
        <v>нет</v>
      </c>
      <c r="T95" s="54">
        <f>VLOOKUP(Продажи[[#This Row],[id клиента]],клиенты!$A$2:$I$435,9,0)</f>
        <v>16.459958932238195</v>
      </c>
    </row>
    <row r="96" spans="1:20" x14ac:dyDescent="0.25">
      <c r="A96">
        <v>95</v>
      </c>
      <c r="B96">
        <v>212</v>
      </c>
      <c r="C96">
        <v>175</v>
      </c>
      <c r="D96">
        <v>1</v>
      </c>
      <c r="E96" s="35">
        <v>875</v>
      </c>
      <c r="F96" s="48">
        <v>45290</v>
      </c>
      <c r="G96" t="s">
        <v>27</v>
      </c>
      <c r="H96">
        <v>385</v>
      </c>
      <c r="I96" t="str">
        <f>VLOOKUP(Продажи[[#This Row],[id товара]],Товары[],2,0)</f>
        <v>Чипсы</v>
      </c>
      <c r="J96" s="17">
        <f>AVERAGEIF(Продажи[Категория],Продажи[[#This Row],[Категория]],Продажи[цена за шт в рублях])</f>
        <v>273.72549019607845</v>
      </c>
      <c r="K96" s="16">
        <f>Продажи[[#This Row],[цена за шт в рублях]]/Продажи[[#This Row],[Средняя цена в категории за шт]]-1</f>
        <v>-0.36067335243553011</v>
      </c>
      <c r="L96" t="str">
        <f>VLOOKUP(Продажи[[#This Row],[id товара]],Товары[],3,0)</f>
        <v>Lay's</v>
      </c>
      <c r="M96" s="32">
        <f>AVERAGEIFS(Продажи[цена за шт в рублях],Продажи[Категория],Продажи[[#This Row],[Категория]],Продажи[Поставщик],Продажи[[#This Row],[Поставщик]])</f>
        <v>320.57142857142856</v>
      </c>
      <c r="N96" s="16">
        <f>Продажи[[#This Row],[цена за шт в рублях]]/Продажи[[#This Row],[Средняя цена в категории за шт по поставщику]]-1</f>
        <v>-0.45409982174688057</v>
      </c>
      <c r="O96" s="48">
        <f>VLOOKUP(Продажи[[#This Row],[id клиента]],клиенты!$A$2:$E$435,5,0)</f>
        <v>44753</v>
      </c>
      <c r="P96">
        <f>Продажи[[#This Row],[дата создания чека]]-Продажи[[#This Row],[Дата регистрации]]</f>
        <v>537</v>
      </c>
      <c r="Q96" t="str">
        <f>VLOOKUP(Продажи[[#This Row],[id клиента]],клиенты!$A$2:$G$435,7,0)</f>
        <v>Украина</v>
      </c>
      <c r="R96">
        <f>IF(COUNTIF($H$2:H96, H96)=1, 1, 0)</f>
        <v>0</v>
      </c>
      <c r="S96" t="str">
        <f>VLOOKUP(Продажи[[#This Row],[id клиента]],клиенты!$A$2:$D$435,4,0)</f>
        <v>нет</v>
      </c>
      <c r="T96" s="54">
        <f>VLOOKUP(Продажи[[#This Row],[id клиента]],клиенты!$A$2:$I$435,9,0)</f>
        <v>21.453798767967147</v>
      </c>
    </row>
    <row r="97" spans="1:20" x14ac:dyDescent="0.25">
      <c r="A97">
        <v>96</v>
      </c>
      <c r="B97">
        <v>215</v>
      </c>
      <c r="C97">
        <v>109</v>
      </c>
      <c r="D97">
        <v>1</v>
      </c>
      <c r="E97" s="35">
        <v>545</v>
      </c>
      <c r="F97" s="48">
        <v>45235</v>
      </c>
      <c r="G97" t="s">
        <v>17</v>
      </c>
      <c r="H97">
        <v>71</v>
      </c>
      <c r="I97" t="str">
        <f>VLOOKUP(Продажи[[#This Row],[id товара]],Товары[],2,0)</f>
        <v>Сок</v>
      </c>
      <c r="J97" s="17">
        <f>AVERAGEIF(Продажи[Категория],Продажи[[#This Row],[Категория]],Продажи[цена за шт в рублях])</f>
        <v>268.60344827586209</v>
      </c>
      <c r="K97" s="16">
        <f>Продажи[[#This Row],[цена за шт в рублях]]/Продажи[[#This Row],[Средняя цена в категории за шт]]-1</f>
        <v>-0.59419731690095645</v>
      </c>
      <c r="L97" t="str">
        <f>VLOOKUP(Продажи[[#This Row],[id товара]],Товары[],3,0)</f>
        <v>Фруктовый сад</v>
      </c>
      <c r="M97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97" s="16">
        <f>Продажи[[#This Row],[цена за шт в рублях]]/Продажи[[#This Row],[Средняя цена в категории за шт по поставщику]]-1</f>
        <v>-0.61343233957663745</v>
      </c>
      <c r="O97" s="48">
        <f>VLOOKUP(Продажи[[#This Row],[id клиента]],клиенты!$A$2:$E$435,5,0)</f>
        <v>44762</v>
      </c>
      <c r="P97">
        <f>Продажи[[#This Row],[дата создания чека]]-Продажи[[#This Row],[Дата регистрации]]</f>
        <v>473</v>
      </c>
      <c r="Q97" t="str">
        <f>VLOOKUP(Продажи[[#This Row],[id клиента]],клиенты!$A$2:$G$435,7,0)</f>
        <v>Украина</v>
      </c>
      <c r="R97">
        <f>IF(COUNTIF($H$2:H97, H97)=1, 1, 0)</f>
        <v>1</v>
      </c>
      <c r="S97" t="str">
        <f>VLOOKUP(Продажи[[#This Row],[id клиента]],клиенты!$A$2:$D$435,4,0)</f>
        <v>да</v>
      </c>
      <c r="T97" s="54">
        <f>VLOOKUP(Продажи[[#This Row],[id клиента]],клиенты!$A$2:$I$435,9,0)</f>
        <v>22.04517453798768</v>
      </c>
    </row>
    <row r="98" spans="1:20" x14ac:dyDescent="0.25">
      <c r="A98">
        <v>97</v>
      </c>
      <c r="B98">
        <v>364</v>
      </c>
      <c r="C98">
        <v>323</v>
      </c>
      <c r="D98">
        <v>2</v>
      </c>
      <c r="E98" s="35">
        <v>3230</v>
      </c>
      <c r="F98" s="48">
        <v>45197</v>
      </c>
      <c r="G98" t="s">
        <v>25</v>
      </c>
      <c r="H98">
        <v>313</v>
      </c>
      <c r="I98" t="str">
        <f>VLOOKUP(Продажи[[#This Row],[id товара]],Товары[],2,0)</f>
        <v>Сахар</v>
      </c>
      <c r="J98" s="17">
        <f>AVERAGEIF(Продажи[Категория],Продажи[[#This Row],[Категория]],Продажи[цена за шт в рублях])</f>
        <v>252.76271186440678</v>
      </c>
      <c r="K98" s="16">
        <f>Продажи[[#This Row],[цена за шт в рублях]]/Продажи[[#This Row],[Средняя цена в категории за шт]]-1</f>
        <v>0.27787836116140285</v>
      </c>
      <c r="L98" t="str">
        <f>VLOOKUP(Продажи[[#This Row],[id товара]],Товары[],3,0)</f>
        <v>Русский сахар</v>
      </c>
      <c r="M98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98" s="16">
        <f>Продажи[[#This Row],[цена за шт в рублях]]/Продажи[[#This Row],[Средняя цена в категории за шт по поставщику]]-1</f>
        <v>0.10084202085004002</v>
      </c>
      <c r="O98" s="48">
        <f>VLOOKUP(Продажи[[#This Row],[id клиента]],клиенты!$A$2:$E$435,5,0)</f>
        <v>44896</v>
      </c>
      <c r="P98">
        <f>Продажи[[#This Row],[дата создания чека]]-Продажи[[#This Row],[Дата регистрации]]</f>
        <v>301</v>
      </c>
      <c r="Q98" t="str">
        <f>VLOOKUP(Продажи[[#This Row],[id клиента]],клиенты!$A$2:$G$435,7,0)</f>
        <v>Узбекистан</v>
      </c>
      <c r="R98">
        <f>IF(COUNTIF($H$2:H98, H98)=1, 1, 0)</f>
        <v>1</v>
      </c>
      <c r="S98" t="str">
        <f>VLOOKUP(Продажи[[#This Row],[id клиента]],клиенты!$A$2:$D$435,4,0)</f>
        <v>да</v>
      </c>
      <c r="T98" s="54">
        <f>VLOOKUP(Продажи[[#This Row],[id клиента]],клиенты!$A$2:$I$435,9,0)</f>
        <v>9.8891170431211499</v>
      </c>
    </row>
    <row r="99" spans="1:20" x14ac:dyDescent="0.25">
      <c r="A99">
        <v>98</v>
      </c>
      <c r="B99">
        <v>499</v>
      </c>
      <c r="C99">
        <v>96</v>
      </c>
      <c r="D99">
        <v>1</v>
      </c>
      <c r="E99" s="35">
        <v>480</v>
      </c>
      <c r="F99" s="48">
        <v>44942</v>
      </c>
      <c r="G99" t="s">
        <v>13</v>
      </c>
      <c r="H99">
        <v>239</v>
      </c>
      <c r="I99" t="str">
        <f>VLOOKUP(Продажи[[#This Row],[id товара]],Товары[],2,0)</f>
        <v>Печенье</v>
      </c>
      <c r="J99" s="17">
        <f>AVERAGEIF(Продажи[Категория],Продажи[[#This Row],[Категория]],Продажи[цена за шт в рублях])</f>
        <v>283.468085106383</v>
      </c>
      <c r="K99" s="16">
        <f>Продажи[[#This Row],[цена за шт в рублях]]/Продажи[[#This Row],[Средняя цена в категории за шт]]-1</f>
        <v>-0.66133753659085792</v>
      </c>
      <c r="L99" t="str">
        <f>VLOOKUP(Продажи[[#This Row],[id товара]],Товары[],3,0)</f>
        <v>Посиделкино</v>
      </c>
      <c r="M99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99" s="16">
        <f>Продажи[[#This Row],[цена за шт в рублях]]/Продажи[[#This Row],[Средняя цена в категории за шт по поставщику]]-1</f>
        <v>-0.70152628603730927</v>
      </c>
      <c r="O99" s="48">
        <f>VLOOKUP(Продажи[[#This Row],[id клиента]],клиенты!$A$2:$E$435,5,0)</f>
        <v>44767</v>
      </c>
      <c r="P99">
        <f>Продажи[[#This Row],[дата создания чека]]-Продажи[[#This Row],[Дата регистрации]]</f>
        <v>175</v>
      </c>
      <c r="Q99" t="str">
        <f>VLOOKUP(Продажи[[#This Row],[id клиента]],клиенты!$A$2:$G$435,7,0)</f>
        <v>Узбекистан</v>
      </c>
      <c r="R99">
        <f>IF(COUNTIF($H$2:H99, H99)=1, 1, 0)</f>
        <v>0</v>
      </c>
      <c r="S99" t="str">
        <f>VLOOKUP(Продажи[[#This Row],[id клиента]],клиенты!$A$2:$D$435,4,0)</f>
        <v>нет</v>
      </c>
      <c r="T99" s="54">
        <f>VLOOKUP(Продажи[[#This Row],[id клиента]],клиенты!$A$2:$I$435,9,0)</f>
        <v>11.893223819301848</v>
      </c>
    </row>
    <row r="100" spans="1:20" x14ac:dyDescent="0.25">
      <c r="A100">
        <v>99</v>
      </c>
      <c r="B100">
        <v>202</v>
      </c>
      <c r="C100">
        <v>422</v>
      </c>
      <c r="D100">
        <v>2</v>
      </c>
      <c r="E100" s="35">
        <v>4220</v>
      </c>
      <c r="F100" s="48">
        <v>45077</v>
      </c>
      <c r="G100" t="s">
        <v>13</v>
      </c>
      <c r="H100">
        <v>301</v>
      </c>
      <c r="I100" t="str">
        <f>VLOOKUP(Продажи[[#This Row],[id товара]],Товары[],2,0)</f>
        <v>Овощи</v>
      </c>
      <c r="J100" s="17">
        <f>AVERAGEIF(Продажи[Категория],Продажи[[#This Row],[Категория]],Продажи[цена за шт в рублях])</f>
        <v>250.48780487804879</v>
      </c>
      <c r="K100" s="16">
        <f>Продажи[[#This Row],[цена за шт в рублях]]/Продажи[[#This Row],[Средняя цена в категории за шт]]-1</f>
        <v>0.68471275559883149</v>
      </c>
      <c r="L100" t="str">
        <f>VLOOKUP(Продажи[[#This Row],[id товара]],Товары[],3,0)</f>
        <v>Овощной ряд</v>
      </c>
      <c r="M100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100" s="16">
        <f>Продажи[[#This Row],[цена за шт в рублях]]/Продажи[[#This Row],[Средняя цена в категории за шт по поставщику]]-1</f>
        <v>0.3889641819941918</v>
      </c>
      <c r="O100" s="48">
        <f>VLOOKUP(Продажи[[#This Row],[id клиента]],клиенты!$A$2:$E$435,5,0)</f>
        <v>44714</v>
      </c>
      <c r="P100">
        <f>Продажи[[#This Row],[дата создания чека]]-Продажи[[#This Row],[Дата регистрации]]</f>
        <v>363</v>
      </c>
      <c r="Q100" t="str">
        <f>VLOOKUP(Продажи[[#This Row],[id клиента]],клиенты!$A$2:$G$435,7,0)</f>
        <v>Россия</v>
      </c>
      <c r="R100">
        <f>IF(COUNTIF($H$2:H100, H100)=1, 1, 0)</f>
        <v>1</v>
      </c>
      <c r="S100" t="str">
        <f>VLOOKUP(Продажи[[#This Row],[id клиента]],клиенты!$A$2:$D$435,4,0)</f>
        <v>да</v>
      </c>
      <c r="T100" s="54">
        <f>VLOOKUP(Продажи[[#This Row],[id клиента]],клиенты!$A$2:$I$435,9,0)</f>
        <v>11.926078028747433</v>
      </c>
    </row>
    <row r="101" spans="1:20" x14ac:dyDescent="0.25">
      <c r="A101">
        <v>100</v>
      </c>
      <c r="B101">
        <v>244</v>
      </c>
      <c r="C101">
        <v>57</v>
      </c>
      <c r="D101">
        <v>3</v>
      </c>
      <c r="E101" s="35">
        <v>855</v>
      </c>
      <c r="F101" s="48">
        <v>45331</v>
      </c>
      <c r="G101" t="s">
        <v>26</v>
      </c>
      <c r="H101">
        <v>359</v>
      </c>
      <c r="I101" t="str">
        <f>VLOOKUP(Продажи[[#This Row],[id товара]],Товары[],2,0)</f>
        <v>Мясо</v>
      </c>
      <c r="J101" s="17">
        <f>AVERAGEIF(Продажи[Категория],Продажи[[#This Row],[Категория]],Продажи[цена за шт в рублях])</f>
        <v>271.74545454545455</v>
      </c>
      <c r="K101" s="16">
        <f>Продажи[[#This Row],[цена за шт в рублях]]/Продажи[[#This Row],[Средняя цена в категории за шт]]-1</f>
        <v>-0.79024488157366524</v>
      </c>
      <c r="L101" t="str">
        <f>VLOOKUP(Продажи[[#This Row],[id товара]],Товары[],3,0)</f>
        <v>Сава</v>
      </c>
      <c r="M101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101" s="16">
        <f>Продажи[[#This Row],[цена за шт в рублях]]/Продажи[[#This Row],[Средняя цена в категории за шт по поставщику]]-1</f>
        <v>-0.73215859030837005</v>
      </c>
      <c r="O101" s="48">
        <f>VLOOKUP(Продажи[[#This Row],[id клиента]],клиенты!$A$2:$E$435,5,0)</f>
        <v>44584</v>
      </c>
      <c r="P101">
        <f>Продажи[[#This Row],[дата создания чека]]-Продажи[[#This Row],[Дата регистрации]]</f>
        <v>747</v>
      </c>
      <c r="Q101" t="str">
        <f>VLOOKUP(Продажи[[#This Row],[id клиента]],клиенты!$A$2:$G$435,7,0)</f>
        <v>Россия</v>
      </c>
      <c r="R101">
        <f>IF(COUNTIF($H$2:H101, H101)=1, 1, 0)</f>
        <v>1</v>
      </c>
      <c r="S101" t="str">
        <f>VLOOKUP(Продажи[[#This Row],[id клиента]],клиенты!$A$2:$D$435,4,0)</f>
        <v>нет</v>
      </c>
      <c r="T101" s="54">
        <f>VLOOKUP(Продажи[[#This Row],[id клиента]],клиенты!$A$2:$I$435,9,0)</f>
        <v>24.706365503080082</v>
      </c>
    </row>
    <row r="102" spans="1:20" x14ac:dyDescent="0.25">
      <c r="A102">
        <v>101</v>
      </c>
      <c r="B102">
        <v>363</v>
      </c>
      <c r="C102">
        <v>414</v>
      </c>
      <c r="D102">
        <v>4</v>
      </c>
      <c r="E102" s="35">
        <v>8280</v>
      </c>
      <c r="F102" s="48">
        <v>45210</v>
      </c>
      <c r="G102" t="s">
        <v>25</v>
      </c>
      <c r="H102">
        <v>474</v>
      </c>
      <c r="I102" t="str">
        <f>VLOOKUP(Продажи[[#This Row],[id товара]],Товары[],2,0)</f>
        <v>Хлеб</v>
      </c>
      <c r="J102" s="17">
        <f>AVERAGEIF(Продажи[Категория],Продажи[[#This Row],[Категория]],Продажи[цена за шт в рублях])</f>
        <v>300.31818181818181</v>
      </c>
      <c r="K102" s="16">
        <f>Продажи[[#This Row],[цена за шт в рублях]]/Продажи[[#This Row],[Средняя цена в категории за шт]]-1</f>
        <v>0.37853791433328299</v>
      </c>
      <c r="L102" t="str">
        <f>VLOOKUP(Продажи[[#This Row],[id товара]],Товары[],3,0)</f>
        <v>Дарница</v>
      </c>
      <c r="M102" s="32">
        <f>AVERAGEIFS(Продажи[цена за шт в рублях],Продажи[Категория],Продажи[[#This Row],[Категория]],Продажи[Поставщик],Продажи[[#This Row],[Поставщик]])</f>
        <v>264</v>
      </c>
      <c r="N102" s="16">
        <f>Продажи[[#This Row],[цена за шт в рублях]]/Продажи[[#This Row],[Средняя цена в категории за шт по поставщику]]-1</f>
        <v>0.56818181818181812</v>
      </c>
      <c r="O102" s="48">
        <f>VLOOKUP(Продажи[[#This Row],[id клиента]],клиенты!$A$2:$E$435,5,0)</f>
        <v>44605</v>
      </c>
      <c r="P102">
        <f>Продажи[[#This Row],[дата создания чека]]-Продажи[[#This Row],[Дата регистрации]]</f>
        <v>605</v>
      </c>
      <c r="Q102" t="str">
        <f>VLOOKUP(Продажи[[#This Row],[id клиента]],клиенты!$A$2:$G$435,7,0)</f>
        <v>Россия</v>
      </c>
      <c r="R102">
        <f>IF(COUNTIF($H$2:H102, H102)=1, 1, 0)</f>
        <v>1</v>
      </c>
      <c r="S102" t="str">
        <f>VLOOKUP(Продажи[[#This Row],[id клиента]],клиенты!$A$2:$D$435,4,0)</f>
        <v>нет</v>
      </c>
      <c r="T102" s="54">
        <f>VLOOKUP(Продажи[[#This Row],[id клиента]],клиенты!$A$2:$I$435,9,0)</f>
        <v>19.876796714579054</v>
      </c>
    </row>
    <row r="103" spans="1:20" x14ac:dyDescent="0.25">
      <c r="A103">
        <v>102</v>
      </c>
      <c r="B103">
        <v>212</v>
      </c>
      <c r="C103">
        <v>320</v>
      </c>
      <c r="D103">
        <v>5</v>
      </c>
      <c r="E103" s="35">
        <v>8000</v>
      </c>
      <c r="F103" s="48">
        <v>45082</v>
      </c>
      <c r="G103" t="s">
        <v>10</v>
      </c>
      <c r="H103">
        <v>111</v>
      </c>
      <c r="I103" t="str">
        <f>VLOOKUP(Продажи[[#This Row],[id товара]],Товары[],2,0)</f>
        <v>Чипсы</v>
      </c>
      <c r="J103" s="17">
        <f>AVERAGEIF(Продажи[Категория],Продажи[[#This Row],[Категория]],Продажи[цена за шт в рублях])</f>
        <v>273.72549019607845</v>
      </c>
      <c r="K103" s="16">
        <f>Продажи[[#This Row],[цена за шт в рублях]]/Продажи[[#This Row],[Средняя цена в категории за шт]]-1</f>
        <v>0.16905444126074487</v>
      </c>
      <c r="L103" t="str">
        <f>VLOOKUP(Продажи[[#This Row],[id товара]],Товары[],3,0)</f>
        <v>Lay's</v>
      </c>
      <c r="M103" s="32">
        <f>AVERAGEIFS(Продажи[цена за шт в рублях],Продажи[Категория],Продажи[[#This Row],[Категория]],Продажи[Поставщик],Продажи[[#This Row],[Поставщик]])</f>
        <v>320.57142857142856</v>
      </c>
      <c r="N103" s="16">
        <f>Продажи[[#This Row],[цена за шт в рублях]]/Продажи[[#This Row],[Средняя цена в категории за шт по поставщику]]-1</f>
        <v>-1.7825311942958333E-3</v>
      </c>
      <c r="O103" s="48">
        <f>VLOOKUP(Продажи[[#This Row],[id клиента]],клиенты!$A$2:$E$435,5,0)</f>
        <v>44804</v>
      </c>
      <c r="P103">
        <f>Продажи[[#This Row],[дата создания чека]]-Продажи[[#This Row],[Дата регистрации]]</f>
        <v>278</v>
      </c>
      <c r="Q103" t="str">
        <f>VLOOKUP(Продажи[[#This Row],[id клиента]],клиенты!$A$2:$G$435,7,0)</f>
        <v>Узбекистан</v>
      </c>
      <c r="R103">
        <f>IF(COUNTIF($H$2:H103, H103)=1, 1, 0)</f>
        <v>1</v>
      </c>
      <c r="S103" t="str">
        <f>VLOOKUP(Продажи[[#This Row],[id клиента]],клиенты!$A$2:$D$435,4,0)</f>
        <v>да</v>
      </c>
      <c r="T103" s="54">
        <f>VLOOKUP(Продажи[[#This Row],[id клиента]],клиенты!$A$2:$I$435,9,0)</f>
        <v>18.464065708418889</v>
      </c>
    </row>
    <row r="104" spans="1:20" x14ac:dyDescent="0.25">
      <c r="A104">
        <v>103</v>
      </c>
      <c r="B104">
        <v>434</v>
      </c>
      <c r="C104">
        <v>272</v>
      </c>
      <c r="D104">
        <v>2</v>
      </c>
      <c r="E104" s="35">
        <v>2720</v>
      </c>
      <c r="F104" s="48">
        <v>45174</v>
      </c>
      <c r="G104" t="s">
        <v>13</v>
      </c>
      <c r="H104">
        <v>126</v>
      </c>
      <c r="I104" t="str">
        <f>VLOOKUP(Продажи[[#This Row],[id товара]],Товары[],2,0)</f>
        <v>Сыр</v>
      </c>
      <c r="J104" s="17">
        <f>AVERAGEIF(Продажи[Категория],Продажи[[#This Row],[Категория]],Продажи[цена за шт в рублях])</f>
        <v>262.63492063492066</v>
      </c>
      <c r="K104" s="16">
        <f>Продажи[[#This Row],[цена за шт в рублях]]/Продажи[[#This Row],[Средняя цена в категории за шт]]-1</f>
        <v>3.5658165115435736E-2</v>
      </c>
      <c r="L104" t="str">
        <f>VLOOKUP(Продажи[[#This Row],[id товара]],Товары[],3,0)</f>
        <v>Сырная долина</v>
      </c>
      <c r="M104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104" s="16">
        <f>Продажи[[#This Row],[цена за шт в рублях]]/Продажи[[#This Row],[Средняя цена в категории за шт по поставщику]]-1</f>
        <v>3.6900369003689537E-3</v>
      </c>
      <c r="O104" s="48">
        <f>VLOOKUP(Продажи[[#This Row],[id клиента]],клиенты!$A$2:$E$435,5,0)</f>
        <v>44822</v>
      </c>
      <c r="P104">
        <f>Продажи[[#This Row],[дата создания чека]]-Продажи[[#This Row],[Дата регистрации]]</f>
        <v>352</v>
      </c>
      <c r="Q104" t="str">
        <f>VLOOKUP(Продажи[[#This Row],[id клиента]],клиенты!$A$2:$G$435,7,0)</f>
        <v>Узбекистан</v>
      </c>
      <c r="R104">
        <f>IF(COUNTIF($H$2:H104, H104)=1, 1, 0)</f>
        <v>1</v>
      </c>
      <c r="S104" t="str">
        <f>VLOOKUP(Продажи[[#This Row],[id клиента]],клиенты!$A$2:$D$435,4,0)</f>
        <v>да</v>
      </c>
      <c r="T104" s="54">
        <f>VLOOKUP(Продажи[[#This Row],[id клиента]],клиенты!$A$2:$I$435,9,0)</f>
        <v>16.229979466119097</v>
      </c>
    </row>
    <row r="105" spans="1:20" x14ac:dyDescent="0.25">
      <c r="A105">
        <v>104</v>
      </c>
      <c r="B105">
        <v>305</v>
      </c>
      <c r="C105">
        <v>419</v>
      </c>
      <c r="D105">
        <v>4</v>
      </c>
      <c r="E105" s="35">
        <v>8380</v>
      </c>
      <c r="F105" s="48">
        <v>45171</v>
      </c>
      <c r="G105" t="s">
        <v>27</v>
      </c>
      <c r="H105">
        <v>356</v>
      </c>
      <c r="I105" t="str">
        <f>VLOOKUP(Продажи[[#This Row],[id товара]],Товары[],2,0)</f>
        <v>Печенье</v>
      </c>
      <c r="J105" s="17">
        <f>AVERAGEIF(Продажи[Категория],Продажи[[#This Row],[Категория]],Продажи[цена за шт в рублях])</f>
        <v>283.468085106383</v>
      </c>
      <c r="K105" s="16">
        <f>Продажи[[#This Row],[цена за шт в рублях]]/Продажи[[#This Row],[Средняя цена в категории за шт]]-1</f>
        <v>0.47812054342115129</v>
      </c>
      <c r="L105" t="str">
        <f>VLOOKUP(Продажи[[#This Row],[id товара]],Товары[],3,0)</f>
        <v>Посиделкино</v>
      </c>
      <c r="M105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105" s="16">
        <f>Продажи[[#This Row],[цена за шт в рублях]]/Продажи[[#This Row],[Средняя цена в категории за шт по поставщику]]-1</f>
        <v>0.30271339739966097</v>
      </c>
      <c r="O105" s="48">
        <f>VLOOKUP(Продажи[[#This Row],[id клиента]],клиенты!$A$2:$E$435,5,0)</f>
        <v>44570</v>
      </c>
      <c r="P105">
        <f>Продажи[[#This Row],[дата создания чека]]-Продажи[[#This Row],[Дата регистрации]]</f>
        <v>601</v>
      </c>
      <c r="Q105" t="str">
        <f>VLOOKUP(Продажи[[#This Row],[id клиента]],клиенты!$A$2:$G$435,7,0)</f>
        <v>Таджикистан</v>
      </c>
      <c r="R105">
        <f>IF(COUNTIF($H$2:H105, H105)=1, 1, 0)</f>
        <v>1</v>
      </c>
      <c r="S105" t="str">
        <f>VLOOKUP(Продажи[[#This Row],[id клиента]],клиенты!$A$2:$D$435,4,0)</f>
        <v>нет</v>
      </c>
      <c r="T105" s="54">
        <f>VLOOKUP(Продажи[[#This Row],[id клиента]],клиенты!$A$2:$I$435,9,0)</f>
        <v>22.373716632443532</v>
      </c>
    </row>
    <row r="106" spans="1:20" x14ac:dyDescent="0.25">
      <c r="A106">
        <v>105</v>
      </c>
      <c r="B106">
        <v>37</v>
      </c>
      <c r="C106">
        <v>478</v>
      </c>
      <c r="D106">
        <v>4</v>
      </c>
      <c r="E106" s="35">
        <v>9560</v>
      </c>
      <c r="F106" s="48">
        <v>45259</v>
      </c>
      <c r="G106" t="s">
        <v>12</v>
      </c>
      <c r="H106">
        <v>166</v>
      </c>
      <c r="I106" t="str">
        <f>VLOOKUP(Продажи[[#This Row],[id товара]],Товары[],2,0)</f>
        <v>Соль</v>
      </c>
      <c r="J106" s="17">
        <f>AVERAGEIF(Продажи[Категория],Продажи[[#This Row],[Категория]],Продажи[цена за шт в рублях])</f>
        <v>264.8679245283019</v>
      </c>
      <c r="K106" s="16">
        <f>Продажи[[#This Row],[цена за шт в рублях]]/Продажи[[#This Row],[Средняя цена в категории за шт]]-1</f>
        <v>0.80467303034620308</v>
      </c>
      <c r="L106" t="str">
        <f>VLOOKUP(Продажи[[#This Row],[id товара]],Товары[],3,0)</f>
        <v>Илецкая</v>
      </c>
      <c r="M106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106" s="16">
        <f>Продажи[[#This Row],[цена за шт в рублях]]/Продажи[[#This Row],[Средняя цена в категории за шт по поставщику]]-1</f>
        <v>1.0069979006298113</v>
      </c>
      <c r="O106" s="48">
        <f>VLOOKUP(Продажи[[#This Row],[id клиента]],клиенты!$A$2:$E$435,5,0)</f>
        <v>44796</v>
      </c>
      <c r="P106">
        <f>Продажи[[#This Row],[дата создания чека]]-Продажи[[#This Row],[Дата регистрации]]</f>
        <v>463</v>
      </c>
      <c r="Q106" t="str">
        <f>VLOOKUP(Продажи[[#This Row],[id клиента]],клиенты!$A$2:$G$435,7,0)</f>
        <v>Узбекистан</v>
      </c>
      <c r="R106">
        <f>IF(COUNTIF($H$2:H106, H106)=1, 1, 0)</f>
        <v>1</v>
      </c>
      <c r="S106" t="str">
        <f>VLOOKUP(Продажи[[#This Row],[id клиента]],клиенты!$A$2:$D$435,4,0)</f>
        <v>да</v>
      </c>
      <c r="T106" s="54">
        <f>VLOOKUP(Продажи[[#This Row],[id клиента]],клиенты!$A$2:$I$435,9,0)</f>
        <v>15.211498973305956</v>
      </c>
    </row>
    <row r="107" spans="1:20" x14ac:dyDescent="0.25">
      <c r="A107">
        <v>106</v>
      </c>
      <c r="B107">
        <v>242</v>
      </c>
      <c r="C107">
        <v>333</v>
      </c>
      <c r="D107">
        <v>3</v>
      </c>
      <c r="E107" s="35">
        <v>4995</v>
      </c>
      <c r="F107" s="48">
        <v>45287</v>
      </c>
      <c r="G107" t="s">
        <v>10</v>
      </c>
      <c r="H107">
        <v>162</v>
      </c>
      <c r="I107" t="str">
        <f>VLOOKUP(Продажи[[#This Row],[id товара]],Товары[],2,0)</f>
        <v>Овощи</v>
      </c>
      <c r="J107" s="17">
        <f>AVERAGEIF(Продажи[Категория],Продажи[[#This Row],[Категория]],Продажи[цена за шт в рублях])</f>
        <v>250.48780487804879</v>
      </c>
      <c r="K107" s="16">
        <f>Продажи[[#This Row],[цена за шт в рублях]]/Продажи[[#This Row],[Средняя цена в категории за шт]]-1</f>
        <v>0.32940603700097371</v>
      </c>
      <c r="L107" t="str">
        <f>VLOOKUP(Продажи[[#This Row],[id товара]],Товары[],3,0)</f>
        <v>Овощной ряд</v>
      </c>
      <c r="M107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107" s="16">
        <f>Продажи[[#This Row],[цена за шт в рублях]]/Продажи[[#This Row],[Средняя цена в категории за шт по поставщику]]-1</f>
        <v>9.603097773475322E-2</v>
      </c>
      <c r="O107" s="48">
        <f>VLOOKUP(Продажи[[#This Row],[id клиента]],клиенты!$A$2:$E$435,5,0)</f>
        <v>44639</v>
      </c>
      <c r="P107">
        <f>Продажи[[#This Row],[дата создания чека]]-Продажи[[#This Row],[Дата регистрации]]</f>
        <v>648</v>
      </c>
      <c r="Q107" t="str">
        <f>VLOOKUP(Продажи[[#This Row],[id клиента]],клиенты!$A$2:$G$435,7,0)</f>
        <v>Таджикистан</v>
      </c>
      <c r="R107">
        <f>IF(COUNTIF($H$2:H107, H107)=1, 1, 0)</f>
        <v>1</v>
      </c>
      <c r="S107" t="str">
        <f>VLOOKUP(Продажи[[#This Row],[id клиента]],клиенты!$A$2:$D$435,4,0)</f>
        <v>нет</v>
      </c>
      <c r="T107" s="54">
        <f>VLOOKUP(Продажи[[#This Row],[id клиента]],клиенты!$A$2:$I$435,9,0)</f>
        <v>21.289527720739219</v>
      </c>
    </row>
    <row r="108" spans="1:20" x14ac:dyDescent="0.25">
      <c r="A108">
        <v>107</v>
      </c>
      <c r="B108">
        <v>332</v>
      </c>
      <c r="C108">
        <v>327</v>
      </c>
      <c r="D108">
        <v>2</v>
      </c>
      <c r="E108" s="35">
        <v>3270</v>
      </c>
      <c r="F108" s="48">
        <v>45095</v>
      </c>
      <c r="G108" t="s">
        <v>19</v>
      </c>
      <c r="H108">
        <v>459</v>
      </c>
      <c r="I108" t="str">
        <f>VLOOKUP(Продажи[[#This Row],[id товара]],Товары[],2,0)</f>
        <v>Чай</v>
      </c>
      <c r="J108" s="17">
        <f>AVERAGEIF(Продажи[Категория],Продажи[[#This Row],[Категория]],Продажи[цена за шт в рублях])</f>
        <v>271.18181818181819</v>
      </c>
      <c r="K108" s="16">
        <f>Продажи[[#This Row],[цена за шт в рублях]]/Продажи[[#This Row],[Средняя цена в категории за шт]]-1</f>
        <v>0.20583305397251084</v>
      </c>
      <c r="L108" t="str">
        <f>VLOOKUP(Продажи[[#This Row],[id товара]],Товары[],3,0)</f>
        <v>Тесс</v>
      </c>
      <c r="M108" s="32">
        <f>AVERAGEIFS(Продажи[цена за шт в рублях],Продажи[Категория],Продажи[[#This Row],[Категория]],Продажи[Поставщик],Продажи[[#This Row],[Поставщик]])</f>
        <v>281.75</v>
      </c>
      <c r="N108" s="16">
        <f>Продажи[[#This Row],[цена за шт в рублях]]/Продажи[[#This Row],[Средняя цена в категории за шт по поставщику]]-1</f>
        <v>0.16060337178349604</v>
      </c>
      <c r="O108" s="48">
        <f>VLOOKUP(Продажи[[#This Row],[id клиента]],клиенты!$A$2:$E$435,5,0)</f>
        <v>44743</v>
      </c>
      <c r="P108">
        <f>Продажи[[#This Row],[дата создания чека]]-Продажи[[#This Row],[Дата регистрации]]</f>
        <v>352</v>
      </c>
      <c r="Q108" t="str">
        <f>VLOOKUP(Продажи[[#This Row],[id клиента]],клиенты!$A$2:$G$435,7,0)</f>
        <v>Россия</v>
      </c>
      <c r="R108">
        <f>IF(COUNTIF($H$2:H108, H108)=1, 1, 0)</f>
        <v>1</v>
      </c>
      <c r="S108" t="str">
        <f>VLOOKUP(Продажи[[#This Row],[id клиента]],клиенты!$A$2:$D$435,4,0)</f>
        <v>да</v>
      </c>
      <c r="T108" s="54">
        <f>VLOOKUP(Продажи[[#This Row],[id клиента]],клиенты!$A$2:$I$435,9,0)</f>
        <v>22.04517453798768</v>
      </c>
    </row>
    <row r="109" spans="1:20" x14ac:dyDescent="0.25">
      <c r="A109">
        <v>108</v>
      </c>
      <c r="B109">
        <v>452</v>
      </c>
      <c r="C109">
        <v>89</v>
      </c>
      <c r="D109">
        <v>3</v>
      </c>
      <c r="E109" s="35">
        <v>1335</v>
      </c>
      <c r="F109" s="48">
        <v>45033</v>
      </c>
      <c r="G109" t="s">
        <v>22</v>
      </c>
      <c r="H109">
        <v>211</v>
      </c>
      <c r="I109" t="str">
        <f>VLOOKUP(Продажи[[#This Row],[id товара]],Товары[],2,0)</f>
        <v>Фрукты</v>
      </c>
      <c r="J109" s="17">
        <f>AVERAGEIF(Продажи[Категория],Продажи[[#This Row],[Категория]],Продажи[цена за шт в рублях])</f>
        <v>274.16279069767444</v>
      </c>
      <c r="K109" s="16">
        <f>Продажи[[#This Row],[цена за шт в рублях]]/Продажи[[#This Row],[Средняя цена в категории за шт]]-1</f>
        <v>-0.67537534990245152</v>
      </c>
      <c r="L109" t="str">
        <f>VLOOKUP(Продажи[[#This Row],[id товара]],Товары[],3,0)</f>
        <v>Экзотик</v>
      </c>
      <c r="M109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109" s="16">
        <f>Продажи[[#This Row],[цена за шт в рублях]]/Продажи[[#This Row],[Средняя цена в категории за шт по поставщику]]-1</f>
        <v>-0.64917467356491754</v>
      </c>
      <c r="O109" s="48">
        <f>VLOOKUP(Продажи[[#This Row],[id клиента]],клиенты!$A$2:$E$435,5,0)</f>
        <v>44621</v>
      </c>
      <c r="P109">
        <f>Продажи[[#This Row],[дата создания чека]]-Продажи[[#This Row],[Дата регистрации]]</f>
        <v>412</v>
      </c>
      <c r="Q109" t="str">
        <f>VLOOKUP(Продажи[[#This Row],[id клиента]],клиенты!$A$2:$G$435,7,0)</f>
        <v>Украина</v>
      </c>
      <c r="R109">
        <f>IF(COUNTIF($H$2:H109, H109)=1, 1, 0)</f>
        <v>1</v>
      </c>
      <c r="S109" t="str">
        <f>VLOOKUP(Продажи[[#This Row],[id клиента]],клиенты!$A$2:$D$435,4,0)</f>
        <v>нет</v>
      </c>
      <c r="T109" s="54">
        <f>VLOOKUP(Продажи[[#This Row],[id клиента]],клиенты!$A$2:$I$435,9,0)</f>
        <v>13.535934291581109</v>
      </c>
    </row>
    <row r="110" spans="1:20" x14ac:dyDescent="0.25">
      <c r="A110">
        <v>109</v>
      </c>
      <c r="B110">
        <v>452</v>
      </c>
      <c r="C110">
        <v>78</v>
      </c>
      <c r="D110">
        <v>3</v>
      </c>
      <c r="E110" s="35">
        <v>1170</v>
      </c>
      <c r="F110" s="48">
        <v>45285</v>
      </c>
      <c r="G110" t="s">
        <v>10</v>
      </c>
      <c r="H110">
        <v>132</v>
      </c>
      <c r="I110" t="str">
        <f>VLOOKUP(Продажи[[#This Row],[id товара]],Товары[],2,0)</f>
        <v>Фрукты</v>
      </c>
      <c r="J110" s="17">
        <f>AVERAGEIF(Продажи[Категория],Продажи[[#This Row],[Категория]],Продажи[цена за шт в рублях])</f>
        <v>274.16279069767444</v>
      </c>
      <c r="K110" s="16">
        <f>Продажи[[#This Row],[цена за шт в рублях]]/Продажи[[#This Row],[Средняя цена в категории за шт]]-1</f>
        <v>-0.71549749766731696</v>
      </c>
      <c r="L110" t="str">
        <f>VLOOKUP(Продажи[[#This Row],[id товара]],Товары[],3,0)</f>
        <v>Экзотик</v>
      </c>
      <c r="M110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110" s="16">
        <f>Продажи[[#This Row],[цена за шт в рублях]]/Продажи[[#This Row],[Средняя цена в категории за шт по поставщику]]-1</f>
        <v>-0.69253510716925348</v>
      </c>
      <c r="O110" s="48">
        <f>VLOOKUP(Продажи[[#This Row],[id клиента]],клиенты!$A$2:$E$435,5,0)</f>
        <v>44601</v>
      </c>
      <c r="P110">
        <f>Продажи[[#This Row],[дата создания чека]]-Продажи[[#This Row],[Дата регистрации]]</f>
        <v>684</v>
      </c>
      <c r="Q110" t="str">
        <f>VLOOKUP(Продажи[[#This Row],[id клиента]],клиенты!$A$2:$G$435,7,0)</f>
        <v>Украина</v>
      </c>
      <c r="R110">
        <f>IF(COUNTIF($H$2:H110, H110)=1, 1, 0)</f>
        <v>1</v>
      </c>
      <c r="S110" t="str">
        <f>VLOOKUP(Продажи[[#This Row],[id клиента]],клиенты!$A$2:$D$435,4,0)</f>
        <v>да</v>
      </c>
      <c r="T110" s="54">
        <f>VLOOKUP(Продажи[[#This Row],[id клиента]],клиенты!$A$2:$I$435,9,0)</f>
        <v>22.472279260780287</v>
      </c>
    </row>
    <row r="111" spans="1:20" x14ac:dyDescent="0.25">
      <c r="A111">
        <v>110</v>
      </c>
      <c r="B111">
        <v>132</v>
      </c>
      <c r="C111">
        <v>278</v>
      </c>
      <c r="D111">
        <v>3</v>
      </c>
      <c r="E111" s="35">
        <v>4170</v>
      </c>
      <c r="F111" s="48">
        <v>45013</v>
      </c>
      <c r="G111" t="s">
        <v>11</v>
      </c>
      <c r="H111">
        <v>236</v>
      </c>
      <c r="I111" t="str">
        <f>VLOOKUP(Продажи[[#This Row],[id товара]],Товары[],2,0)</f>
        <v>Рыба</v>
      </c>
      <c r="J111" s="17">
        <f>AVERAGEIF(Продажи[Категория],Продажи[[#This Row],[Категория]],Продажи[цена за шт в рублях])</f>
        <v>258.5128205128205</v>
      </c>
      <c r="K111" s="16">
        <f>Продажи[[#This Row],[цена за шт в рублях]]/Продажи[[#This Row],[Средняя цена в категории за шт]]-1</f>
        <v>7.5381868676849928E-2</v>
      </c>
      <c r="L111" t="str">
        <f>VLOOKUP(Продажи[[#This Row],[id товара]],Товары[],3,0)</f>
        <v>Меридиан</v>
      </c>
      <c r="M111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111" s="16">
        <f>Продажи[[#This Row],[цена за шт в рублях]]/Продажи[[#This Row],[Средняя цена в категории за шт по поставщику]]-1</f>
        <v>6.6576393590611627E-2</v>
      </c>
      <c r="O111" s="48">
        <f>VLOOKUP(Продажи[[#This Row],[id клиента]],клиенты!$A$2:$E$435,5,0)</f>
        <v>44820</v>
      </c>
      <c r="P111">
        <f>Продажи[[#This Row],[дата создания чека]]-Продажи[[#This Row],[Дата регистрации]]</f>
        <v>193</v>
      </c>
      <c r="Q111" t="str">
        <f>VLOOKUP(Продажи[[#This Row],[id клиента]],клиенты!$A$2:$G$435,7,0)</f>
        <v>Узбекистан</v>
      </c>
      <c r="R111">
        <f>IF(COUNTIF($H$2:H111, H111)=1, 1, 0)</f>
        <v>0</v>
      </c>
      <c r="S111" t="str">
        <f>VLOOKUP(Продажи[[#This Row],[id клиента]],клиенты!$A$2:$D$435,4,0)</f>
        <v>да</v>
      </c>
      <c r="T111" s="54">
        <f>VLOOKUP(Продажи[[#This Row],[id клиента]],клиенты!$A$2:$I$435,9,0)</f>
        <v>6.3408624229979464</v>
      </c>
    </row>
    <row r="112" spans="1:20" x14ac:dyDescent="0.25">
      <c r="A112">
        <v>111</v>
      </c>
      <c r="B112">
        <v>457</v>
      </c>
      <c r="C112">
        <v>211</v>
      </c>
      <c r="D112">
        <v>4</v>
      </c>
      <c r="E112" s="35">
        <v>4220</v>
      </c>
      <c r="F112" s="48">
        <v>45039</v>
      </c>
      <c r="G112" t="s">
        <v>17</v>
      </c>
      <c r="H112">
        <v>333</v>
      </c>
      <c r="I112" t="str">
        <f>VLOOKUP(Продажи[[#This Row],[id товара]],Товары[],2,0)</f>
        <v>Сок</v>
      </c>
      <c r="J112" s="17">
        <f>AVERAGEIF(Продажи[Категория],Продажи[[#This Row],[Категория]],Продажи[цена за шт в рублях])</f>
        <v>268.60344827586209</v>
      </c>
      <c r="K112" s="16">
        <f>Продажи[[#This Row],[цена за шт в рублях]]/Продажи[[#This Row],[Средняя цена в категории за шт]]-1</f>
        <v>-0.21445535656974135</v>
      </c>
      <c r="L112" t="str">
        <f>VLOOKUP(Продажи[[#This Row],[id товара]],Товары[],3,0)</f>
        <v>Rich</v>
      </c>
      <c r="M112" s="32">
        <f>AVERAGEIFS(Продажи[цена за шт в рублях],Продажи[Категория],Продажи[[#This Row],[Категория]],Продажи[Поставщик],Продажи[[#This Row],[Поставщик]])</f>
        <v>272.25</v>
      </c>
      <c r="N112" s="16">
        <f>Продажи[[#This Row],[цена за шт в рублях]]/Продажи[[#This Row],[Средняя цена в категории за шт по поставщику]]-1</f>
        <v>-0.22497704315886136</v>
      </c>
      <c r="O112" s="48">
        <f>VLOOKUP(Продажи[[#This Row],[id клиента]],клиенты!$A$2:$E$435,5,0)</f>
        <v>44857</v>
      </c>
      <c r="P112">
        <f>Продажи[[#This Row],[дата создания чека]]-Продажи[[#This Row],[Дата регистрации]]</f>
        <v>182</v>
      </c>
      <c r="Q112" t="str">
        <f>VLOOKUP(Продажи[[#This Row],[id клиента]],клиенты!$A$2:$G$435,7,0)</f>
        <v>Россия</v>
      </c>
      <c r="R112">
        <f>IF(COUNTIF($H$2:H112, H112)=1, 1, 0)</f>
        <v>1</v>
      </c>
      <c r="S112" t="str">
        <f>VLOOKUP(Продажи[[#This Row],[id клиента]],клиенты!$A$2:$D$435,4,0)</f>
        <v>да</v>
      </c>
      <c r="T112" s="54">
        <f>VLOOKUP(Продажи[[#This Row],[id клиента]],клиенты!$A$2:$I$435,9,0)</f>
        <v>13.404517453798768</v>
      </c>
    </row>
    <row r="113" spans="1:20" x14ac:dyDescent="0.25">
      <c r="A113">
        <v>112</v>
      </c>
      <c r="B113">
        <v>250</v>
      </c>
      <c r="C113">
        <v>97</v>
      </c>
      <c r="D113">
        <v>5</v>
      </c>
      <c r="E113" s="35">
        <v>2425</v>
      </c>
      <c r="F113" s="48">
        <v>45214</v>
      </c>
      <c r="G113" t="s">
        <v>27</v>
      </c>
      <c r="H113">
        <v>298</v>
      </c>
      <c r="I113" t="str">
        <f>VLOOKUP(Продажи[[#This Row],[id товара]],Товары[],2,0)</f>
        <v>Фрукты</v>
      </c>
      <c r="J113" s="17">
        <f>AVERAGEIF(Продажи[Категория],Продажи[[#This Row],[Категория]],Продажи[цена за шт в рублях])</f>
        <v>274.16279069767444</v>
      </c>
      <c r="K113" s="16">
        <f>Продажи[[#This Row],[цена за шт в рублях]]/Продажи[[#This Row],[Средняя цена в категории за шт]]-1</f>
        <v>-0.64619560607345838</v>
      </c>
      <c r="L113" t="str">
        <f>VLOOKUP(Продажи[[#This Row],[id товара]],Товары[],3,0)</f>
        <v>Фрукты-Ягоды</v>
      </c>
      <c r="M113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113" s="16">
        <f>Продажи[[#This Row],[цена за шт в рублях]]/Продажи[[#This Row],[Средняя цена в категории за шт по поставщику]]-1</f>
        <v>-0.654394299287411</v>
      </c>
      <c r="O113" s="48">
        <f>VLOOKUP(Продажи[[#This Row],[id клиента]],клиенты!$A$2:$E$435,5,0)</f>
        <v>44821</v>
      </c>
      <c r="P113">
        <f>Продажи[[#This Row],[дата создания чека]]-Продажи[[#This Row],[Дата регистрации]]</f>
        <v>393</v>
      </c>
      <c r="Q113" t="str">
        <f>VLOOKUP(Продажи[[#This Row],[id клиента]],клиенты!$A$2:$G$435,7,0)</f>
        <v>Украина</v>
      </c>
      <c r="R113">
        <f>IF(COUNTIF($H$2:H113, H113)=1, 1, 0)</f>
        <v>1</v>
      </c>
      <c r="S113" t="str">
        <f>VLOOKUP(Продажи[[#This Row],[id клиента]],клиенты!$A$2:$D$435,4,0)</f>
        <v>да</v>
      </c>
      <c r="T113" s="54">
        <f>VLOOKUP(Продажи[[#This Row],[id клиента]],клиенты!$A$2:$I$435,9,0)</f>
        <v>17.248459958932237</v>
      </c>
    </row>
    <row r="114" spans="1:20" x14ac:dyDescent="0.25">
      <c r="A114">
        <v>113</v>
      </c>
      <c r="B114">
        <v>195</v>
      </c>
      <c r="C114">
        <v>240</v>
      </c>
      <c r="D114">
        <v>2</v>
      </c>
      <c r="E114" s="35">
        <v>2400</v>
      </c>
      <c r="F114" s="48">
        <v>45277</v>
      </c>
      <c r="G114" t="s">
        <v>14</v>
      </c>
      <c r="H114">
        <v>273</v>
      </c>
      <c r="I114" t="str">
        <f>VLOOKUP(Продажи[[#This Row],[id товара]],Товары[],2,0)</f>
        <v>Хлеб</v>
      </c>
      <c r="J114" s="17">
        <f>AVERAGEIF(Продажи[Категория],Продажи[[#This Row],[Категория]],Продажи[цена за шт в рублях])</f>
        <v>300.31818181818181</v>
      </c>
      <c r="K114" s="16">
        <f>Продажи[[#This Row],[цена за шт в рублях]]/Продажи[[#This Row],[Средняя цена в категории за шт]]-1</f>
        <v>-0.20084758589374907</v>
      </c>
      <c r="L114" t="str">
        <f>VLOOKUP(Продажи[[#This Row],[id товара]],Товары[],3,0)</f>
        <v>Каравай</v>
      </c>
      <c r="M114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114" s="16">
        <f>Продажи[[#This Row],[цена за шт в рублях]]/Продажи[[#This Row],[Средняя цена в категории за шт по поставщику]]-1</f>
        <v>-0.27528938097634625</v>
      </c>
      <c r="O114" s="48">
        <f>VLOOKUP(Продажи[[#This Row],[id клиента]],клиенты!$A$2:$E$435,5,0)</f>
        <v>44599</v>
      </c>
      <c r="P114">
        <f>Продажи[[#This Row],[дата создания чека]]-Продажи[[#This Row],[Дата регистрации]]</f>
        <v>678</v>
      </c>
      <c r="Q114" t="str">
        <f>VLOOKUP(Продажи[[#This Row],[id клиента]],клиенты!$A$2:$G$435,7,0)</f>
        <v>Узбекистан</v>
      </c>
      <c r="R114">
        <f>IF(COUNTIF($H$2:H114, H114)=1, 1, 0)</f>
        <v>1</v>
      </c>
      <c r="S114" t="str">
        <f>VLOOKUP(Продажи[[#This Row],[id клиента]],клиенты!$A$2:$D$435,4,0)</f>
        <v>нет</v>
      </c>
      <c r="T114" s="54">
        <f>VLOOKUP(Продажи[[#This Row],[id клиента]],клиенты!$A$2:$I$435,9,0)</f>
        <v>22.767967145790553</v>
      </c>
    </row>
    <row r="115" spans="1:20" x14ac:dyDescent="0.25">
      <c r="A115">
        <v>114</v>
      </c>
      <c r="B115">
        <v>186</v>
      </c>
      <c r="C115">
        <v>244</v>
      </c>
      <c r="D115">
        <v>1</v>
      </c>
      <c r="E115" s="35">
        <v>1220</v>
      </c>
      <c r="F115" s="48">
        <v>45176</v>
      </c>
      <c r="G115" t="s">
        <v>17</v>
      </c>
      <c r="H115">
        <v>321</v>
      </c>
      <c r="I115" t="str">
        <f>VLOOKUP(Продажи[[#This Row],[id товара]],Товары[],2,0)</f>
        <v>Сыр</v>
      </c>
      <c r="J115" s="17">
        <f>AVERAGEIF(Продажи[Категория],Продажи[[#This Row],[Категория]],Продажи[цена за шт в рублях])</f>
        <v>262.63492063492066</v>
      </c>
      <c r="K115" s="16">
        <f>Продажи[[#This Row],[цена за шт в рублях]]/Продажи[[#This Row],[Средняя цена в категории за шт]]-1</f>
        <v>-7.0953704822918073E-2</v>
      </c>
      <c r="L115" t="str">
        <f>VLOOKUP(Продажи[[#This Row],[id товара]],Товары[],3,0)</f>
        <v>President</v>
      </c>
      <c r="M115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115" s="16">
        <f>Продажи[[#This Row],[цена за шт в рублях]]/Продажи[[#This Row],[Средняя цена в категории за шт по поставщику]]-1</f>
        <v>2.2108447754247029E-2</v>
      </c>
      <c r="O115" s="48">
        <f>VLOOKUP(Продажи[[#This Row],[id клиента]],клиенты!$A$2:$E$435,5,0)</f>
        <v>44756</v>
      </c>
      <c r="P115">
        <f>Продажи[[#This Row],[дата создания чека]]-Продажи[[#This Row],[Дата регистрации]]</f>
        <v>420</v>
      </c>
      <c r="Q115" t="str">
        <f>VLOOKUP(Продажи[[#This Row],[id клиента]],клиенты!$A$2:$G$435,7,0)</f>
        <v>Таджикистан</v>
      </c>
      <c r="R115">
        <f>IF(COUNTIF($H$2:H115, H115)=1, 1, 0)</f>
        <v>1</v>
      </c>
      <c r="S115" t="str">
        <f>VLOOKUP(Продажи[[#This Row],[id клиента]],клиенты!$A$2:$D$435,4,0)</f>
        <v>нет</v>
      </c>
      <c r="T115" s="54">
        <f>VLOOKUP(Продажи[[#This Row],[id клиента]],клиенты!$A$2:$I$435,9,0)</f>
        <v>16.95277207392197</v>
      </c>
    </row>
    <row r="116" spans="1:20" x14ac:dyDescent="0.25">
      <c r="A116">
        <v>115</v>
      </c>
      <c r="B116">
        <v>490</v>
      </c>
      <c r="C116">
        <v>219</v>
      </c>
      <c r="D116">
        <v>1</v>
      </c>
      <c r="E116" s="35">
        <v>1095</v>
      </c>
      <c r="F116" s="48">
        <v>44948</v>
      </c>
      <c r="G116" t="s">
        <v>20</v>
      </c>
      <c r="H116">
        <v>119</v>
      </c>
      <c r="I116" t="str">
        <f>VLOOKUP(Продажи[[#This Row],[id товара]],Товары[],2,0)</f>
        <v>Сыр</v>
      </c>
      <c r="J116" s="17">
        <f>AVERAGEIF(Продажи[Категория],Продажи[[#This Row],[Категория]],Продажи[цена за шт в рублях])</f>
        <v>262.63492063492066</v>
      </c>
      <c r="K116" s="16">
        <f>Продажи[[#This Row],[цена за шт в рублях]]/Продажи[[#This Row],[Средняя цена в категории за шт]]-1</f>
        <v>-0.16614287441073383</v>
      </c>
      <c r="L116" t="str">
        <f>VLOOKUP(Продажи[[#This Row],[id товара]],Товары[],3,0)</f>
        <v>Сырная долина</v>
      </c>
      <c r="M116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116" s="16">
        <f>Продажи[[#This Row],[цена за шт в рублях]]/Продажи[[#This Row],[Средняя цена в категории за шт по поставщику]]-1</f>
        <v>-0.19188191881918815</v>
      </c>
      <c r="O116" s="48">
        <f>VLOOKUP(Продажи[[#This Row],[id клиента]],клиенты!$A$2:$E$435,5,0)</f>
        <v>44690</v>
      </c>
      <c r="P116">
        <f>Продажи[[#This Row],[дата создания чека]]-Продажи[[#This Row],[Дата регистрации]]</f>
        <v>258</v>
      </c>
      <c r="Q116" t="str">
        <f>VLOOKUP(Продажи[[#This Row],[id клиента]],клиенты!$A$2:$G$435,7,0)</f>
        <v>Россия</v>
      </c>
      <c r="R116">
        <f>IF(COUNTIF($H$2:H116, H116)=1, 1, 0)</f>
        <v>1</v>
      </c>
      <c r="S116" t="str">
        <f>VLOOKUP(Продажи[[#This Row],[id клиента]],клиенты!$A$2:$D$435,4,0)</f>
        <v>нет</v>
      </c>
      <c r="T116" s="54">
        <f>VLOOKUP(Продажи[[#This Row],[id клиента]],клиенты!$A$2:$I$435,9,0)</f>
        <v>8.4763860369609851</v>
      </c>
    </row>
    <row r="117" spans="1:20" x14ac:dyDescent="0.25">
      <c r="A117">
        <v>116</v>
      </c>
      <c r="B117">
        <v>72</v>
      </c>
      <c r="C117">
        <v>162</v>
      </c>
      <c r="D117">
        <v>1</v>
      </c>
      <c r="E117" s="35">
        <v>810</v>
      </c>
      <c r="F117" s="48">
        <v>44959</v>
      </c>
      <c r="G117" t="s">
        <v>17</v>
      </c>
      <c r="H117">
        <v>472</v>
      </c>
      <c r="I117" t="str">
        <f>VLOOKUP(Продажи[[#This Row],[id товара]],Товары[],2,0)</f>
        <v>Конфеты</v>
      </c>
      <c r="J117" s="17">
        <f>AVERAGEIF(Продажи[Категория],Продажи[[#This Row],[Категория]],Продажи[цена за шт в рублях])</f>
        <v>267.85483870967744</v>
      </c>
      <c r="K117" s="16">
        <f>Продажи[[#This Row],[цена за шт в рублях]]/Продажи[[#This Row],[Средняя цена в категории за шт]]-1</f>
        <v>-0.39519479737460106</v>
      </c>
      <c r="L117" t="str">
        <f>VLOOKUP(Продажи[[#This Row],[id товара]],Товары[],3,0)</f>
        <v>Бабаевский</v>
      </c>
      <c r="M117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117" s="16">
        <f>Продажи[[#This Row],[цена за шт в рублях]]/Продажи[[#This Row],[Средняя цена в категории за шт по поставщику]]-1</f>
        <v>-0.352671303833062</v>
      </c>
      <c r="O117" s="48">
        <f>VLOOKUP(Продажи[[#This Row],[id клиента]],клиенты!$A$2:$E$435,5,0)</f>
        <v>44901</v>
      </c>
      <c r="P117">
        <f>Продажи[[#This Row],[дата создания чека]]-Продажи[[#This Row],[Дата регистрации]]</f>
        <v>58</v>
      </c>
      <c r="Q117" t="str">
        <f>VLOOKUP(Продажи[[#This Row],[id клиента]],клиенты!$A$2:$G$435,7,0)</f>
        <v>Украина</v>
      </c>
      <c r="R117">
        <f>IF(COUNTIF($H$2:H117, H117)=1, 1, 0)</f>
        <v>1</v>
      </c>
      <c r="S117" t="str">
        <f>VLOOKUP(Продажи[[#This Row],[id клиента]],клиенты!$A$2:$D$435,4,0)</f>
        <v>нет</v>
      </c>
      <c r="T117" s="54">
        <f>VLOOKUP(Продажи[[#This Row],[id клиента]],клиенты!$A$2:$I$435,9,0)</f>
        <v>1.9055441478439425</v>
      </c>
    </row>
    <row r="118" spans="1:20" x14ac:dyDescent="0.25">
      <c r="A118">
        <v>117</v>
      </c>
      <c r="B118">
        <v>430</v>
      </c>
      <c r="C118">
        <v>119</v>
      </c>
      <c r="D118">
        <v>3</v>
      </c>
      <c r="E118" s="35">
        <v>1785</v>
      </c>
      <c r="F118" s="48">
        <v>45241</v>
      </c>
      <c r="G118" t="s">
        <v>24</v>
      </c>
      <c r="H118">
        <v>396</v>
      </c>
      <c r="I118" t="str">
        <f>VLOOKUP(Продажи[[#This Row],[id товара]],Товары[],2,0)</f>
        <v>Чай</v>
      </c>
      <c r="J118" s="17">
        <f>AVERAGEIF(Продажи[Категория],Продажи[[#This Row],[Категория]],Продажи[цена за шт в рублях])</f>
        <v>271.18181818181819</v>
      </c>
      <c r="K118" s="16">
        <f>Продажи[[#This Row],[цена за шт в рублях]]/Продажи[[#This Row],[Средняя цена в категории за шт]]-1</f>
        <v>-0.56118002011397916</v>
      </c>
      <c r="L118" t="str">
        <f>VLOOKUP(Продажи[[#This Row],[id товара]],Товары[],3,0)</f>
        <v>Ахмад</v>
      </c>
      <c r="M118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118" s="16">
        <f>Продажи[[#This Row],[цена за шт в рублях]]/Продажи[[#This Row],[Средняя цена в категории за шт по поставщику]]-1</f>
        <v>-0.5108919030004111</v>
      </c>
      <c r="O118" s="48">
        <f>VLOOKUP(Продажи[[#This Row],[id клиента]],клиенты!$A$2:$E$435,5,0)</f>
        <v>44871</v>
      </c>
      <c r="P118">
        <f>Продажи[[#This Row],[дата создания чека]]-Продажи[[#This Row],[Дата регистрации]]</f>
        <v>370</v>
      </c>
      <c r="Q118" t="str">
        <f>VLOOKUP(Продажи[[#This Row],[id клиента]],клиенты!$A$2:$G$435,7,0)</f>
        <v>Украина</v>
      </c>
      <c r="R118">
        <f>IF(COUNTIF($H$2:H118, H118)=1, 1, 0)</f>
        <v>1</v>
      </c>
      <c r="S118" t="str">
        <f>VLOOKUP(Продажи[[#This Row],[id клиента]],клиенты!$A$2:$D$435,4,0)</f>
        <v>нет</v>
      </c>
      <c r="T118" s="54">
        <f>VLOOKUP(Продажи[[#This Row],[id клиента]],клиенты!$A$2:$I$435,9,0)</f>
        <v>12.156057494866531</v>
      </c>
    </row>
    <row r="119" spans="1:20" x14ac:dyDescent="0.25">
      <c r="A119">
        <v>118</v>
      </c>
      <c r="B119">
        <v>223</v>
      </c>
      <c r="C119">
        <v>174</v>
      </c>
      <c r="D119">
        <v>2</v>
      </c>
      <c r="E119" s="35">
        <v>1740</v>
      </c>
      <c r="F119" s="48">
        <v>45338</v>
      </c>
      <c r="G119" t="s">
        <v>14</v>
      </c>
      <c r="H119">
        <v>269</v>
      </c>
      <c r="I119" t="str">
        <f>VLOOKUP(Продажи[[#This Row],[id товара]],Товары[],2,0)</f>
        <v>Чай</v>
      </c>
      <c r="J119" s="17">
        <f>AVERAGEIF(Продажи[Категория],Продажи[[#This Row],[Категория]],Продажи[цена за шт в рублях])</f>
        <v>271.18181818181819</v>
      </c>
      <c r="K119" s="16">
        <f>Продажи[[#This Row],[цена за шт в рублях]]/Продажи[[#This Row],[Средняя цена в категории за шт]]-1</f>
        <v>-0.35836406302380153</v>
      </c>
      <c r="L119" t="str">
        <f>VLOOKUP(Продажи[[#This Row],[id товара]],Товары[],3,0)</f>
        <v>Greenfield</v>
      </c>
      <c r="M119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119" s="16">
        <f>Продажи[[#This Row],[цена за шт в рублях]]/Продажи[[#This Row],[Средняя цена в категории за шт по поставщику]]-1</f>
        <v>-0.40299438552713662</v>
      </c>
      <c r="O119" s="48">
        <f>VLOOKUP(Продажи[[#This Row],[id клиента]],клиенты!$A$2:$E$435,5,0)</f>
        <v>44720</v>
      </c>
      <c r="P119">
        <f>Продажи[[#This Row],[дата создания чека]]-Продажи[[#This Row],[Дата регистрации]]</f>
        <v>618</v>
      </c>
      <c r="Q119" t="str">
        <f>VLOOKUP(Продажи[[#This Row],[id клиента]],клиенты!$A$2:$G$435,7,0)</f>
        <v>Россия</v>
      </c>
      <c r="R119">
        <f>IF(COUNTIF($H$2:H119, H119)=1, 1, 0)</f>
        <v>1</v>
      </c>
      <c r="S119" t="str">
        <f>VLOOKUP(Продажи[[#This Row],[id клиента]],клиенты!$A$2:$D$435,4,0)</f>
        <v>нет</v>
      </c>
      <c r="T119" s="54">
        <f>VLOOKUP(Продажи[[#This Row],[id клиента]],клиенты!$A$2:$I$435,9,0)</f>
        <v>20.303901437371664</v>
      </c>
    </row>
    <row r="120" spans="1:20" x14ac:dyDescent="0.25">
      <c r="A120">
        <v>119</v>
      </c>
      <c r="B120">
        <v>164</v>
      </c>
      <c r="C120">
        <v>229</v>
      </c>
      <c r="D120">
        <v>3</v>
      </c>
      <c r="E120" s="35">
        <v>3435</v>
      </c>
      <c r="F120" s="48">
        <v>45343</v>
      </c>
      <c r="G120" t="s">
        <v>22</v>
      </c>
      <c r="H120">
        <v>16</v>
      </c>
      <c r="I120" t="str">
        <f>VLOOKUP(Продажи[[#This Row],[id товара]],Товары[],2,0)</f>
        <v>Молоко</v>
      </c>
      <c r="J120" s="17">
        <f>AVERAGEIF(Продажи[Категория],Продажи[[#This Row],[Категория]],Продажи[цена за шт в рублях])</f>
        <v>294.95238095238096</v>
      </c>
      <c r="K120" s="16">
        <f>Продажи[[#This Row],[цена за шт в рублях]]/Продажи[[#This Row],[Средняя цена в категории за шт]]-1</f>
        <v>-0.22360348724572165</v>
      </c>
      <c r="L120" t="str">
        <f>VLOOKUP(Продажи[[#This Row],[id товара]],Товары[],3,0)</f>
        <v>Беллакт</v>
      </c>
      <c r="M120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120" s="16">
        <f>Продажи[[#This Row],[цена за шт в рублях]]/Продажи[[#This Row],[Средняя цена в категории за шт по поставщику]]-1</f>
        <v>-0.29002254791431792</v>
      </c>
      <c r="O120" s="48">
        <f>VLOOKUP(Продажи[[#This Row],[id клиента]],клиенты!$A$2:$E$435,5,0)</f>
        <v>44713</v>
      </c>
      <c r="P120">
        <f>Продажи[[#This Row],[дата создания чека]]-Продажи[[#This Row],[Дата регистрации]]</f>
        <v>630</v>
      </c>
      <c r="Q120" t="str">
        <f>VLOOKUP(Продажи[[#This Row],[id клиента]],клиенты!$A$2:$G$435,7,0)</f>
        <v>Украина</v>
      </c>
      <c r="R120">
        <f>IF(COUNTIF($H$2:H120, H120)=1, 1, 0)</f>
        <v>1</v>
      </c>
      <c r="S120" t="str">
        <f>VLOOKUP(Продажи[[#This Row],[id клиента]],клиенты!$A$2:$D$435,4,0)</f>
        <v>нет</v>
      </c>
      <c r="T120" s="54">
        <f>VLOOKUP(Продажи[[#This Row],[id клиента]],клиенты!$A$2:$I$435,9,0)</f>
        <v>22.17659137577002</v>
      </c>
    </row>
    <row r="121" spans="1:20" x14ac:dyDescent="0.25">
      <c r="A121">
        <v>120</v>
      </c>
      <c r="B121">
        <v>223</v>
      </c>
      <c r="C121">
        <v>411</v>
      </c>
      <c r="D121">
        <v>5</v>
      </c>
      <c r="E121" s="35">
        <v>10275</v>
      </c>
      <c r="F121" s="48">
        <v>45244</v>
      </c>
      <c r="G121" t="s">
        <v>23</v>
      </c>
      <c r="H121">
        <v>281</v>
      </c>
      <c r="I121" t="str">
        <f>VLOOKUP(Продажи[[#This Row],[id товара]],Товары[],2,0)</f>
        <v>Чай</v>
      </c>
      <c r="J121" s="17">
        <f>AVERAGEIF(Продажи[Категория],Продажи[[#This Row],[Категория]],Продажи[цена за шт в рублях])</f>
        <v>271.18181818181819</v>
      </c>
      <c r="K121" s="16">
        <f>Продажи[[#This Row],[цена за шт в рублях]]/Продажи[[#This Row],[Средняя цена в категории за шт]]-1</f>
        <v>0.51558833389205505</v>
      </c>
      <c r="L121" t="str">
        <f>VLOOKUP(Продажи[[#This Row],[id товара]],Товары[],3,0)</f>
        <v>Greenfield</v>
      </c>
      <c r="M121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121" s="16">
        <f>Продажи[[#This Row],[цена за шт в рублях]]/Продажи[[#This Row],[Средняя цена в категории за шт по поставщику]]-1</f>
        <v>0.41016843418590154</v>
      </c>
      <c r="O121" s="48">
        <f>VLOOKUP(Продажи[[#This Row],[id клиента]],клиенты!$A$2:$E$435,5,0)</f>
        <v>44711</v>
      </c>
      <c r="P121">
        <f>Продажи[[#This Row],[дата создания чека]]-Продажи[[#This Row],[Дата регистрации]]</f>
        <v>533</v>
      </c>
      <c r="Q121" t="str">
        <f>VLOOKUP(Продажи[[#This Row],[id клиента]],клиенты!$A$2:$G$435,7,0)</f>
        <v>Узбекистан</v>
      </c>
      <c r="R121">
        <f>IF(COUNTIF($H$2:H121, H121)=1, 1, 0)</f>
        <v>1</v>
      </c>
      <c r="S121" t="str">
        <f>VLOOKUP(Продажи[[#This Row],[id клиента]],клиенты!$A$2:$D$435,4,0)</f>
        <v>нет</v>
      </c>
      <c r="T121" s="54">
        <f>VLOOKUP(Продажи[[#This Row],[id клиента]],клиенты!$A$2:$I$435,9,0)</f>
        <v>17.511293634496919</v>
      </c>
    </row>
    <row r="122" spans="1:20" x14ac:dyDescent="0.25">
      <c r="A122">
        <v>121</v>
      </c>
      <c r="B122">
        <v>244</v>
      </c>
      <c r="C122">
        <v>245</v>
      </c>
      <c r="D122">
        <v>4</v>
      </c>
      <c r="E122" s="35">
        <v>4900</v>
      </c>
      <c r="F122" s="48">
        <v>44960</v>
      </c>
      <c r="G122" t="s">
        <v>25</v>
      </c>
      <c r="H122">
        <v>149</v>
      </c>
      <c r="I122" t="str">
        <f>VLOOKUP(Продажи[[#This Row],[id товара]],Товары[],2,0)</f>
        <v>Мясо</v>
      </c>
      <c r="J122" s="17">
        <f>AVERAGEIF(Продажи[Категория],Продажи[[#This Row],[Категория]],Продажи[цена за шт в рублях])</f>
        <v>271.74545454545455</v>
      </c>
      <c r="K122" s="16">
        <f>Продажи[[#This Row],[цена за шт в рублях]]/Продажи[[#This Row],[Средняя цена в категории за шт]]-1</f>
        <v>-9.8420982202595986E-2</v>
      </c>
      <c r="L122" t="str">
        <f>VLOOKUP(Продажи[[#This Row],[id товара]],Товары[],3,0)</f>
        <v>Сава</v>
      </c>
      <c r="M122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122" s="16">
        <f>Продажи[[#This Row],[цена за шт в рублях]]/Продажи[[#This Row],[Средняя цена в категории за шт по поставщику]]-1</f>
        <v>0.15124816446402356</v>
      </c>
      <c r="O122" s="48">
        <f>VLOOKUP(Продажи[[#This Row],[id клиента]],клиенты!$A$2:$E$435,5,0)</f>
        <v>44882</v>
      </c>
      <c r="P122">
        <f>Продажи[[#This Row],[дата создания чека]]-Продажи[[#This Row],[Дата регистрации]]</f>
        <v>78</v>
      </c>
      <c r="Q122" t="str">
        <f>VLOOKUP(Продажи[[#This Row],[id клиента]],клиенты!$A$2:$G$435,7,0)</f>
        <v>Таджикистан</v>
      </c>
      <c r="R122">
        <f>IF(COUNTIF($H$2:H122, H122)=1, 1, 0)</f>
        <v>1</v>
      </c>
      <c r="S122" t="str">
        <f>VLOOKUP(Продажи[[#This Row],[id клиента]],клиенты!$A$2:$D$435,4,0)</f>
        <v>да</v>
      </c>
      <c r="T122" s="54">
        <f>VLOOKUP(Продажи[[#This Row],[id клиента]],клиенты!$A$2:$I$435,9,0)</f>
        <v>10.677618069815194</v>
      </c>
    </row>
    <row r="123" spans="1:20" x14ac:dyDescent="0.25">
      <c r="A123">
        <v>122</v>
      </c>
      <c r="B123">
        <v>393</v>
      </c>
      <c r="C123">
        <v>113</v>
      </c>
      <c r="D123">
        <v>5</v>
      </c>
      <c r="E123" s="35">
        <v>2825</v>
      </c>
      <c r="F123" s="48">
        <v>45433</v>
      </c>
      <c r="G123" t="s">
        <v>19</v>
      </c>
      <c r="H123">
        <v>71</v>
      </c>
      <c r="I123" t="str">
        <f>VLOOKUP(Продажи[[#This Row],[id товара]],Товары[],2,0)</f>
        <v>Рыба</v>
      </c>
      <c r="J123" s="17">
        <f>AVERAGEIF(Продажи[Категория],Продажи[[#This Row],[Категория]],Продажи[цена за шт в рублях])</f>
        <v>258.5128205128205</v>
      </c>
      <c r="K123" s="16">
        <f>Продажи[[#This Row],[цена за шт в рублях]]/Продажи[[#This Row],[Средняя цена в категории за шт]]-1</f>
        <v>-0.56288434834358259</v>
      </c>
      <c r="L123" t="str">
        <f>VLOOKUP(Продажи[[#This Row],[id товара]],Товары[],3,0)</f>
        <v>Русское море</v>
      </c>
      <c r="M123" s="32">
        <f>AVERAGEIFS(Продажи[цена за шт в рублях],Продажи[Категория],Продажи[[#This Row],[Категория]],Продажи[Поставщик],Продажи[[#This Row],[Поставщик]])</f>
        <v>292.66666666666669</v>
      </c>
      <c r="N123" s="16">
        <f>Продажи[[#This Row],[цена за шт в рублях]]/Продажи[[#This Row],[Средняя цена в категории за шт по поставщику]]-1</f>
        <v>-0.61389521640091127</v>
      </c>
      <c r="O123" s="48">
        <f>VLOOKUP(Продажи[[#This Row],[id клиента]],клиенты!$A$2:$E$435,5,0)</f>
        <v>44762</v>
      </c>
      <c r="P123">
        <f>Продажи[[#This Row],[дата создания чека]]-Продажи[[#This Row],[Дата регистрации]]</f>
        <v>671</v>
      </c>
      <c r="Q123" t="str">
        <f>VLOOKUP(Продажи[[#This Row],[id клиента]],клиенты!$A$2:$G$435,7,0)</f>
        <v>Украина</v>
      </c>
      <c r="R123">
        <f>IF(COUNTIF($H$2:H123, H123)=1, 1, 0)</f>
        <v>0</v>
      </c>
      <c r="S123" t="str">
        <f>VLOOKUP(Продажи[[#This Row],[id клиента]],клиенты!$A$2:$D$435,4,0)</f>
        <v>да</v>
      </c>
      <c r="T123" s="54">
        <f>VLOOKUP(Продажи[[#This Row],[id клиента]],клиенты!$A$2:$I$435,9,0)</f>
        <v>22.04517453798768</v>
      </c>
    </row>
    <row r="124" spans="1:20" x14ac:dyDescent="0.25">
      <c r="A124">
        <v>123</v>
      </c>
      <c r="B124">
        <v>166</v>
      </c>
      <c r="C124">
        <v>73</v>
      </c>
      <c r="D124">
        <v>4</v>
      </c>
      <c r="E124" s="35">
        <v>1460</v>
      </c>
      <c r="F124" s="48">
        <v>45316</v>
      </c>
      <c r="G124" t="s">
        <v>24</v>
      </c>
      <c r="H124">
        <v>126</v>
      </c>
      <c r="I124" t="str">
        <f>VLOOKUP(Продажи[[#This Row],[id товара]],Товары[],2,0)</f>
        <v>Сок</v>
      </c>
      <c r="J124" s="17">
        <f>AVERAGEIF(Продажи[Категория],Продажи[[#This Row],[Категория]],Продажи[цена за шт в рублях])</f>
        <v>268.60344827586209</v>
      </c>
      <c r="K124" s="16">
        <f>Продажи[[#This Row],[цена за шт в рублях]]/Продажи[[#This Row],[Средняя цена в категории за шт]]-1</f>
        <v>-0.72822389113550301</v>
      </c>
      <c r="L124" t="str">
        <f>VLOOKUP(Продажи[[#This Row],[id товара]],Товары[],3,0)</f>
        <v>Добрый</v>
      </c>
      <c r="M124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124" s="16">
        <f>Продажи[[#This Row],[цена за шт в рублях]]/Продажи[[#This Row],[Средняя цена в категории за шт по поставщику]]-1</f>
        <v>-0.69936353425683262</v>
      </c>
      <c r="O124" s="48">
        <f>VLOOKUP(Продажи[[#This Row],[id клиента]],клиенты!$A$2:$E$435,5,0)</f>
        <v>44822</v>
      </c>
      <c r="P124">
        <f>Продажи[[#This Row],[дата создания чека]]-Продажи[[#This Row],[Дата регистрации]]</f>
        <v>494</v>
      </c>
      <c r="Q124" t="str">
        <f>VLOOKUP(Продажи[[#This Row],[id клиента]],клиенты!$A$2:$G$435,7,0)</f>
        <v>Узбекистан</v>
      </c>
      <c r="R124">
        <f>IF(COUNTIF($H$2:H124, H124)=1, 1, 0)</f>
        <v>0</v>
      </c>
      <c r="S124" t="str">
        <f>VLOOKUP(Продажи[[#This Row],[id клиента]],клиенты!$A$2:$D$435,4,0)</f>
        <v>да</v>
      </c>
      <c r="T124" s="54">
        <f>VLOOKUP(Продажи[[#This Row],[id клиента]],клиенты!$A$2:$I$435,9,0)</f>
        <v>16.229979466119097</v>
      </c>
    </row>
    <row r="125" spans="1:20" x14ac:dyDescent="0.25">
      <c r="A125">
        <v>124</v>
      </c>
      <c r="B125">
        <v>249</v>
      </c>
      <c r="C125">
        <v>368</v>
      </c>
      <c r="D125">
        <v>2</v>
      </c>
      <c r="E125" s="35">
        <v>3680</v>
      </c>
      <c r="F125" s="48">
        <v>45313</v>
      </c>
      <c r="G125" t="s">
        <v>22</v>
      </c>
      <c r="H125">
        <v>380</v>
      </c>
      <c r="I125" t="str">
        <f>VLOOKUP(Продажи[[#This Row],[id товара]],Товары[],2,0)</f>
        <v>Чай</v>
      </c>
      <c r="J125" s="17">
        <f>AVERAGEIF(Продажи[Категория],Продажи[[#This Row],[Категория]],Продажи[цена за шт в рублях])</f>
        <v>271.18181818181819</v>
      </c>
      <c r="K125" s="16">
        <f>Продажи[[#This Row],[цена за шт в рублях]]/Продажи[[#This Row],[Средняя цена в категории за шт]]-1</f>
        <v>0.35702313107609784</v>
      </c>
      <c r="L125" t="str">
        <f>VLOOKUP(Продажи[[#This Row],[id товара]],Товары[],3,0)</f>
        <v>Lipton</v>
      </c>
      <c r="M125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125" s="16">
        <f>Продажи[[#This Row],[цена за шт в рублях]]/Продажи[[#This Row],[Средняя цена в категории за шт по поставщику]]-1</f>
        <v>0.41452559174590342</v>
      </c>
      <c r="O125" s="48">
        <f>VLOOKUP(Продажи[[#This Row],[id клиента]],клиенты!$A$2:$E$435,5,0)</f>
        <v>44563</v>
      </c>
      <c r="P125">
        <f>Продажи[[#This Row],[дата создания чека]]-Продажи[[#This Row],[Дата регистрации]]</f>
        <v>750</v>
      </c>
      <c r="Q125" t="str">
        <f>VLOOKUP(Продажи[[#This Row],[id клиента]],клиенты!$A$2:$G$435,7,0)</f>
        <v>Россия</v>
      </c>
      <c r="R125">
        <f>IF(COUNTIF($H$2:H125, H125)=1, 1, 0)</f>
        <v>1</v>
      </c>
      <c r="S125" t="str">
        <f>VLOOKUP(Продажи[[#This Row],[id клиента]],клиенты!$A$2:$D$435,4,0)</f>
        <v>да</v>
      </c>
      <c r="T125" s="54">
        <f>VLOOKUP(Продажи[[#This Row],[id клиента]],клиенты!$A$2:$I$435,9,0)</f>
        <v>25.82340862422998</v>
      </c>
    </row>
    <row r="126" spans="1:20" x14ac:dyDescent="0.25">
      <c r="A126">
        <v>125</v>
      </c>
      <c r="B126">
        <v>83</v>
      </c>
      <c r="C126">
        <v>351</v>
      </c>
      <c r="D126">
        <v>1</v>
      </c>
      <c r="E126" s="35">
        <v>1755</v>
      </c>
      <c r="F126" s="48">
        <v>45361</v>
      </c>
      <c r="G126" t="s">
        <v>15</v>
      </c>
      <c r="H126">
        <v>11</v>
      </c>
      <c r="I126" t="str">
        <f>VLOOKUP(Продажи[[#This Row],[id товара]],Товары[],2,0)</f>
        <v>Сок</v>
      </c>
      <c r="J126" s="17">
        <f>AVERAGEIF(Продажи[Категория],Продажи[[#This Row],[Категория]],Продажи[цена за шт в рублях])</f>
        <v>268.60344827586209</v>
      </c>
      <c r="K126" s="16">
        <f>Продажи[[#This Row],[цена за шт в рублях]]/Продажи[[#This Row],[Средняя цена в категории за шт]]-1</f>
        <v>0.30675909878682828</v>
      </c>
      <c r="L126" t="str">
        <f>VLOOKUP(Продажи[[#This Row],[id товара]],Товары[],3,0)</f>
        <v>Сады Придонья</v>
      </c>
      <c r="M126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126" s="16">
        <f>Продажи[[#This Row],[цена за шт в рублях]]/Продажи[[#This Row],[Средняя цена в категории за шт по поставщику]]-1</f>
        <v>0.38090128755364794</v>
      </c>
      <c r="O126" s="48">
        <f>VLOOKUP(Продажи[[#This Row],[id клиента]],клиенты!$A$2:$E$435,5,0)</f>
        <v>44690</v>
      </c>
      <c r="P126">
        <f>Продажи[[#This Row],[дата создания чека]]-Продажи[[#This Row],[Дата регистрации]]</f>
        <v>671</v>
      </c>
      <c r="Q126" t="str">
        <f>VLOOKUP(Продажи[[#This Row],[id клиента]],клиенты!$A$2:$G$435,7,0)</f>
        <v>Таджикистан</v>
      </c>
      <c r="R126">
        <f>IF(COUNTIF($H$2:H126, H126)=1, 1, 0)</f>
        <v>0</v>
      </c>
      <c r="S126" t="str">
        <f>VLOOKUP(Продажи[[#This Row],[id клиента]],клиенты!$A$2:$D$435,4,0)</f>
        <v>нет</v>
      </c>
      <c r="T126" s="54">
        <f>VLOOKUP(Продажи[[#This Row],[id клиента]],клиенты!$A$2:$I$435,9,0)</f>
        <v>22.04517453798768</v>
      </c>
    </row>
    <row r="127" spans="1:20" x14ac:dyDescent="0.25">
      <c r="A127">
        <v>126</v>
      </c>
      <c r="B127">
        <v>242</v>
      </c>
      <c r="C127">
        <v>221</v>
      </c>
      <c r="D127">
        <v>5</v>
      </c>
      <c r="E127" s="35">
        <v>5525</v>
      </c>
      <c r="F127" s="48">
        <v>45025</v>
      </c>
      <c r="G127" t="s">
        <v>20</v>
      </c>
      <c r="H127">
        <v>114</v>
      </c>
      <c r="I127" t="str">
        <f>VLOOKUP(Продажи[[#This Row],[id товара]],Товары[],2,0)</f>
        <v>Овощи</v>
      </c>
      <c r="J127" s="17">
        <f>AVERAGEIF(Продажи[Категория],Продажи[[#This Row],[Категория]],Продажи[цена за шт в рублях])</f>
        <v>250.48780487804879</v>
      </c>
      <c r="K127" s="16">
        <f>Продажи[[#This Row],[цена за шт в рублях]]/Продажи[[#This Row],[Средняя цена в категории за шт]]-1</f>
        <v>-0.11772151898734184</v>
      </c>
      <c r="L127" t="str">
        <f>VLOOKUP(Продажи[[#This Row],[id товара]],Товары[],3,0)</f>
        <v>Овощной ряд</v>
      </c>
      <c r="M127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127" s="16">
        <f>Продажи[[#This Row],[цена за шт в рублях]]/Продажи[[#This Row],[Средняя цена в категории за шт по поставщику]]-1</f>
        <v>-0.27260406582768637</v>
      </c>
      <c r="O127" s="48">
        <f>VLOOKUP(Продажи[[#This Row],[id клиента]],клиенты!$A$2:$E$435,5,0)</f>
        <v>44889</v>
      </c>
      <c r="P127">
        <f>Продажи[[#This Row],[дата создания чека]]-Продажи[[#This Row],[Дата регистрации]]</f>
        <v>136</v>
      </c>
      <c r="Q127" t="str">
        <f>VLOOKUP(Продажи[[#This Row],[id клиента]],клиенты!$A$2:$G$435,7,0)</f>
        <v>Россия</v>
      </c>
      <c r="R127">
        <f>IF(COUNTIF($H$2:H127, H127)=1, 1, 0)</f>
        <v>1</v>
      </c>
      <c r="S127" t="str">
        <f>VLOOKUP(Продажи[[#This Row],[id клиента]],клиенты!$A$2:$D$435,4,0)</f>
        <v>да</v>
      </c>
      <c r="T127" s="54">
        <f>VLOOKUP(Продажи[[#This Row],[id клиента]],клиенты!$A$2:$I$435,9,0)</f>
        <v>4.4681724845995889</v>
      </c>
    </row>
    <row r="128" spans="1:20" x14ac:dyDescent="0.25">
      <c r="A128">
        <v>127</v>
      </c>
      <c r="B128">
        <v>281</v>
      </c>
      <c r="C128">
        <v>442</v>
      </c>
      <c r="D128">
        <v>5</v>
      </c>
      <c r="E128" s="35">
        <v>11050</v>
      </c>
      <c r="F128" s="48">
        <v>45379</v>
      </c>
      <c r="G128" t="s">
        <v>10</v>
      </c>
      <c r="H128">
        <v>381</v>
      </c>
      <c r="I128" t="str">
        <f>VLOOKUP(Продажи[[#This Row],[id товара]],Товары[],2,0)</f>
        <v>Чай</v>
      </c>
      <c r="J128" s="17">
        <f>AVERAGEIF(Продажи[Категория],Продажи[[#This Row],[Категория]],Продажи[цена за шт в рублях])</f>
        <v>271.18181818181819</v>
      </c>
      <c r="K128" s="16">
        <f>Продажи[[#This Row],[цена за шт в рублях]]/Продажи[[#This Row],[Средняя цена в категории за шт]]-1</f>
        <v>0.6299027824337915</v>
      </c>
      <c r="L128" t="str">
        <f>VLOOKUP(Продажи[[#This Row],[id товара]],Товары[],3,0)</f>
        <v>Lipton</v>
      </c>
      <c r="M128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128" s="16">
        <f>Продажи[[#This Row],[цена за шт в рублях]]/Продажи[[#This Row],[Средняя цена в категории за шт по поставщику]]-1</f>
        <v>0.69896823791219931</v>
      </c>
      <c r="O128" s="48">
        <f>VLOOKUP(Продажи[[#This Row],[id клиента]],клиенты!$A$2:$E$435,5,0)</f>
        <v>44714</v>
      </c>
      <c r="P128">
        <f>Продажи[[#This Row],[дата создания чека]]-Продажи[[#This Row],[Дата регистрации]]</f>
        <v>665</v>
      </c>
      <c r="Q128" t="str">
        <f>VLOOKUP(Продажи[[#This Row],[id клиента]],клиенты!$A$2:$G$435,7,0)</f>
        <v>Узбекистан</v>
      </c>
      <c r="R128">
        <f>IF(COUNTIF($H$2:H128, H128)=1, 1, 0)</f>
        <v>1</v>
      </c>
      <c r="S128" t="str">
        <f>VLOOKUP(Продажи[[#This Row],[id клиента]],клиенты!$A$2:$D$435,4,0)</f>
        <v>нет</v>
      </c>
      <c r="T128" s="54">
        <f>VLOOKUP(Продажи[[#This Row],[id клиента]],клиенты!$A$2:$I$435,9,0)</f>
        <v>21.848049281314168</v>
      </c>
    </row>
    <row r="129" spans="1:20" x14ac:dyDescent="0.25">
      <c r="A129">
        <v>128</v>
      </c>
      <c r="B129">
        <v>236</v>
      </c>
      <c r="C129">
        <v>465</v>
      </c>
      <c r="D129">
        <v>1</v>
      </c>
      <c r="E129" s="35">
        <v>2325</v>
      </c>
      <c r="F129" s="48">
        <v>45176</v>
      </c>
      <c r="G129" t="s">
        <v>26</v>
      </c>
      <c r="H129">
        <v>342</v>
      </c>
      <c r="I129" t="str">
        <f>VLOOKUP(Продажи[[#This Row],[id товара]],Товары[],2,0)</f>
        <v>Печенье</v>
      </c>
      <c r="J129" s="17">
        <f>AVERAGEIF(Продажи[Категория],Продажи[[#This Row],[Категория]],Продажи[цена за шт в рублях])</f>
        <v>283.468085106383</v>
      </c>
      <c r="K129" s="16">
        <f>Продажи[[#This Row],[цена за шт в рублях]]/Продажи[[#This Row],[Средняя цена в категории за шт]]-1</f>
        <v>0.64039630713803186</v>
      </c>
      <c r="L129" t="str">
        <f>VLOOKUP(Продажи[[#This Row],[id товара]],Товары[],3,0)</f>
        <v>Посиделкино</v>
      </c>
      <c r="M129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129" s="16">
        <f>Продажи[[#This Row],[цена за шт в рублях]]/Продажи[[#This Row],[Средняя цена в категории за шт по поставщику]]-1</f>
        <v>0.44573205200678356</v>
      </c>
      <c r="O129" s="48">
        <f>VLOOKUP(Продажи[[#This Row],[id клиента]],клиенты!$A$2:$E$435,5,0)</f>
        <v>44570</v>
      </c>
      <c r="P129">
        <f>Продажи[[#This Row],[дата создания чека]]-Продажи[[#This Row],[Дата регистрации]]</f>
        <v>606</v>
      </c>
      <c r="Q129" t="str">
        <f>VLOOKUP(Продажи[[#This Row],[id клиента]],клиенты!$A$2:$G$435,7,0)</f>
        <v>Таджикистан</v>
      </c>
      <c r="R129">
        <f>IF(COUNTIF($H$2:H129, H129)=1, 1, 0)</f>
        <v>1</v>
      </c>
      <c r="S129" t="str">
        <f>VLOOKUP(Продажи[[#This Row],[id клиента]],клиенты!$A$2:$D$435,4,0)</f>
        <v>да</v>
      </c>
      <c r="T129" s="54">
        <f>VLOOKUP(Продажи[[#This Row],[id клиента]],клиенты!$A$2:$I$435,9,0)</f>
        <v>27.400410677618069</v>
      </c>
    </row>
    <row r="130" spans="1:20" x14ac:dyDescent="0.25">
      <c r="A130">
        <v>129</v>
      </c>
      <c r="B130">
        <v>379</v>
      </c>
      <c r="C130">
        <v>380</v>
      </c>
      <c r="D130">
        <v>1</v>
      </c>
      <c r="E130" s="35">
        <v>1900</v>
      </c>
      <c r="F130" s="48">
        <v>45260</v>
      </c>
      <c r="G130" t="s">
        <v>26</v>
      </c>
      <c r="H130">
        <v>276</v>
      </c>
      <c r="I130" t="str">
        <f>VLOOKUP(Продажи[[#This Row],[id товара]],Товары[],2,0)</f>
        <v>Йогурт</v>
      </c>
      <c r="J130" s="17">
        <f>AVERAGEIF(Продажи[Категория],Продажи[[#This Row],[Категория]],Продажи[цена за шт в рублях])</f>
        <v>263.25423728813558</v>
      </c>
      <c r="K130" s="16">
        <f>Продажи[[#This Row],[цена за шт в рублях]]/Продажи[[#This Row],[Средняя цена в категории за шт]]-1</f>
        <v>0.44347154262168442</v>
      </c>
      <c r="L130" t="str">
        <f>VLOOKUP(Продажи[[#This Row],[id товара]],Товары[],3,0)</f>
        <v>Активиа</v>
      </c>
      <c r="M130" s="32">
        <f>AVERAGEIFS(Продажи[цена за шт в рублях],Продажи[Категория],Продажи[[#This Row],[Категория]],Продажи[Поставщик],Продажи[[#This Row],[Поставщик]])</f>
        <v>293.66666666666669</v>
      </c>
      <c r="N130" s="16">
        <f>Продажи[[#This Row],[цена за шт в рублях]]/Продажи[[#This Row],[Средняя цена в категории за шт по поставщику]]-1</f>
        <v>0.29398410896708271</v>
      </c>
      <c r="O130" s="48">
        <f>VLOOKUP(Продажи[[#This Row],[id клиента]],клиенты!$A$2:$E$435,5,0)</f>
        <v>44632</v>
      </c>
      <c r="P130">
        <f>Продажи[[#This Row],[дата создания чека]]-Продажи[[#This Row],[Дата регистрации]]</f>
        <v>628</v>
      </c>
      <c r="Q130" t="str">
        <f>VLOOKUP(Продажи[[#This Row],[id клиента]],клиенты!$A$2:$G$435,7,0)</f>
        <v>Таджикистан</v>
      </c>
      <c r="R130">
        <f>IF(COUNTIF($H$2:H130, H130)=1, 1, 0)</f>
        <v>1</v>
      </c>
      <c r="S130" t="str">
        <f>VLOOKUP(Продажи[[#This Row],[id клиента]],клиенты!$A$2:$D$435,4,0)</f>
        <v>нет</v>
      </c>
      <c r="T130" s="54">
        <f>VLOOKUP(Продажи[[#This Row],[id клиента]],клиенты!$A$2:$I$435,9,0)</f>
        <v>20.632443531827516</v>
      </c>
    </row>
    <row r="131" spans="1:20" x14ac:dyDescent="0.25">
      <c r="A131">
        <v>130</v>
      </c>
      <c r="B131">
        <v>37</v>
      </c>
      <c r="C131">
        <v>313</v>
      </c>
      <c r="D131">
        <v>1</v>
      </c>
      <c r="E131" s="35">
        <v>1565</v>
      </c>
      <c r="F131" s="48">
        <v>45009</v>
      </c>
      <c r="G131" t="s">
        <v>16</v>
      </c>
      <c r="H131">
        <v>293</v>
      </c>
      <c r="I131" t="str">
        <f>VLOOKUP(Продажи[[#This Row],[id товара]],Товары[],2,0)</f>
        <v>Соль</v>
      </c>
      <c r="J131" s="17">
        <f>AVERAGEIF(Продажи[Категория],Продажи[[#This Row],[Категория]],Продажи[цена за шт в рублях])</f>
        <v>264.8679245283019</v>
      </c>
      <c r="K131" s="16">
        <f>Продажи[[#This Row],[цена за шт в рублях]]/Продажи[[#This Row],[Средняя цена в категории за шт]]-1</f>
        <v>0.18172104288360158</v>
      </c>
      <c r="L131" t="str">
        <f>VLOOKUP(Продажи[[#This Row],[id товара]],Товары[],3,0)</f>
        <v>Илецкая</v>
      </c>
      <c r="M131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131" s="16">
        <f>Продажи[[#This Row],[цена за шт в рублях]]/Продажи[[#This Row],[Средняя цена в категории за шт по поставщику]]-1</f>
        <v>0.31420573827851639</v>
      </c>
      <c r="O131" s="48">
        <f>VLOOKUP(Продажи[[#This Row],[id клиента]],клиенты!$A$2:$E$435,5,0)</f>
        <v>44573</v>
      </c>
      <c r="P131">
        <f>Продажи[[#This Row],[дата создания чека]]-Продажи[[#This Row],[Дата регистрации]]</f>
        <v>436</v>
      </c>
      <c r="Q131" t="str">
        <f>VLOOKUP(Продажи[[#This Row],[id клиента]],клиенты!$A$2:$G$435,7,0)</f>
        <v>Беларусь</v>
      </c>
      <c r="R131">
        <f>IF(COUNTIF($H$2:H131, H131)=1, 1, 0)</f>
        <v>1</v>
      </c>
      <c r="S131" t="str">
        <f>VLOOKUP(Продажи[[#This Row],[id клиента]],клиенты!$A$2:$D$435,4,0)</f>
        <v>да</v>
      </c>
      <c r="T131" s="54">
        <f>VLOOKUP(Продажи[[#This Row],[id клиента]],клиенты!$A$2:$I$435,9,0)</f>
        <v>28.123203285420946</v>
      </c>
    </row>
    <row r="132" spans="1:20" x14ac:dyDescent="0.25">
      <c r="A132">
        <v>131</v>
      </c>
      <c r="B132">
        <v>431</v>
      </c>
      <c r="C132">
        <v>141</v>
      </c>
      <c r="D132">
        <v>5</v>
      </c>
      <c r="E132" s="35">
        <v>3525</v>
      </c>
      <c r="F132" s="48">
        <v>45029</v>
      </c>
      <c r="G132" t="s">
        <v>18</v>
      </c>
      <c r="H132">
        <v>386</v>
      </c>
      <c r="I132" t="str">
        <f>VLOOKUP(Продажи[[#This Row],[id товара]],Товары[],2,0)</f>
        <v>Овощи</v>
      </c>
      <c r="J132" s="17">
        <f>AVERAGEIF(Продажи[Категория],Продажи[[#This Row],[Категория]],Продажи[цена за шт в рублях])</f>
        <v>250.48780487804879</v>
      </c>
      <c r="K132" s="16">
        <f>Продажи[[#This Row],[цена за шт в рублях]]/Продажи[[#This Row],[Средняя цена в категории за шт]]-1</f>
        <v>-0.43709834469328146</v>
      </c>
      <c r="L132" t="str">
        <f>VLOOKUP(Продажи[[#This Row],[id товара]],Товары[],3,0)</f>
        <v>Гавриш</v>
      </c>
      <c r="M132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132" s="16">
        <f>Продажи[[#This Row],[цена за шт в рублях]]/Продажи[[#This Row],[Средняя цена в категории за шт по поставщику]]-1</f>
        <v>-0.4306864064602961</v>
      </c>
      <c r="O132" s="48">
        <f>VLOOKUP(Продажи[[#This Row],[id клиента]],клиенты!$A$2:$E$435,5,0)</f>
        <v>44734</v>
      </c>
      <c r="P132">
        <f>Продажи[[#This Row],[дата создания чека]]-Продажи[[#This Row],[Дата регистрации]]</f>
        <v>295</v>
      </c>
      <c r="Q132" t="str">
        <f>VLOOKUP(Продажи[[#This Row],[id клиента]],клиенты!$A$2:$G$435,7,0)</f>
        <v>Узбекистан</v>
      </c>
      <c r="R132">
        <f>IF(COUNTIF($H$2:H132, H132)=1, 1, 0)</f>
        <v>1</v>
      </c>
      <c r="S132" t="str">
        <f>VLOOKUP(Продажи[[#This Row],[id клиента]],клиенты!$A$2:$D$435,4,0)</f>
        <v>да</v>
      </c>
      <c r="T132" s="54">
        <f>VLOOKUP(Продажи[[#This Row],[id клиента]],клиенты!$A$2:$I$435,9,0)</f>
        <v>20.205338809034906</v>
      </c>
    </row>
    <row r="133" spans="1:20" x14ac:dyDescent="0.25">
      <c r="A133">
        <v>132</v>
      </c>
      <c r="B133">
        <v>237</v>
      </c>
      <c r="C133">
        <v>348</v>
      </c>
      <c r="D133">
        <v>2</v>
      </c>
      <c r="E133" s="35">
        <v>3480</v>
      </c>
      <c r="F133" s="48">
        <v>45384</v>
      </c>
      <c r="G133" t="s">
        <v>9</v>
      </c>
      <c r="H133">
        <v>362</v>
      </c>
      <c r="I133" t="str">
        <f>VLOOKUP(Продажи[[#This Row],[id товара]],Товары[],2,0)</f>
        <v>Конфеты</v>
      </c>
      <c r="J133" s="17">
        <f>AVERAGEIF(Продажи[Категория],Продажи[[#This Row],[Категория]],Продажи[цена за шт в рублях])</f>
        <v>267.85483870967744</v>
      </c>
      <c r="K133" s="16">
        <f>Продажи[[#This Row],[цена за шт в рублях]]/Продажи[[#This Row],[Средняя цена в категории за шт]]-1</f>
        <v>0.29921117601011615</v>
      </c>
      <c r="L133" t="str">
        <f>VLOOKUP(Продажи[[#This Row],[id товара]],Товары[],3,0)</f>
        <v>Рот Фронт</v>
      </c>
      <c r="M133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133" s="16">
        <f>Продажи[[#This Row],[цена за шт в рублях]]/Продажи[[#This Row],[Средняя цена в категории за шт по поставщику]]-1</f>
        <v>0.20733520568313235</v>
      </c>
      <c r="O133" s="48">
        <f>VLOOKUP(Продажи[[#This Row],[id клиента]],клиенты!$A$2:$E$435,5,0)</f>
        <v>44916</v>
      </c>
      <c r="P133">
        <f>Продажи[[#This Row],[дата создания чека]]-Продажи[[#This Row],[Дата регистрации]]</f>
        <v>468</v>
      </c>
      <c r="Q133" t="str">
        <f>VLOOKUP(Продажи[[#This Row],[id клиента]],клиенты!$A$2:$G$435,7,0)</f>
        <v>Россия</v>
      </c>
      <c r="R133">
        <f>IF(COUNTIF($H$2:H133, H133)=1, 1, 0)</f>
        <v>1</v>
      </c>
      <c r="S133" t="str">
        <f>VLOOKUP(Продажи[[#This Row],[id клиента]],клиенты!$A$2:$D$435,4,0)</f>
        <v>нет</v>
      </c>
      <c r="T133" s="54">
        <f>VLOOKUP(Продажи[[#This Row],[id клиента]],клиенты!$A$2:$I$435,9,0)</f>
        <v>16.164271047227928</v>
      </c>
    </row>
    <row r="134" spans="1:20" x14ac:dyDescent="0.25">
      <c r="A134">
        <v>133</v>
      </c>
      <c r="B134">
        <v>452</v>
      </c>
      <c r="C134">
        <v>349</v>
      </c>
      <c r="D134">
        <v>1</v>
      </c>
      <c r="E134" s="35">
        <v>1745</v>
      </c>
      <c r="F134" s="48">
        <v>45000</v>
      </c>
      <c r="G134" t="s">
        <v>11</v>
      </c>
      <c r="H134">
        <v>283</v>
      </c>
      <c r="I134" t="str">
        <f>VLOOKUP(Продажи[[#This Row],[id товара]],Товары[],2,0)</f>
        <v>Фрукты</v>
      </c>
      <c r="J134" s="17">
        <f>AVERAGEIF(Продажи[Категория],Продажи[[#This Row],[Категория]],Продажи[цена за шт в рублях])</f>
        <v>274.16279069767444</v>
      </c>
      <c r="K134" s="16">
        <f>Продажи[[#This Row],[цена за шт в рублях]]/Продажи[[#This Row],[Средняя цена в категории за шт]]-1</f>
        <v>0.27296632453982528</v>
      </c>
      <c r="L134" t="str">
        <f>VLOOKUP(Продажи[[#This Row],[id товара]],Товары[],3,0)</f>
        <v>Экзотик</v>
      </c>
      <c r="M134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134" s="16">
        <f>Продажи[[#This Row],[цена за шт в рублях]]/Продажи[[#This Row],[Средняя цена в категории за шт по поставщику]]-1</f>
        <v>0.37570830253757093</v>
      </c>
      <c r="O134" s="48">
        <f>VLOOKUP(Продажи[[#This Row],[id клиента]],клиенты!$A$2:$E$435,5,0)</f>
        <v>44889</v>
      </c>
      <c r="P134">
        <f>Продажи[[#This Row],[дата создания чека]]-Продажи[[#This Row],[Дата регистрации]]</f>
        <v>111</v>
      </c>
      <c r="Q134" t="str">
        <f>VLOOKUP(Продажи[[#This Row],[id клиента]],клиенты!$A$2:$G$435,7,0)</f>
        <v>Таджикистан</v>
      </c>
      <c r="R134">
        <f>IF(COUNTIF($H$2:H134, H134)=1, 1, 0)</f>
        <v>1</v>
      </c>
      <c r="S134" t="str">
        <f>VLOOKUP(Продажи[[#This Row],[id клиента]],клиенты!$A$2:$D$435,4,0)</f>
        <v>нет</v>
      </c>
      <c r="T134" s="54">
        <f>VLOOKUP(Продажи[[#This Row],[id клиента]],клиенты!$A$2:$I$435,9,0)</f>
        <v>15.737166324435318</v>
      </c>
    </row>
    <row r="135" spans="1:20" x14ac:dyDescent="0.25">
      <c r="A135">
        <v>134</v>
      </c>
      <c r="B135">
        <v>382</v>
      </c>
      <c r="C135">
        <v>379</v>
      </c>
      <c r="D135">
        <v>5</v>
      </c>
      <c r="E135" s="35">
        <v>9475</v>
      </c>
      <c r="F135" s="48">
        <v>45314</v>
      </c>
      <c r="G135" t="s">
        <v>16</v>
      </c>
      <c r="H135">
        <v>388</v>
      </c>
      <c r="I135" t="str">
        <f>VLOOKUP(Продажи[[#This Row],[id товара]],Товары[],2,0)</f>
        <v>Овощи</v>
      </c>
      <c r="J135" s="17">
        <f>AVERAGEIF(Продажи[Категория],Продажи[[#This Row],[Категория]],Продажи[цена за шт в рублях])</f>
        <v>250.48780487804879</v>
      </c>
      <c r="K135" s="16">
        <f>Продажи[[#This Row],[цена за шт в рублях]]/Продажи[[#This Row],[Средняя цена в категории за шт]]-1</f>
        <v>0.51304771178188902</v>
      </c>
      <c r="L135" t="str">
        <f>VLOOKUP(Продажи[[#This Row],[id товара]],Товары[],3,0)</f>
        <v>Овощной ряд</v>
      </c>
      <c r="M135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135" s="16">
        <f>Продажи[[#This Row],[цена за шт в рублях]]/Продажи[[#This Row],[Средняя цена в категории за шт по поставщику]]-1</f>
        <v>0.24743465634075523</v>
      </c>
      <c r="O135" s="48">
        <f>VLOOKUP(Продажи[[#This Row],[id клиента]],клиенты!$A$2:$E$435,5,0)</f>
        <v>44581</v>
      </c>
      <c r="P135">
        <f>Продажи[[#This Row],[дата создания чека]]-Продажи[[#This Row],[Дата регистрации]]</f>
        <v>733</v>
      </c>
      <c r="Q135" t="str">
        <f>VLOOKUP(Продажи[[#This Row],[id клиента]],клиенты!$A$2:$G$435,7,0)</f>
        <v>Россия</v>
      </c>
      <c r="R135">
        <f>IF(COUNTIF($H$2:H135, H135)=1, 1, 0)</f>
        <v>1</v>
      </c>
      <c r="S135" t="str">
        <f>VLOOKUP(Продажи[[#This Row],[id клиента]],клиенты!$A$2:$D$435,4,0)</f>
        <v>да</v>
      </c>
      <c r="T135" s="54">
        <f>VLOOKUP(Продажи[[#This Row],[id клиента]],клиенты!$A$2:$I$435,9,0)</f>
        <v>24.082135523613964</v>
      </c>
    </row>
    <row r="136" spans="1:20" x14ac:dyDescent="0.25">
      <c r="A136">
        <v>135</v>
      </c>
      <c r="B136">
        <v>452</v>
      </c>
      <c r="C136">
        <v>448</v>
      </c>
      <c r="D136">
        <v>4</v>
      </c>
      <c r="E136" s="35">
        <v>8960</v>
      </c>
      <c r="F136" s="48">
        <v>45434</v>
      </c>
      <c r="G136" t="s">
        <v>26</v>
      </c>
      <c r="H136">
        <v>437</v>
      </c>
      <c r="I136" t="str">
        <f>VLOOKUP(Продажи[[#This Row],[id товара]],Товары[],2,0)</f>
        <v>Фрукты</v>
      </c>
      <c r="J136" s="17">
        <f>AVERAGEIF(Продажи[Категория],Продажи[[#This Row],[Категория]],Продажи[цена за шт в рублях])</f>
        <v>274.16279069767444</v>
      </c>
      <c r="K136" s="16">
        <f>Продажи[[#This Row],[цена за шт в рублях]]/Продажи[[#This Row],[Средняя цена в категории за шт]]-1</f>
        <v>0.63406565442361518</v>
      </c>
      <c r="L136" t="str">
        <f>VLOOKUP(Продажи[[#This Row],[id товара]],Товары[],3,0)</f>
        <v>Экзотик</v>
      </c>
      <c r="M136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136" s="16">
        <f>Продажи[[#This Row],[цена за шт в рублях]]/Продажи[[#This Row],[Средняя цена в категории за шт по поставщику]]-1</f>
        <v>0.76595220497659522</v>
      </c>
      <c r="O136" s="48">
        <f>VLOOKUP(Продажи[[#This Row],[id клиента]],клиенты!$A$2:$E$435,5,0)</f>
        <v>44576</v>
      </c>
      <c r="P136">
        <f>Продажи[[#This Row],[дата создания чека]]-Продажи[[#This Row],[Дата регистрации]]</f>
        <v>858</v>
      </c>
      <c r="Q136" t="str">
        <f>VLOOKUP(Продажи[[#This Row],[id клиента]],клиенты!$A$2:$G$435,7,0)</f>
        <v>Узбекистан</v>
      </c>
      <c r="R136">
        <f>IF(COUNTIF($H$2:H136, H136)=1, 1, 0)</f>
        <v>1</v>
      </c>
      <c r="S136" t="str">
        <f>VLOOKUP(Продажи[[#This Row],[id клиента]],клиенты!$A$2:$D$435,4,0)</f>
        <v>нет</v>
      </c>
      <c r="T136" s="54">
        <f>VLOOKUP(Продажи[[#This Row],[id клиента]],клиенты!$A$2:$I$435,9,0)</f>
        <v>28.188911704312115</v>
      </c>
    </row>
    <row r="137" spans="1:20" x14ac:dyDescent="0.25">
      <c r="A137">
        <v>136</v>
      </c>
      <c r="B137">
        <v>463</v>
      </c>
      <c r="C137">
        <v>173</v>
      </c>
      <c r="D137">
        <v>2</v>
      </c>
      <c r="E137" s="35">
        <v>1730</v>
      </c>
      <c r="F137" s="48">
        <v>45038</v>
      </c>
      <c r="G137" t="s">
        <v>22</v>
      </c>
      <c r="H137">
        <v>450</v>
      </c>
      <c r="I137" t="str">
        <f>VLOOKUP(Продажи[[#This Row],[id товара]],Товары[],2,0)</f>
        <v>Кофе</v>
      </c>
      <c r="J137" s="17">
        <f>AVERAGEIF(Продажи[Категория],Продажи[[#This Row],[Категория]],Продажи[цена за шт в рублях])</f>
        <v>249.02380952380952</v>
      </c>
      <c r="K137" s="16">
        <f>Продажи[[#This Row],[цена за шт в рублях]]/Продажи[[#This Row],[Средняя цена в категории за шт]]-1</f>
        <v>-0.30528731236255857</v>
      </c>
      <c r="L137" t="str">
        <f>VLOOKUP(Продажи[[#This Row],[id товара]],Товары[],3,0)</f>
        <v>Черная Карта</v>
      </c>
      <c r="M137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137" s="16">
        <f>Продажи[[#This Row],[цена за шт в рублях]]/Продажи[[#This Row],[Средняя цена в категории за шт по поставщику]]-1</f>
        <v>-0.22142214221422141</v>
      </c>
      <c r="O137" s="48">
        <f>VLOOKUP(Продажи[[#This Row],[id клиента]],клиенты!$A$2:$E$435,5,0)</f>
        <v>44619</v>
      </c>
      <c r="P137">
        <f>Продажи[[#This Row],[дата создания чека]]-Продажи[[#This Row],[Дата регистрации]]</f>
        <v>419</v>
      </c>
      <c r="Q137" t="str">
        <f>VLOOKUP(Продажи[[#This Row],[id клиента]],клиенты!$A$2:$G$435,7,0)</f>
        <v>Россия</v>
      </c>
      <c r="R137">
        <f>IF(COUNTIF($H$2:H137, H137)=1, 1, 0)</f>
        <v>1</v>
      </c>
      <c r="S137" t="str">
        <f>VLOOKUP(Продажи[[#This Row],[id клиента]],клиенты!$A$2:$D$435,4,0)</f>
        <v>да</v>
      </c>
      <c r="T137" s="54">
        <f>VLOOKUP(Продажи[[#This Row],[id клиента]],клиенты!$A$2:$I$435,9,0)</f>
        <v>20.632443531827516</v>
      </c>
    </row>
    <row r="138" spans="1:20" x14ac:dyDescent="0.25">
      <c r="A138">
        <v>137</v>
      </c>
      <c r="B138">
        <v>494</v>
      </c>
      <c r="C138">
        <v>304</v>
      </c>
      <c r="D138">
        <v>3</v>
      </c>
      <c r="E138" s="35">
        <v>4560</v>
      </c>
      <c r="F138" s="48">
        <v>45070</v>
      </c>
      <c r="G138" t="s">
        <v>14</v>
      </c>
      <c r="H138">
        <v>136</v>
      </c>
      <c r="I138" t="str">
        <f>VLOOKUP(Продажи[[#This Row],[id товара]],Товары[],2,0)</f>
        <v>Сыр</v>
      </c>
      <c r="J138" s="17">
        <f>AVERAGEIF(Продажи[Категория],Продажи[[#This Row],[Категория]],Продажи[цена за шт в рублях])</f>
        <v>262.63492063492066</v>
      </c>
      <c r="K138" s="16">
        <f>Продажи[[#This Row],[цена за шт в рублях]]/Продажи[[#This Row],[Средняя цена в категории за шт]]-1</f>
        <v>0.15750030218783984</v>
      </c>
      <c r="L138" t="str">
        <f>VLOOKUP(Продажи[[#This Row],[id товара]],Товары[],3,0)</f>
        <v>Сырная долина</v>
      </c>
      <c r="M138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138" s="16">
        <f>Продажи[[#This Row],[цена за шт в рублях]]/Продажи[[#This Row],[Средняя цена в категории за шт по поставщику]]-1</f>
        <v>0.12177121771217703</v>
      </c>
      <c r="O138" s="48">
        <f>VLOOKUP(Продажи[[#This Row],[id клиента]],клиенты!$A$2:$E$435,5,0)</f>
        <v>44860</v>
      </c>
      <c r="P138">
        <f>Продажи[[#This Row],[дата создания чека]]-Продажи[[#This Row],[Дата регистрации]]</f>
        <v>210</v>
      </c>
      <c r="Q138" t="str">
        <f>VLOOKUP(Продажи[[#This Row],[id клиента]],клиенты!$A$2:$G$435,7,0)</f>
        <v>Украина</v>
      </c>
      <c r="R138">
        <f>IF(COUNTIF($H$2:H138, H138)=1, 1, 0)</f>
        <v>1</v>
      </c>
      <c r="S138" t="str">
        <f>VLOOKUP(Продажи[[#This Row],[id клиента]],клиенты!$A$2:$D$435,4,0)</f>
        <v>да</v>
      </c>
      <c r="T138" s="54">
        <f>VLOOKUP(Продажи[[#This Row],[id клиента]],клиенты!$A$2:$I$435,9,0)</f>
        <v>17.248459958932237</v>
      </c>
    </row>
    <row r="139" spans="1:20" x14ac:dyDescent="0.25">
      <c r="A139">
        <v>138</v>
      </c>
      <c r="B139">
        <v>394</v>
      </c>
      <c r="C139">
        <v>493</v>
      </c>
      <c r="D139">
        <v>3</v>
      </c>
      <c r="E139" s="35">
        <v>7395</v>
      </c>
      <c r="F139" s="48">
        <v>45032</v>
      </c>
      <c r="G139" t="s">
        <v>12</v>
      </c>
      <c r="H139">
        <v>61</v>
      </c>
      <c r="I139" t="str">
        <f>VLOOKUP(Продажи[[#This Row],[id товара]],Товары[],2,0)</f>
        <v>Кофе</v>
      </c>
      <c r="J139" s="17">
        <f>AVERAGEIF(Продажи[Категория],Продажи[[#This Row],[Категория]],Продажи[цена за шт в рублях])</f>
        <v>249.02380952380952</v>
      </c>
      <c r="K139" s="16">
        <f>Продажи[[#This Row],[цена за шт в рублях]]/Продажи[[#This Row],[Средняя цена в категории за шт]]-1</f>
        <v>0.97973037575294009</v>
      </c>
      <c r="L139" t="str">
        <f>VLOOKUP(Продажи[[#This Row],[id товара]],Товары[],3,0)</f>
        <v>Черная Карта</v>
      </c>
      <c r="M139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139" s="16">
        <f>Продажи[[#This Row],[цена за шт в рублях]]/Продажи[[#This Row],[Средняя цена в категории за шт по поставщику]]-1</f>
        <v>1.2187218721872188</v>
      </c>
      <c r="O139" s="48">
        <f>VLOOKUP(Продажи[[#This Row],[id клиента]],клиенты!$A$2:$E$435,5,0)</f>
        <v>44769</v>
      </c>
      <c r="P139">
        <f>Продажи[[#This Row],[дата создания чека]]-Продажи[[#This Row],[Дата регистрации]]</f>
        <v>263</v>
      </c>
      <c r="Q139" t="str">
        <f>VLOOKUP(Продажи[[#This Row],[id клиента]],клиенты!$A$2:$G$435,7,0)</f>
        <v>Таджикистан</v>
      </c>
      <c r="R139">
        <f>IF(COUNTIF($H$2:H139, H139)=1, 1, 0)</f>
        <v>1</v>
      </c>
      <c r="S139" t="str">
        <f>VLOOKUP(Продажи[[#This Row],[id клиента]],клиенты!$A$2:$D$435,4,0)</f>
        <v>нет</v>
      </c>
      <c r="T139" s="54">
        <f>VLOOKUP(Продажи[[#This Row],[id клиента]],клиенты!$A$2:$I$435,9,0)</f>
        <v>11.564681724845997</v>
      </c>
    </row>
    <row r="140" spans="1:20" x14ac:dyDescent="0.25">
      <c r="A140">
        <v>139</v>
      </c>
      <c r="B140">
        <v>380</v>
      </c>
      <c r="C140">
        <v>344</v>
      </c>
      <c r="D140">
        <v>5</v>
      </c>
      <c r="E140" s="35">
        <v>8600</v>
      </c>
      <c r="F140" s="48">
        <v>45189</v>
      </c>
      <c r="G140" t="s">
        <v>12</v>
      </c>
      <c r="H140">
        <v>364</v>
      </c>
      <c r="I140" t="str">
        <f>VLOOKUP(Продажи[[#This Row],[id товара]],Товары[],2,0)</f>
        <v>Конфеты</v>
      </c>
      <c r="J140" s="17">
        <f>AVERAGEIF(Продажи[Категория],Продажи[[#This Row],[Категория]],Продажи[цена за шт в рублях])</f>
        <v>267.85483870967744</v>
      </c>
      <c r="K140" s="16">
        <f>Продажи[[#This Row],[цена за шт в рублях]]/Продажи[[#This Row],[Средняя цена в категории за шт]]-1</f>
        <v>0.2842777142168964</v>
      </c>
      <c r="L140" t="str">
        <f>VLOOKUP(Продажи[[#This Row],[id товара]],Товары[],3,0)</f>
        <v>Бабаевский</v>
      </c>
      <c r="M140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140" s="16">
        <f>Продажи[[#This Row],[цена за шт в рублях]]/Продажи[[#This Row],[Средняя цена в категории за шт по поставщику]]-1</f>
        <v>0.37457451531744845</v>
      </c>
      <c r="O140" s="48">
        <f>VLOOKUP(Продажи[[#This Row],[id клиента]],клиенты!$A$2:$E$435,5,0)</f>
        <v>44883</v>
      </c>
      <c r="P140">
        <f>Продажи[[#This Row],[дата создания чека]]-Продажи[[#This Row],[Дата регистрации]]</f>
        <v>306</v>
      </c>
      <c r="Q140" t="str">
        <f>VLOOKUP(Продажи[[#This Row],[id клиента]],клиенты!$A$2:$G$435,7,0)</f>
        <v>Россия</v>
      </c>
      <c r="R140">
        <f>IF(COUNTIF($H$2:H140, H140)=1, 1, 0)</f>
        <v>1</v>
      </c>
      <c r="S140" t="str">
        <f>VLOOKUP(Продажи[[#This Row],[id клиента]],клиенты!$A$2:$D$435,4,0)</f>
        <v>да</v>
      </c>
      <c r="T140" s="54">
        <f>VLOOKUP(Продажи[[#This Row],[id клиента]],клиенты!$A$2:$I$435,9,0)</f>
        <v>15.145790554414784</v>
      </c>
    </row>
    <row r="141" spans="1:20" x14ac:dyDescent="0.25">
      <c r="A141">
        <v>140</v>
      </c>
      <c r="B141">
        <v>449</v>
      </c>
      <c r="C141">
        <v>470</v>
      </c>
      <c r="D141">
        <v>4</v>
      </c>
      <c r="E141" s="35">
        <v>9400</v>
      </c>
      <c r="F141" s="48">
        <v>45110</v>
      </c>
      <c r="G141" t="s">
        <v>18</v>
      </c>
      <c r="H141">
        <v>496</v>
      </c>
      <c r="I141" t="str">
        <f>VLOOKUP(Продажи[[#This Row],[id товара]],Товары[],2,0)</f>
        <v>Мясо</v>
      </c>
      <c r="J141" s="17">
        <f>AVERAGEIF(Продажи[Категория],Продажи[[#This Row],[Категория]],Продажи[цена за шт в рублях])</f>
        <v>271.74545454545455</v>
      </c>
      <c r="K141" s="16">
        <f>Продажи[[#This Row],[цена за шт в рублях]]/Продажи[[#This Row],[Средняя цена в категории за шт]]-1</f>
        <v>0.72955974842767302</v>
      </c>
      <c r="L141" t="str">
        <f>VLOOKUP(Продажи[[#This Row],[id товара]],Товары[],3,0)</f>
        <v>Агрокомплекс</v>
      </c>
      <c r="M141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141" s="16">
        <f>Продажи[[#This Row],[цена за шт в рублях]]/Продажи[[#This Row],[Средняя цена в категории за шт по поставщику]]-1</f>
        <v>0.5102827763496145</v>
      </c>
      <c r="O141" s="48">
        <f>VLOOKUP(Продажи[[#This Row],[id клиента]],клиенты!$A$2:$E$435,5,0)</f>
        <v>44867</v>
      </c>
      <c r="P141">
        <f>Продажи[[#This Row],[дата создания чека]]-Продажи[[#This Row],[Дата регистрации]]</f>
        <v>243</v>
      </c>
      <c r="Q141" t="str">
        <f>VLOOKUP(Продажи[[#This Row],[id клиента]],клиенты!$A$2:$G$435,7,0)</f>
        <v>Украина</v>
      </c>
      <c r="R141">
        <f>IF(COUNTIF($H$2:H141, H141)=1, 1, 0)</f>
        <v>1</v>
      </c>
      <c r="S141" t="str">
        <f>VLOOKUP(Продажи[[#This Row],[id клиента]],клиенты!$A$2:$D$435,4,0)</f>
        <v>да</v>
      </c>
      <c r="T141" s="54">
        <f>VLOOKUP(Продажи[[#This Row],[id клиента]],клиенты!$A$2:$I$435,9,0)</f>
        <v>16.788501026694046</v>
      </c>
    </row>
    <row r="142" spans="1:20" x14ac:dyDescent="0.25">
      <c r="A142">
        <v>141</v>
      </c>
      <c r="B142">
        <v>309</v>
      </c>
      <c r="C142">
        <v>498</v>
      </c>
      <c r="D142">
        <v>1</v>
      </c>
      <c r="E142" s="35">
        <v>2490</v>
      </c>
      <c r="F142" s="48">
        <v>45372</v>
      </c>
      <c r="G142" t="s">
        <v>18</v>
      </c>
      <c r="H142">
        <v>464</v>
      </c>
      <c r="I142" t="str">
        <f>VLOOKUP(Продажи[[#This Row],[id товара]],Товары[],2,0)</f>
        <v>Конфеты</v>
      </c>
      <c r="J142" s="17">
        <f>AVERAGEIF(Продажи[Категория],Продажи[[#This Row],[Категория]],Продажи[цена за шт в рублях])</f>
        <v>267.85483870967744</v>
      </c>
      <c r="K142" s="16">
        <f>Продажи[[#This Row],[цена за шт в рублях]]/Продажи[[#This Row],[Средняя цена в категории за шт]]-1</f>
        <v>0.85921599325585585</v>
      </c>
      <c r="L142" t="str">
        <f>VLOOKUP(Продажи[[#This Row],[id товара]],Товары[],3,0)</f>
        <v>Рот Фронт</v>
      </c>
      <c r="M142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142" s="16">
        <f>Продажи[[#This Row],[цена за шт в рублях]]/Продажи[[#This Row],[Средняя цена в категории за шт по поставщику]]-1</f>
        <v>0.72773831158103408</v>
      </c>
      <c r="O142" s="48">
        <f>VLOOKUP(Продажи[[#This Row],[id клиента]],клиенты!$A$2:$E$435,5,0)</f>
        <v>44827</v>
      </c>
      <c r="P142">
        <f>Продажи[[#This Row],[дата создания чека]]-Продажи[[#This Row],[Дата регистрации]]</f>
        <v>545</v>
      </c>
      <c r="Q142" t="str">
        <f>VLOOKUP(Продажи[[#This Row],[id клиента]],клиенты!$A$2:$G$435,7,0)</f>
        <v>Россия</v>
      </c>
      <c r="R142">
        <f>IF(COUNTIF($H$2:H142, H142)=1, 1, 0)</f>
        <v>1</v>
      </c>
      <c r="S142" t="str">
        <f>VLOOKUP(Продажи[[#This Row],[id клиента]],клиенты!$A$2:$D$435,4,0)</f>
        <v>нет</v>
      </c>
      <c r="T142" s="54">
        <f>VLOOKUP(Продажи[[#This Row],[id клиента]],клиенты!$A$2:$I$435,9,0)</f>
        <v>17.905544147843944</v>
      </c>
    </row>
    <row r="143" spans="1:20" x14ac:dyDescent="0.25">
      <c r="A143">
        <v>142</v>
      </c>
      <c r="B143">
        <v>112</v>
      </c>
      <c r="C143">
        <v>351</v>
      </c>
      <c r="D143">
        <v>3</v>
      </c>
      <c r="E143" s="35">
        <v>5265</v>
      </c>
      <c r="F143" s="48">
        <v>45368</v>
      </c>
      <c r="G143" t="s">
        <v>18</v>
      </c>
      <c r="H143">
        <v>419</v>
      </c>
      <c r="I143" t="str">
        <f>VLOOKUP(Продажи[[#This Row],[id товара]],Товары[],2,0)</f>
        <v>Молоко</v>
      </c>
      <c r="J143" s="17">
        <f>AVERAGEIF(Продажи[Категория],Продажи[[#This Row],[Категория]],Продажи[цена за шт в рублях])</f>
        <v>294.95238095238096</v>
      </c>
      <c r="K143" s="16">
        <f>Продажи[[#This Row],[цена за шт в рублях]]/Продажи[[#This Row],[Средняя цена в категории за шт]]-1</f>
        <v>0.19002260251856629</v>
      </c>
      <c r="L143" t="str">
        <f>VLOOKUP(Продажи[[#This Row],[id товара]],Товары[],3,0)</f>
        <v>Беллакт</v>
      </c>
      <c r="M143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143" s="16">
        <f>Продажи[[#This Row],[цена за шт в рублях]]/Продажи[[#This Row],[Средняя цена в категории за шт по поставщику]]-1</f>
        <v>8.8218714768883766E-2</v>
      </c>
      <c r="O143" s="48">
        <f>VLOOKUP(Продажи[[#This Row],[id клиента]],клиенты!$A$2:$E$435,5,0)</f>
        <v>44869</v>
      </c>
      <c r="P143">
        <f>Продажи[[#This Row],[дата создания чека]]-Продажи[[#This Row],[Дата регистрации]]</f>
        <v>499</v>
      </c>
      <c r="Q143" t="str">
        <f>VLOOKUP(Продажи[[#This Row],[id клиента]],клиенты!$A$2:$G$435,7,0)</f>
        <v>Таджикистан</v>
      </c>
      <c r="R143">
        <f>IF(COUNTIF($H$2:H143, H143)=1, 1, 0)</f>
        <v>1</v>
      </c>
      <c r="S143" t="str">
        <f>VLOOKUP(Продажи[[#This Row],[id клиента]],клиенты!$A$2:$D$435,4,0)</f>
        <v>да</v>
      </c>
      <c r="T143" s="54">
        <f>VLOOKUP(Продажи[[#This Row],[id клиента]],клиенты!$A$2:$I$435,9,0)</f>
        <v>17.478439425051334</v>
      </c>
    </row>
    <row r="144" spans="1:20" x14ac:dyDescent="0.25">
      <c r="A144">
        <v>143</v>
      </c>
      <c r="B144">
        <v>81</v>
      </c>
      <c r="C144">
        <v>116</v>
      </c>
      <c r="D144">
        <v>1</v>
      </c>
      <c r="E144" s="35">
        <v>580</v>
      </c>
      <c r="F144" s="48">
        <v>45356</v>
      </c>
      <c r="G144" t="s">
        <v>27</v>
      </c>
      <c r="H144">
        <v>247</v>
      </c>
      <c r="I144" t="str">
        <f>VLOOKUP(Продажи[[#This Row],[id товара]],Товары[],2,0)</f>
        <v>Чай</v>
      </c>
      <c r="J144" s="17">
        <f>AVERAGEIF(Продажи[Категория],Продажи[[#This Row],[Категория]],Продажи[цена за шт в рублях])</f>
        <v>271.18181818181819</v>
      </c>
      <c r="K144" s="16">
        <f>Продажи[[#This Row],[цена за шт в рублях]]/Продажи[[#This Row],[Средняя цена в категории за шт]]-1</f>
        <v>-0.57224270868253435</v>
      </c>
      <c r="L144" t="str">
        <f>VLOOKUP(Продажи[[#This Row],[id товара]],Товары[],3,0)</f>
        <v>Тесс</v>
      </c>
      <c r="M144" s="32">
        <f>AVERAGEIFS(Продажи[цена за шт в рублях],Продажи[Категория],Продажи[[#This Row],[Категория]],Продажи[Поставщик],Продажи[[#This Row],[Поставщик]])</f>
        <v>281.75</v>
      </c>
      <c r="N144" s="16">
        <f>Продажи[[#This Row],[цена за шт в рублях]]/Продажи[[#This Row],[Средняя цена в категории за шт по поставщику]]-1</f>
        <v>-0.58828748890860694</v>
      </c>
      <c r="O144" s="48">
        <f>VLOOKUP(Продажи[[#This Row],[id клиента]],клиенты!$A$2:$E$435,5,0)</f>
        <v>44762</v>
      </c>
      <c r="P144">
        <f>Продажи[[#This Row],[дата создания чека]]-Продажи[[#This Row],[Дата регистрации]]</f>
        <v>594</v>
      </c>
      <c r="Q144" t="str">
        <f>VLOOKUP(Продажи[[#This Row],[id клиента]],клиенты!$A$2:$G$435,7,0)</f>
        <v>Узбекистан</v>
      </c>
      <c r="R144">
        <f>IF(COUNTIF($H$2:H144, H144)=1, 1, 0)</f>
        <v>1</v>
      </c>
      <c r="S144" t="str">
        <f>VLOOKUP(Продажи[[#This Row],[id клиента]],клиенты!$A$2:$D$435,4,0)</f>
        <v>да</v>
      </c>
      <c r="T144" s="54">
        <f>VLOOKUP(Продажи[[#This Row],[id клиента]],клиенты!$A$2:$I$435,9,0)</f>
        <v>19.515400410677618</v>
      </c>
    </row>
    <row r="145" spans="1:20" x14ac:dyDescent="0.25">
      <c r="A145">
        <v>144</v>
      </c>
      <c r="B145">
        <v>4</v>
      </c>
      <c r="C145">
        <v>314</v>
      </c>
      <c r="D145">
        <v>4</v>
      </c>
      <c r="E145" s="35">
        <v>6280</v>
      </c>
      <c r="F145" s="48">
        <v>45336</v>
      </c>
      <c r="G145" t="s">
        <v>14</v>
      </c>
      <c r="H145">
        <v>380</v>
      </c>
      <c r="I145" t="str">
        <f>VLOOKUP(Продажи[[#This Row],[id товара]],Товары[],2,0)</f>
        <v>Рис</v>
      </c>
      <c r="J145" s="17">
        <f>AVERAGEIF(Продажи[Категория],Продажи[[#This Row],[Категория]],Продажи[цена за шт в рублях])</f>
        <v>258.375</v>
      </c>
      <c r="K145" s="16">
        <f>Продажи[[#This Row],[цена за шт в рублях]]/Продажи[[#This Row],[Средняя цена в категории за шт]]-1</f>
        <v>0.21528785679729068</v>
      </c>
      <c r="L145" t="str">
        <f>VLOOKUP(Продажи[[#This Row],[id товара]],Товары[],3,0)</f>
        <v>Белый Злат</v>
      </c>
      <c r="M145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145" s="16">
        <f>Продажи[[#This Row],[цена за шт в рублях]]/Продажи[[#This Row],[Средняя цена в категории за шт по поставщику]]-1</f>
        <v>0.16423118865866959</v>
      </c>
      <c r="O145" s="48">
        <f>VLOOKUP(Продажи[[#This Row],[id клиента]],клиенты!$A$2:$E$435,5,0)</f>
        <v>44563</v>
      </c>
      <c r="P145">
        <f>Продажи[[#This Row],[дата создания чека]]-Продажи[[#This Row],[Дата регистрации]]</f>
        <v>773</v>
      </c>
      <c r="Q145" t="str">
        <f>VLOOKUP(Продажи[[#This Row],[id клиента]],клиенты!$A$2:$G$435,7,0)</f>
        <v>Россия</v>
      </c>
      <c r="R145">
        <f>IF(COUNTIF($H$2:H145, H145)=1, 1, 0)</f>
        <v>0</v>
      </c>
      <c r="S145" t="str">
        <f>VLOOKUP(Продажи[[#This Row],[id клиента]],клиенты!$A$2:$D$435,4,0)</f>
        <v>да</v>
      </c>
      <c r="T145" s="54">
        <f>VLOOKUP(Продажи[[#This Row],[id клиента]],клиенты!$A$2:$I$435,9,0)</f>
        <v>25.82340862422998</v>
      </c>
    </row>
    <row r="146" spans="1:20" x14ac:dyDescent="0.25">
      <c r="A146">
        <v>145</v>
      </c>
      <c r="B146">
        <v>209</v>
      </c>
      <c r="C146">
        <v>284</v>
      </c>
      <c r="D146">
        <v>5</v>
      </c>
      <c r="E146" s="35">
        <v>7100</v>
      </c>
      <c r="F146" s="48">
        <v>45167</v>
      </c>
      <c r="G146" t="s">
        <v>12</v>
      </c>
      <c r="H146">
        <v>75</v>
      </c>
      <c r="I146" t="str">
        <f>VLOOKUP(Продажи[[#This Row],[id товара]],Товары[],2,0)</f>
        <v>Хлеб</v>
      </c>
      <c r="J146" s="17">
        <f>AVERAGEIF(Продажи[Категория],Продажи[[#This Row],[Категория]],Продажи[цена за шт в рублях])</f>
        <v>300.31818181818181</v>
      </c>
      <c r="K146" s="16">
        <f>Продажи[[#This Row],[цена за шт в рублях]]/Продажи[[#This Row],[Средняя цена в категории за шт]]-1</f>
        <v>-5.4336309974269748E-2</v>
      </c>
      <c r="L146" t="str">
        <f>VLOOKUP(Продажи[[#This Row],[id товара]],Товары[],3,0)</f>
        <v>Русский Хлеб</v>
      </c>
      <c r="M146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146" s="16">
        <f>Продажи[[#This Row],[цена за шт в рублях]]/Продажи[[#This Row],[Средняя цена в категории за шт по поставщику]]-1</f>
        <v>-0.1029690461149716</v>
      </c>
      <c r="O146" s="48">
        <f>VLOOKUP(Продажи[[#This Row],[id клиента]],клиенты!$A$2:$E$435,5,0)</f>
        <v>44796</v>
      </c>
      <c r="P146">
        <f>Продажи[[#This Row],[дата создания чека]]-Продажи[[#This Row],[Дата регистрации]]</f>
        <v>371</v>
      </c>
      <c r="Q146" t="str">
        <f>VLOOKUP(Продажи[[#This Row],[id клиента]],клиенты!$A$2:$G$435,7,0)</f>
        <v>Украина</v>
      </c>
      <c r="R146">
        <f>IF(COUNTIF($H$2:H146, H146)=1, 1, 0)</f>
        <v>0</v>
      </c>
      <c r="S146" t="str">
        <f>VLOOKUP(Продажи[[#This Row],[id клиента]],клиенты!$A$2:$D$435,4,0)</f>
        <v>нет</v>
      </c>
      <c r="T146" s="54">
        <f>VLOOKUP(Продажи[[#This Row],[id клиента]],клиенты!$A$2:$I$435,9,0)</f>
        <v>16.459958932238195</v>
      </c>
    </row>
    <row r="147" spans="1:20" x14ac:dyDescent="0.25">
      <c r="A147">
        <v>146</v>
      </c>
      <c r="B147">
        <v>156</v>
      </c>
      <c r="C147">
        <v>332</v>
      </c>
      <c r="D147">
        <v>1</v>
      </c>
      <c r="E147" s="35">
        <v>1660</v>
      </c>
      <c r="F147" s="48">
        <v>45069</v>
      </c>
      <c r="G147" t="s">
        <v>17</v>
      </c>
      <c r="H147">
        <v>356</v>
      </c>
      <c r="I147" t="str">
        <f>VLOOKUP(Продажи[[#This Row],[id товара]],Товары[],2,0)</f>
        <v>Фрукты</v>
      </c>
      <c r="J147" s="17">
        <f>AVERAGEIF(Продажи[Категория],Продажи[[#This Row],[Категория]],Продажи[цена за шт в рублях])</f>
        <v>274.16279069767444</v>
      </c>
      <c r="K147" s="16">
        <f>Продажи[[#This Row],[цена за шт в рублях]]/Продажи[[#This Row],[Средняя цена в категории за шт]]-1</f>
        <v>0.21095936890321476</v>
      </c>
      <c r="L147" t="str">
        <f>VLOOKUP(Продажи[[#This Row],[id товара]],Товары[],3,0)</f>
        <v>Фрукты-Ягоды</v>
      </c>
      <c r="M147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147" s="16">
        <f>Продажи[[#This Row],[цена за шт в рублях]]/Продажи[[#This Row],[Средняя цена в категории за шт по поставщику]]-1</f>
        <v>0.18289786223277904</v>
      </c>
      <c r="O147" s="48">
        <f>VLOOKUP(Продажи[[#This Row],[id клиента]],клиенты!$A$2:$E$435,5,0)</f>
        <v>44570</v>
      </c>
      <c r="P147">
        <f>Продажи[[#This Row],[дата создания чека]]-Продажи[[#This Row],[Дата регистрации]]</f>
        <v>499</v>
      </c>
      <c r="Q147" t="str">
        <f>VLOOKUP(Продажи[[#This Row],[id клиента]],клиенты!$A$2:$G$435,7,0)</f>
        <v>Таджикистан</v>
      </c>
      <c r="R147">
        <f>IF(COUNTIF($H$2:H147, H147)=1, 1, 0)</f>
        <v>0</v>
      </c>
      <c r="S147" t="str">
        <f>VLOOKUP(Продажи[[#This Row],[id клиента]],клиенты!$A$2:$D$435,4,0)</f>
        <v>нет</v>
      </c>
      <c r="T147" s="54">
        <f>VLOOKUP(Продажи[[#This Row],[id клиента]],клиенты!$A$2:$I$435,9,0)</f>
        <v>22.373716632443532</v>
      </c>
    </row>
    <row r="148" spans="1:20" x14ac:dyDescent="0.25">
      <c r="A148">
        <v>147</v>
      </c>
      <c r="B148">
        <v>441</v>
      </c>
      <c r="C148">
        <v>239</v>
      </c>
      <c r="D148">
        <v>2</v>
      </c>
      <c r="E148" s="35">
        <v>2390</v>
      </c>
      <c r="F148" s="48">
        <v>45103</v>
      </c>
      <c r="G148" t="s">
        <v>24</v>
      </c>
      <c r="H148">
        <v>487</v>
      </c>
      <c r="I148" t="str">
        <f>VLOOKUP(Продажи[[#This Row],[id товара]],Товары[],2,0)</f>
        <v>Чай</v>
      </c>
      <c r="J148" s="17">
        <f>AVERAGEIF(Продажи[Категория],Продажи[[#This Row],[Категория]],Продажи[цена за шт в рублях])</f>
        <v>271.18181818181819</v>
      </c>
      <c r="K148" s="16">
        <f>Продажи[[#This Row],[цена за шт в рублях]]/Продажи[[#This Row],[Средняя цена в категории за шт]]-1</f>
        <v>-0.11867247737177344</v>
      </c>
      <c r="L148" t="str">
        <f>VLOOKUP(Продажи[[#This Row],[id товара]],Товары[],3,0)</f>
        <v>Lipton</v>
      </c>
      <c r="M148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148" s="16">
        <f>Продажи[[#This Row],[цена за шт в рублях]]/Продажи[[#This Row],[Средняя цена в категории за шт по поставщику]]-1</f>
        <v>-8.1327129273720322E-2</v>
      </c>
      <c r="O148" s="48">
        <f>VLOOKUP(Продажи[[#This Row],[id клиента]],клиенты!$A$2:$E$435,5,0)</f>
        <v>44815</v>
      </c>
      <c r="P148">
        <f>Продажи[[#This Row],[дата создания чека]]-Продажи[[#This Row],[Дата регистрации]]</f>
        <v>288</v>
      </c>
      <c r="Q148" t="str">
        <f>VLOOKUP(Продажи[[#This Row],[id клиента]],клиенты!$A$2:$G$435,7,0)</f>
        <v>Россия</v>
      </c>
      <c r="R148">
        <f>IF(COUNTIF($H$2:H148, H148)=1, 1, 0)</f>
        <v>0</v>
      </c>
      <c r="S148" t="str">
        <f>VLOOKUP(Продажи[[#This Row],[id клиента]],клиенты!$A$2:$D$435,4,0)</f>
        <v>да</v>
      </c>
      <c r="T148" s="54">
        <f>VLOOKUP(Продажи[[#This Row],[id клиента]],клиенты!$A$2:$I$435,9,0)</f>
        <v>9.462012320328542</v>
      </c>
    </row>
    <row r="149" spans="1:20" x14ac:dyDescent="0.25">
      <c r="A149">
        <v>148</v>
      </c>
      <c r="B149">
        <v>180</v>
      </c>
      <c r="C149">
        <v>86</v>
      </c>
      <c r="D149">
        <v>4</v>
      </c>
      <c r="E149" s="35">
        <v>1720</v>
      </c>
      <c r="F149" s="48">
        <v>45326</v>
      </c>
      <c r="G149" t="s">
        <v>17</v>
      </c>
      <c r="H149">
        <v>73</v>
      </c>
      <c r="I149" t="str">
        <f>VLOOKUP(Продажи[[#This Row],[id товара]],Товары[],2,0)</f>
        <v>Чипсы</v>
      </c>
      <c r="J149" s="17">
        <f>AVERAGEIF(Продажи[Категория],Продажи[[#This Row],[Категория]],Продажи[цена за шт в рублях])</f>
        <v>273.72549019607845</v>
      </c>
      <c r="K149" s="16">
        <f>Продажи[[#This Row],[цена за шт в рублях]]/Продажи[[#This Row],[Средняя цена в категории за шт]]-1</f>
        <v>-0.68581661891117474</v>
      </c>
      <c r="L149" t="str">
        <f>VLOOKUP(Продажи[[#This Row],[id товара]],Товары[],3,0)</f>
        <v>Русская картошка</v>
      </c>
      <c r="M149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149" s="16">
        <f>Продажи[[#This Row],[цена за шт в рублях]]/Продажи[[#This Row],[Средняя цена в категории за шт по поставщику]]-1</f>
        <v>-0.6443831840110269</v>
      </c>
      <c r="O149" s="48">
        <f>VLOOKUP(Продажи[[#This Row],[id клиента]],клиенты!$A$2:$E$435,5,0)</f>
        <v>44665</v>
      </c>
      <c r="P149">
        <f>Продажи[[#This Row],[дата создания чека]]-Продажи[[#This Row],[Дата регистрации]]</f>
        <v>661</v>
      </c>
      <c r="Q149" t="str">
        <f>VLOOKUP(Продажи[[#This Row],[id клиента]],клиенты!$A$2:$G$435,7,0)</f>
        <v>Украина</v>
      </c>
      <c r="R149">
        <f>IF(COUNTIF($H$2:H149, H149)=1, 1, 0)</f>
        <v>1</v>
      </c>
      <c r="S149" t="str">
        <f>VLOOKUP(Продажи[[#This Row],[id клиента]],клиенты!$A$2:$D$435,4,0)</f>
        <v>да</v>
      </c>
      <c r="T149" s="54">
        <f>VLOOKUP(Продажи[[#This Row],[id клиента]],клиенты!$A$2:$I$435,9,0)</f>
        <v>21.716632443531829</v>
      </c>
    </row>
    <row r="150" spans="1:20" x14ac:dyDescent="0.25">
      <c r="A150">
        <v>149</v>
      </c>
      <c r="B150">
        <v>438</v>
      </c>
      <c r="C150">
        <v>154</v>
      </c>
      <c r="D150">
        <v>4</v>
      </c>
      <c r="E150" s="35">
        <v>3080</v>
      </c>
      <c r="F150" s="48">
        <v>45264</v>
      </c>
      <c r="G150" t="s">
        <v>12</v>
      </c>
      <c r="H150">
        <v>139</v>
      </c>
      <c r="I150" t="str">
        <f>VLOOKUP(Продажи[[#This Row],[id товара]],Товары[],2,0)</f>
        <v>Кофе</v>
      </c>
      <c r="J150" s="17">
        <f>AVERAGEIF(Продажи[Категория],Продажи[[#This Row],[Категория]],Продажи[цена за шт в рублях])</f>
        <v>249.02380952380952</v>
      </c>
      <c r="K150" s="16">
        <f>Продажи[[#This Row],[цена за шт в рублях]]/Продажи[[#This Row],[Средняя цена в категории за шт]]-1</f>
        <v>-0.38158523759441632</v>
      </c>
      <c r="L150" t="str">
        <f>VLOOKUP(Продажи[[#This Row],[id товара]],Товары[],3,0)</f>
        <v>Nescafe</v>
      </c>
      <c r="M150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150" s="16">
        <f>Продажи[[#This Row],[цена за шт в рублях]]/Продажи[[#This Row],[Средняя цена в категории за шт по поставщику]]-1</f>
        <v>-0.40054495912806531</v>
      </c>
      <c r="O150" s="48">
        <f>VLOOKUP(Продажи[[#This Row],[id клиента]],клиенты!$A$2:$E$435,5,0)</f>
        <v>44648</v>
      </c>
      <c r="P150">
        <f>Продажи[[#This Row],[дата создания чека]]-Продажи[[#This Row],[Дата регистрации]]</f>
        <v>616</v>
      </c>
      <c r="Q150" t="str">
        <f>VLOOKUP(Продажи[[#This Row],[id клиента]],клиенты!$A$2:$G$435,7,0)</f>
        <v>Беларусь</v>
      </c>
      <c r="R150">
        <f>IF(COUNTIF($H$2:H150, H150)=1, 1, 0)</f>
        <v>1</v>
      </c>
      <c r="S150" t="str">
        <f>VLOOKUP(Продажи[[#This Row],[id клиента]],клиенты!$A$2:$D$435,4,0)</f>
        <v>да</v>
      </c>
      <c r="T150" s="54">
        <f>VLOOKUP(Продажи[[#This Row],[id клиента]],клиенты!$A$2:$I$435,9,0)</f>
        <v>20.238193018480494</v>
      </c>
    </row>
    <row r="151" spans="1:20" x14ac:dyDescent="0.25">
      <c r="A151">
        <v>150</v>
      </c>
      <c r="B151">
        <v>232</v>
      </c>
      <c r="C151">
        <v>109</v>
      </c>
      <c r="D151">
        <v>4</v>
      </c>
      <c r="E151" s="35">
        <v>2180</v>
      </c>
      <c r="F151" s="48">
        <v>45387</v>
      </c>
      <c r="G151" t="s">
        <v>20</v>
      </c>
      <c r="H151">
        <v>407</v>
      </c>
      <c r="I151" t="str">
        <f>VLOOKUP(Продажи[[#This Row],[id товара]],Товары[],2,0)</f>
        <v>Молоко</v>
      </c>
      <c r="J151" s="17">
        <f>AVERAGEIF(Продажи[Категория],Продажи[[#This Row],[Категория]],Продажи[цена за шт в рублях])</f>
        <v>294.95238095238096</v>
      </c>
      <c r="K151" s="16">
        <f>Продажи[[#This Row],[цена за шт в рублях]]/Продажи[[#This Row],[Средняя цена в категории за шт]]-1</f>
        <v>-0.63044882144010339</v>
      </c>
      <c r="L151" t="str">
        <f>VLOOKUP(Продажи[[#This Row],[id товара]],Товары[],3,0)</f>
        <v>Простоквашино</v>
      </c>
      <c r="M151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151" s="16">
        <f>Продажи[[#This Row],[цена за шт в рублях]]/Продажи[[#This Row],[Средняя цена в категории за шт по поставщику]]-1</f>
        <v>-0.65811234673510122</v>
      </c>
      <c r="O151" s="48">
        <f>VLOOKUP(Продажи[[#This Row],[id клиента]],клиенты!$A$2:$E$435,5,0)</f>
        <v>44621</v>
      </c>
      <c r="P151">
        <f>Продажи[[#This Row],[дата создания чека]]-Продажи[[#This Row],[Дата регистрации]]</f>
        <v>766</v>
      </c>
      <c r="Q151" t="str">
        <f>VLOOKUP(Продажи[[#This Row],[id клиента]],клиенты!$A$2:$G$435,7,0)</f>
        <v>Беларусь</v>
      </c>
      <c r="R151">
        <f>IF(COUNTIF($H$2:H151, H151)=1, 1, 0)</f>
        <v>0</v>
      </c>
      <c r="S151" t="str">
        <f>VLOOKUP(Продажи[[#This Row],[id клиента]],клиенты!$A$2:$D$435,4,0)</f>
        <v>да</v>
      </c>
      <c r="T151" s="54">
        <f>VLOOKUP(Продажи[[#This Row],[id клиента]],клиенты!$A$2:$I$435,9,0)</f>
        <v>25.166324435318277</v>
      </c>
    </row>
    <row r="152" spans="1:20" x14ac:dyDescent="0.25">
      <c r="A152">
        <v>151</v>
      </c>
      <c r="B152">
        <v>206</v>
      </c>
      <c r="C152">
        <v>73</v>
      </c>
      <c r="D152">
        <v>5</v>
      </c>
      <c r="E152" s="35">
        <v>1825</v>
      </c>
      <c r="F152" s="48">
        <v>45310</v>
      </c>
      <c r="G152" t="s">
        <v>10</v>
      </c>
      <c r="H152">
        <v>115</v>
      </c>
      <c r="I152" t="str">
        <f>VLOOKUP(Продажи[[#This Row],[id товара]],Товары[],2,0)</f>
        <v>Молоко</v>
      </c>
      <c r="J152" s="17">
        <f>AVERAGEIF(Продажи[Категория],Продажи[[#This Row],[Категория]],Продажи[цена за шт в рублях])</f>
        <v>294.95238095238096</v>
      </c>
      <c r="K152" s="16">
        <f>Продажи[[#This Row],[цена за шт в рублях]]/Продажи[[#This Row],[Средняя цена в категории за шт]]-1</f>
        <v>-0.75250242169841786</v>
      </c>
      <c r="L152" t="str">
        <f>VLOOKUP(Продажи[[#This Row],[id товара]],Товары[],3,0)</f>
        <v>Домик в деревне</v>
      </c>
      <c r="M152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152" s="16">
        <f>Продажи[[#This Row],[цена за шт в рублях]]/Продажи[[#This Row],[Средняя цена в категории за шт по поставщику]]-1</f>
        <v>-0.73433077234128596</v>
      </c>
      <c r="O152" s="48">
        <f>VLOOKUP(Продажи[[#This Row],[id клиента]],клиенты!$A$2:$E$435,5,0)</f>
        <v>44832</v>
      </c>
      <c r="P152">
        <f>Продажи[[#This Row],[дата создания чека]]-Продажи[[#This Row],[Дата регистрации]]</f>
        <v>478</v>
      </c>
      <c r="Q152" t="str">
        <f>VLOOKUP(Продажи[[#This Row],[id клиента]],клиенты!$A$2:$G$435,7,0)</f>
        <v>Беларусь</v>
      </c>
      <c r="R152">
        <f>IF(COUNTIF($H$2:H152, H152)=1, 1, 0)</f>
        <v>0</v>
      </c>
      <c r="S152" t="str">
        <f>VLOOKUP(Продажи[[#This Row],[id клиента]],клиенты!$A$2:$D$435,4,0)</f>
        <v>да</v>
      </c>
      <c r="T152" s="54">
        <f>VLOOKUP(Продажи[[#This Row],[id клиента]],клиенты!$A$2:$I$435,9,0)</f>
        <v>19.154004106776181</v>
      </c>
    </row>
    <row r="153" spans="1:20" x14ac:dyDescent="0.25">
      <c r="A153">
        <v>152</v>
      </c>
      <c r="B153">
        <v>295</v>
      </c>
      <c r="C153">
        <v>230</v>
      </c>
      <c r="D153">
        <v>4</v>
      </c>
      <c r="E153" s="35">
        <v>4600</v>
      </c>
      <c r="F153" s="48">
        <v>44990</v>
      </c>
      <c r="G153" t="s">
        <v>12</v>
      </c>
      <c r="H153">
        <v>258</v>
      </c>
      <c r="I153" t="str">
        <f>VLOOKUP(Продажи[[#This Row],[id товара]],Товары[],2,0)</f>
        <v>Печенье</v>
      </c>
      <c r="J153" s="17">
        <f>AVERAGEIF(Продажи[Категория],Продажи[[#This Row],[Категория]],Продажи[цена за шт в рублях])</f>
        <v>283.468085106383</v>
      </c>
      <c r="K153" s="16">
        <f>Продажи[[#This Row],[цена за шт в рублях]]/Продажи[[#This Row],[Средняя цена в категории за шт]]-1</f>
        <v>-0.18862118141559714</v>
      </c>
      <c r="L153" t="str">
        <f>VLOOKUP(Продажи[[#This Row],[id товара]],Товары[],3,0)</f>
        <v>Белогорье</v>
      </c>
      <c r="M153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153" s="16">
        <f>Продажи[[#This Row],[цена за шт в рублях]]/Продажи[[#This Row],[Средняя цена в категории за шт по поставщику]]-1</f>
        <v>-7.8156312625250468E-2</v>
      </c>
      <c r="O153" s="48">
        <f>VLOOKUP(Продажи[[#This Row],[id клиента]],клиенты!$A$2:$E$435,5,0)</f>
        <v>44717</v>
      </c>
      <c r="P153">
        <f>Продажи[[#This Row],[дата создания чека]]-Продажи[[#This Row],[Дата регистрации]]</f>
        <v>273</v>
      </c>
      <c r="Q153" t="str">
        <f>VLOOKUP(Продажи[[#This Row],[id клиента]],клиенты!$A$2:$G$435,7,0)</f>
        <v>Украина</v>
      </c>
      <c r="R153">
        <f>IF(COUNTIF($H$2:H153, H153)=1, 1, 0)</f>
        <v>1</v>
      </c>
      <c r="S153" t="str">
        <f>VLOOKUP(Продажи[[#This Row],[id клиента]],клиенты!$A$2:$D$435,4,0)</f>
        <v>да</v>
      </c>
      <c r="T153" s="54">
        <f>VLOOKUP(Продажи[[#This Row],[id клиента]],клиенты!$A$2:$I$435,9,0)</f>
        <v>22.866529774127311</v>
      </c>
    </row>
    <row r="154" spans="1:20" x14ac:dyDescent="0.25">
      <c r="A154">
        <v>153</v>
      </c>
      <c r="B154">
        <v>204</v>
      </c>
      <c r="C154">
        <v>88</v>
      </c>
      <c r="D154">
        <v>4</v>
      </c>
      <c r="E154" s="35">
        <v>1760</v>
      </c>
      <c r="F154" s="48">
        <v>44990</v>
      </c>
      <c r="G154" t="s">
        <v>24</v>
      </c>
      <c r="H154">
        <v>349</v>
      </c>
      <c r="I154" t="str">
        <f>VLOOKUP(Продажи[[#This Row],[id товара]],Товары[],2,0)</f>
        <v>Печенье</v>
      </c>
      <c r="J154" s="17">
        <f>AVERAGEIF(Продажи[Категория],Продажи[[#This Row],[Категория]],Продажи[цена за шт в рублях])</f>
        <v>283.468085106383</v>
      </c>
      <c r="K154" s="16">
        <f>Продажи[[#This Row],[цена за шт в рублях]]/Продажи[[#This Row],[Средняя цена в категории за шт]]-1</f>
        <v>-0.68955940854161979</v>
      </c>
      <c r="L154" t="str">
        <f>VLOOKUP(Продажи[[#This Row],[id товара]],Товары[],3,0)</f>
        <v>Юбилейное</v>
      </c>
      <c r="M154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154" s="16">
        <f>Продажи[[#This Row],[цена за шт в рублях]]/Продажи[[#This Row],[Средняя цена в категории за шт по поставщику]]-1</f>
        <v>-0.62141491395793502</v>
      </c>
      <c r="O154" s="48">
        <f>VLOOKUP(Продажи[[#This Row],[id клиента]],клиенты!$A$2:$E$435,5,0)</f>
        <v>44673</v>
      </c>
      <c r="P154">
        <f>Продажи[[#This Row],[дата создания чека]]-Продажи[[#This Row],[Дата регистрации]]</f>
        <v>317</v>
      </c>
      <c r="Q154" t="str">
        <f>VLOOKUP(Продажи[[#This Row],[id клиента]],клиенты!$A$2:$G$435,7,0)</f>
        <v>Россия</v>
      </c>
      <c r="R154">
        <f>IF(COUNTIF($H$2:H154, H154)=1, 1, 0)</f>
        <v>1</v>
      </c>
      <c r="S154" t="str">
        <f>VLOOKUP(Продажи[[#This Row],[id клиента]],клиенты!$A$2:$D$435,4,0)</f>
        <v>нет</v>
      </c>
      <c r="T154" s="54">
        <f>VLOOKUP(Продажи[[#This Row],[id клиента]],клиенты!$A$2:$I$435,9,0)</f>
        <v>10.414784394250514</v>
      </c>
    </row>
    <row r="155" spans="1:20" x14ac:dyDescent="0.25">
      <c r="A155">
        <v>154</v>
      </c>
      <c r="B155">
        <v>399</v>
      </c>
      <c r="C155">
        <v>231</v>
      </c>
      <c r="D155">
        <v>2</v>
      </c>
      <c r="E155" s="35">
        <v>2310</v>
      </c>
      <c r="F155" s="48">
        <v>45290</v>
      </c>
      <c r="G155" t="s">
        <v>23</v>
      </c>
      <c r="H155">
        <v>325</v>
      </c>
      <c r="I155" t="str">
        <f>VLOOKUP(Продажи[[#This Row],[id товара]],Товары[],2,0)</f>
        <v>Хлеб</v>
      </c>
      <c r="J155" s="17">
        <f>AVERAGEIF(Продажи[Категория],Продажи[[#This Row],[Категория]],Продажи[цена за шт в рублях])</f>
        <v>300.31818181818181</v>
      </c>
      <c r="K155" s="16">
        <f>Продажи[[#This Row],[цена за шт в рублях]]/Продажи[[#This Row],[Средняя цена в категории за шт]]-1</f>
        <v>-0.2308158014227335</v>
      </c>
      <c r="L155" t="str">
        <f>VLOOKUP(Продажи[[#This Row],[id товара]],Товары[],3,0)</f>
        <v>Хлебный Дом</v>
      </c>
      <c r="M155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155" s="16">
        <f>Продажи[[#This Row],[цена за шт в рублях]]/Продажи[[#This Row],[Средняя цена в категории за шт по поставщику]]-1</f>
        <v>-0.18007572172266928</v>
      </c>
      <c r="O155" s="48">
        <f>VLOOKUP(Продажи[[#This Row],[id клиента]],клиенты!$A$2:$E$435,5,0)</f>
        <v>44875</v>
      </c>
      <c r="P155">
        <f>Продажи[[#This Row],[дата создания чека]]-Продажи[[#This Row],[Дата регистрации]]</f>
        <v>415</v>
      </c>
      <c r="Q155" t="str">
        <f>VLOOKUP(Продажи[[#This Row],[id клиента]],клиенты!$A$2:$G$435,7,0)</f>
        <v>Таджикистан</v>
      </c>
      <c r="R155">
        <f>IF(COUNTIF($H$2:H155, H155)=1, 1, 0)</f>
        <v>1</v>
      </c>
      <c r="S155" t="str">
        <f>VLOOKUP(Продажи[[#This Row],[id клиента]],клиенты!$A$2:$D$435,4,0)</f>
        <v>нет</v>
      </c>
      <c r="T155" s="54">
        <f>VLOOKUP(Продажи[[#This Row],[id клиента]],клиенты!$A$2:$I$435,9,0)</f>
        <v>17.938398357289529</v>
      </c>
    </row>
    <row r="156" spans="1:20" x14ac:dyDescent="0.25">
      <c r="A156">
        <v>155</v>
      </c>
      <c r="B156">
        <v>221</v>
      </c>
      <c r="C156">
        <v>477</v>
      </c>
      <c r="D156">
        <v>4</v>
      </c>
      <c r="E156" s="35">
        <v>9540</v>
      </c>
      <c r="F156" s="48">
        <v>45185</v>
      </c>
      <c r="G156" t="s">
        <v>15</v>
      </c>
      <c r="H156">
        <v>276</v>
      </c>
      <c r="I156" t="str">
        <f>VLOOKUP(Продажи[[#This Row],[id товара]],Товары[],2,0)</f>
        <v>Чипсы</v>
      </c>
      <c r="J156" s="17">
        <f>AVERAGEIF(Продажи[Категория],Продажи[[#This Row],[Категория]],Продажи[цена за шт в рублях])</f>
        <v>273.72549019607845</v>
      </c>
      <c r="K156" s="16">
        <f>Продажи[[#This Row],[цена за шт в рублях]]/Продажи[[#This Row],[Средняя цена в категории за шт]]-1</f>
        <v>0.74262177650429795</v>
      </c>
      <c r="L156" t="str">
        <f>VLOOKUP(Продажи[[#This Row],[id товара]],Товары[],3,0)</f>
        <v>Pringles</v>
      </c>
      <c r="M156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156" s="16">
        <f>Продажи[[#This Row],[цена за шт в рублях]]/Продажи[[#This Row],[Средняя цена в категории за шт по поставщику]]-1</f>
        <v>0.70212404418011887</v>
      </c>
      <c r="O156" s="48">
        <f>VLOOKUP(Продажи[[#This Row],[id клиента]],клиенты!$A$2:$E$435,5,0)</f>
        <v>44632</v>
      </c>
      <c r="P156">
        <f>Продажи[[#This Row],[дата создания чека]]-Продажи[[#This Row],[Дата регистрации]]</f>
        <v>553</v>
      </c>
      <c r="Q156" t="str">
        <f>VLOOKUP(Продажи[[#This Row],[id клиента]],клиенты!$A$2:$G$435,7,0)</f>
        <v>Таджикистан</v>
      </c>
      <c r="R156">
        <f>IF(COUNTIF($H$2:H156, H156)=1, 1, 0)</f>
        <v>0</v>
      </c>
      <c r="S156" t="str">
        <f>VLOOKUP(Продажи[[#This Row],[id клиента]],клиенты!$A$2:$D$435,4,0)</f>
        <v>нет</v>
      </c>
      <c r="T156" s="54">
        <f>VLOOKUP(Продажи[[#This Row],[id клиента]],клиенты!$A$2:$I$435,9,0)</f>
        <v>20.632443531827516</v>
      </c>
    </row>
    <row r="157" spans="1:20" x14ac:dyDescent="0.25">
      <c r="A157">
        <v>156</v>
      </c>
      <c r="B157">
        <v>333</v>
      </c>
      <c r="C157">
        <v>74</v>
      </c>
      <c r="D157">
        <v>2</v>
      </c>
      <c r="E157" s="35">
        <v>740</v>
      </c>
      <c r="F157" s="48">
        <v>45153</v>
      </c>
      <c r="G157" t="s">
        <v>16</v>
      </c>
      <c r="H157">
        <v>328</v>
      </c>
      <c r="I157" t="str">
        <f>VLOOKUP(Продажи[[#This Row],[id товара]],Товары[],2,0)</f>
        <v>Рыба</v>
      </c>
      <c r="J157" s="17">
        <f>AVERAGEIF(Продажи[Категория],Продажи[[#This Row],[Категория]],Продажи[цена за шт в рублях])</f>
        <v>258.5128205128205</v>
      </c>
      <c r="K157" s="16">
        <f>Продажи[[#This Row],[цена за шт в рублях]]/Продажи[[#This Row],[Средняя цена в категории за шт]]-1</f>
        <v>-0.71374727236659385</v>
      </c>
      <c r="L157" t="str">
        <f>VLOOKUP(Продажи[[#This Row],[id товара]],Товары[],3,0)</f>
        <v>Санта Бремор</v>
      </c>
      <c r="M157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157" s="16">
        <f>Продажи[[#This Row],[цена за шт в рублях]]/Продажи[[#This Row],[Средняя цена в категории за шт по поставщику]]-1</f>
        <v>-0.65804066543438078</v>
      </c>
      <c r="O157" s="48">
        <f>VLOOKUP(Продажи[[#This Row],[id клиента]],клиенты!$A$2:$E$435,5,0)</f>
        <v>44568</v>
      </c>
      <c r="P157">
        <f>Продажи[[#This Row],[дата создания чека]]-Продажи[[#This Row],[Дата регистрации]]</f>
        <v>585</v>
      </c>
      <c r="Q157" t="str">
        <f>VLOOKUP(Продажи[[#This Row],[id клиента]],клиенты!$A$2:$G$435,7,0)</f>
        <v>Россия</v>
      </c>
      <c r="R157">
        <f>IF(COUNTIF($H$2:H157, H157)=1, 1, 0)</f>
        <v>0</v>
      </c>
      <c r="S157" t="str">
        <f>VLOOKUP(Продажи[[#This Row],[id клиента]],клиенты!$A$2:$D$435,4,0)</f>
        <v>да</v>
      </c>
      <c r="T157" s="54">
        <f>VLOOKUP(Продажи[[#This Row],[id клиента]],клиенты!$A$2:$I$435,9,0)</f>
        <v>23.392197125256672</v>
      </c>
    </row>
    <row r="158" spans="1:20" x14ac:dyDescent="0.25">
      <c r="A158">
        <v>157</v>
      </c>
      <c r="B158">
        <v>498</v>
      </c>
      <c r="C158">
        <v>430</v>
      </c>
      <c r="D158">
        <v>5</v>
      </c>
      <c r="E158" s="35">
        <v>10750</v>
      </c>
      <c r="F158" s="48">
        <v>45106</v>
      </c>
      <c r="G158" t="s">
        <v>25</v>
      </c>
      <c r="H158">
        <v>250</v>
      </c>
      <c r="I158" t="str">
        <f>VLOOKUP(Продажи[[#This Row],[id товара]],Товары[],2,0)</f>
        <v>Молоко</v>
      </c>
      <c r="J158" s="17">
        <f>AVERAGEIF(Продажи[Категория],Продажи[[#This Row],[Категория]],Продажи[цена за шт в рублях])</f>
        <v>294.95238095238096</v>
      </c>
      <c r="K158" s="16">
        <f>Продажи[[#This Row],[цена за шт в рублях]]/Продажи[[#This Row],[Средняя цена в категории за шт]]-1</f>
        <v>0.4578624475298676</v>
      </c>
      <c r="L158" t="str">
        <f>VLOOKUP(Продажи[[#This Row],[id товара]],Товары[],3,0)</f>
        <v>Домик в деревне</v>
      </c>
      <c r="M158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158" s="16">
        <f>Продажи[[#This Row],[цена за шт в рублях]]/Продажи[[#This Row],[Средняя цена в категории за шт по поставщику]]-1</f>
        <v>0.5649009300444805</v>
      </c>
      <c r="O158" s="48">
        <f>VLOOKUP(Продажи[[#This Row],[id клиента]],клиенты!$A$2:$E$435,5,0)</f>
        <v>44856</v>
      </c>
      <c r="P158">
        <f>Продажи[[#This Row],[дата создания чека]]-Продажи[[#This Row],[Дата регистрации]]</f>
        <v>250</v>
      </c>
      <c r="Q158" t="str">
        <f>VLOOKUP(Продажи[[#This Row],[id клиента]],клиенты!$A$2:$G$435,7,0)</f>
        <v>Россия</v>
      </c>
      <c r="R158">
        <f>IF(COUNTIF($H$2:H158, H158)=1, 1, 0)</f>
        <v>1</v>
      </c>
      <c r="S158" t="str">
        <f>VLOOKUP(Продажи[[#This Row],[id клиента]],клиенты!$A$2:$D$435,4,0)</f>
        <v>да</v>
      </c>
      <c r="T158" s="54">
        <f>VLOOKUP(Продажи[[#This Row],[id клиента]],клиенты!$A$2:$I$435,9,0)</f>
        <v>11.367556468172484</v>
      </c>
    </row>
    <row r="159" spans="1:20" x14ac:dyDescent="0.25">
      <c r="A159">
        <v>158</v>
      </c>
      <c r="B159">
        <v>476</v>
      </c>
      <c r="C159">
        <v>286</v>
      </c>
      <c r="D159">
        <v>2</v>
      </c>
      <c r="E159" s="35">
        <v>2860</v>
      </c>
      <c r="F159" s="48">
        <v>44973</v>
      </c>
      <c r="G159" t="s">
        <v>19</v>
      </c>
      <c r="H159">
        <v>397</v>
      </c>
      <c r="I159" t="str">
        <f>VLOOKUP(Продажи[[#This Row],[id товара]],Товары[],2,0)</f>
        <v>Рыба</v>
      </c>
      <c r="J159" s="17">
        <f>AVERAGEIF(Продажи[Категория],Продажи[[#This Row],[Категория]],Продажи[цена за шт в рублях])</f>
        <v>258.5128205128205</v>
      </c>
      <c r="K159" s="16">
        <f>Продажи[[#This Row],[цена за шт в рублях]]/Продажи[[#This Row],[Средняя цена в категории за шт]]-1</f>
        <v>0.10632810950208293</v>
      </c>
      <c r="L159" t="str">
        <f>VLOOKUP(Продажи[[#This Row],[id товара]],Товары[],3,0)</f>
        <v>Балтийский берег</v>
      </c>
      <c r="M159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159" s="16">
        <f>Продажи[[#This Row],[цена за шт в рублях]]/Продажи[[#This Row],[Средняя цена в категории за шт по поставщику]]-1</f>
        <v>-1.3415101571483401E-2</v>
      </c>
      <c r="O159" s="48">
        <f>VLOOKUP(Продажи[[#This Row],[id клиента]],клиенты!$A$2:$E$435,5,0)</f>
        <v>44728</v>
      </c>
      <c r="P159">
        <f>Продажи[[#This Row],[дата создания чека]]-Продажи[[#This Row],[Дата регистрации]]</f>
        <v>245</v>
      </c>
      <c r="Q159" t="str">
        <f>VLOOKUP(Продажи[[#This Row],[id клиента]],клиенты!$A$2:$G$435,7,0)</f>
        <v>Беларусь</v>
      </c>
      <c r="R159">
        <f>IF(COUNTIF($H$2:H159, H159)=1, 1, 0)</f>
        <v>0</v>
      </c>
      <c r="S159" t="str">
        <f>VLOOKUP(Продажи[[#This Row],[id клиента]],клиенты!$A$2:$D$435,4,0)</f>
        <v>нет</v>
      </c>
      <c r="T159" s="54">
        <f>VLOOKUP(Продажи[[#This Row],[id клиента]],клиенты!$A$2:$I$435,9,0)</f>
        <v>12.97741273100616</v>
      </c>
    </row>
    <row r="160" spans="1:20" x14ac:dyDescent="0.25">
      <c r="A160">
        <v>159</v>
      </c>
      <c r="B160">
        <v>126</v>
      </c>
      <c r="C160">
        <v>273</v>
      </c>
      <c r="D160">
        <v>3</v>
      </c>
      <c r="E160" s="35">
        <v>4095</v>
      </c>
      <c r="F160" s="48">
        <v>45051</v>
      </c>
      <c r="G160" t="s">
        <v>16</v>
      </c>
      <c r="H160">
        <v>153</v>
      </c>
      <c r="I160" t="str">
        <f>VLOOKUP(Продажи[[#This Row],[id товара]],Товары[],2,0)</f>
        <v>Сахар</v>
      </c>
      <c r="J160" s="17">
        <f>AVERAGEIF(Продажи[Категория],Продажи[[#This Row],[Категория]],Продажи[цена за шт в рублях])</f>
        <v>252.76271186440678</v>
      </c>
      <c r="K160" s="16">
        <f>Продажи[[#This Row],[цена за шт в рублях]]/Продажи[[#This Row],[Средняя цена в категории за шт]]-1</f>
        <v>8.006437336551997E-2</v>
      </c>
      <c r="L160" t="str">
        <f>VLOOKUP(Продажи[[#This Row],[id товара]],Товары[],3,0)</f>
        <v>Русский сахар</v>
      </c>
      <c r="M160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160" s="16">
        <f>Продажи[[#This Row],[цена за шт в рублях]]/Продажи[[#This Row],[Средняя цена в категории за шт по поставщику]]-1</f>
        <v>-6.9566960705693792E-2</v>
      </c>
      <c r="O160" s="48">
        <f>VLOOKUP(Продажи[[#This Row],[id клиента]],клиенты!$A$2:$E$435,5,0)</f>
        <v>44802</v>
      </c>
      <c r="P160">
        <f>Продажи[[#This Row],[дата создания чека]]-Продажи[[#This Row],[Дата регистрации]]</f>
        <v>249</v>
      </c>
      <c r="Q160" t="str">
        <f>VLOOKUP(Продажи[[#This Row],[id клиента]],клиенты!$A$2:$G$435,7,0)</f>
        <v>Россия</v>
      </c>
      <c r="R160">
        <f>IF(COUNTIF($H$2:H160, H160)=1, 1, 0)</f>
        <v>1</v>
      </c>
      <c r="S160" t="str">
        <f>VLOOKUP(Продажи[[#This Row],[id клиента]],клиенты!$A$2:$D$435,4,0)</f>
        <v>нет</v>
      </c>
      <c r="T160" s="54">
        <f>VLOOKUP(Продажи[[#This Row],[id клиента]],клиенты!$A$2:$I$435,9,0)</f>
        <v>17.971252566735114</v>
      </c>
    </row>
    <row r="161" spans="1:20" x14ac:dyDescent="0.25">
      <c r="A161">
        <v>160</v>
      </c>
      <c r="B161">
        <v>255</v>
      </c>
      <c r="C161">
        <v>279</v>
      </c>
      <c r="D161">
        <v>3</v>
      </c>
      <c r="E161" s="35">
        <v>4185</v>
      </c>
      <c r="F161" s="48">
        <v>45081</v>
      </c>
      <c r="G161" t="s">
        <v>10</v>
      </c>
      <c r="H161">
        <v>286</v>
      </c>
      <c r="I161" t="str">
        <f>VLOOKUP(Продажи[[#This Row],[id товара]],Товары[],2,0)</f>
        <v>Кофе</v>
      </c>
      <c r="J161" s="17">
        <f>AVERAGEIF(Продажи[Категория],Продажи[[#This Row],[Категория]],Продажи[цена за шт в рублях])</f>
        <v>249.02380952380952</v>
      </c>
      <c r="K161" s="16">
        <f>Продажи[[#This Row],[цена за шт в рублях]]/Продажи[[#This Row],[Средняя цена в категории за шт]]-1</f>
        <v>0.12037479682570029</v>
      </c>
      <c r="L161" t="str">
        <f>VLOOKUP(Продажи[[#This Row],[id товара]],Товары[],3,0)</f>
        <v>Nescafe</v>
      </c>
      <c r="M161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161" s="16">
        <f>Продажи[[#This Row],[цена за шт в рублях]]/Продажи[[#This Row],[Средняя цена в категории за шт по поставщику]]-1</f>
        <v>8.6025690930323195E-2</v>
      </c>
      <c r="O161" s="48">
        <f>VLOOKUP(Продажи[[#This Row],[id клиента]],клиенты!$A$2:$E$435,5,0)</f>
        <v>44563</v>
      </c>
      <c r="P161">
        <f>Продажи[[#This Row],[дата создания чека]]-Продажи[[#This Row],[Дата регистрации]]</f>
        <v>518</v>
      </c>
      <c r="Q161" t="str">
        <f>VLOOKUP(Продажи[[#This Row],[id клиента]],клиенты!$A$2:$G$435,7,0)</f>
        <v>Таджикистан</v>
      </c>
      <c r="R161">
        <f>IF(COUNTIF($H$2:H161, H161)=1, 1, 0)</f>
        <v>1</v>
      </c>
      <c r="S161" t="str">
        <f>VLOOKUP(Продажи[[#This Row],[id клиента]],клиенты!$A$2:$D$435,4,0)</f>
        <v>нет</v>
      </c>
      <c r="T161" s="54">
        <f>VLOOKUP(Продажи[[#This Row],[id клиента]],клиенты!$A$2:$I$435,9,0)</f>
        <v>28.451745379876797</v>
      </c>
    </row>
    <row r="162" spans="1:20" x14ac:dyDescent="0.25">
      <c r="A162">
        <v>161</v>
      </c>
      <c r="B162">
        <v>138</v>
      </c>
      <c r="C162">
        <v>210</v>
      </c>
      <c r="D162">
        <v>2</v>
      </c>
      <c r="E162" s="35">
        <v>2100</v>
      </c>
      <c r="F162" s="48">
        <v>45012</v>
      </c>
      <c r="G162" t="s">
        <v>13</v>
      </c>
      <c r="H162">
        <v>14</v>
      </c>
      <c r="I162" t="str">
        <f>VLOOKUP(Продажи[[#This Row],[id товара]],Товары[],2,0)</f>
        <v>Сыр</v>
      </c>
      <c r="J162" s="17">
        <f>AVERAGEIF(Продажи[Категория],Продажи[[#This Row],[Категория]],Продажи[цена за шт в рублях])</f>
        <v>262.63492063492066</v>
      </c>
      <c r="K162" s="16">
        <f>Продажи[[#This Row],[цена за шт в рублях]]/Продажи[[#This Row],[Средняя цена в категории за шт]]-1</f>
        <v>-0.20041097546234743</v>
      </c>
      <c r="L162" t="str">
        <f>VLOOKUP(Продажи[[#This Row],[id товара]],Товары[],3,0)</f>
        <v>Сырная долина</v>
      </c>
      <c r="M162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162" s="16">
        <f>Продажи[[#This Row],[цена за шт в рублях]]/Продажи[[#This Row],[Средняя цена в категории за шт по поставщику]]-1</f>
        <v>-0.22509225092250917</v>
      </c>
      <c r="O162" s="48">
        <f>VLOOKUP(Продажи[[#This Row],[id клиента]],клиенты!$A$2:$E$435,5,0)</f>
        <v>44775</v>
      </c>
      <c r="P162">
        <f>Продажи[[#This Row],[дата создания чека]]-Продажи[[#This Row],[Дата регистрации]]</f>
        <v>237</v>
      </c>
      <c r="Q162" t="str">
        <f>VLOOKUP(Продажи[[#This Row],[id клиента]],клиенты!$A$2:$G$435,7,0)</f>
        <v>Таджикистан</v>
      </c>
      <c r="R162">
        <f>IF(COUNTIF($H$2:H162, H162)=1, 1, 0)</f>
        <v>0</v>
      </c>
      <c r="S162" t="str">
        <f>VLOOKUP(Продажи[[#This Row],[id клиента]],клиенты!$A$2:$D$435,4,0)</f>
        <v>да</v>
      </c>
      <c r="T162" s="54">
        <f>VLOOKUP(Продажи[[#This Row],[id клиента]],клиенты!$A$2:$I$435,9,0)</f>
        <v>7.786447638603696</v>
      </c>
    </row>
    <row r="163" spans="1:20" x14ac:dyDescent="0.25">
      <c r="A163">
        <v>162</v>
      </c>
      <c r="B163">
        <v>403</v>
      </c>
      <c r="C163">
        <v>229</v>
      </c>
      <c r="D163">
        <v>1</v>
      </c>
      <c r="E163" s="35">
        <v>1145</v>
      </c>
      <c r="F163" s="48">
        <v>44991</v>
      </c>
      <c r="G163" t="s">
        <v>17</v>
      </c>
      <c r="H163">
        <v>32</v>
      </c>
      <c r="I163" t="str">
        <f>VLOOKUP(Продажи[[#This Row],[id товара]],Товары[],2,0)</f>
        <v>Чай</v>
      </c>
      <c r="J163" s="17">
        <f>AVERAGEIF(Продажи[Категория],Продажи[[#This Row],[Категория]],Продажи[цена за шт в рублях])</f>
        <v>271.18181818181819</v>
      </c>
      <c r="K163" s="16">
        <f>Продажи[[#This Row],[цена за шт в рублях]]/Продажи[[#This Row],[Средняя цена в категории за шт]]-1</f>
        <v>-0.15554810593362389</v>
      </c>
      <c r="L163" t="str">
        <f>VLOOKUP(Продажи[[#This Row],[id товара]],Товары[],3,0)</f>
        <v>Ахмад</v>
      </c>
      <c r="M163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163" s="16">
        <f>Продажи[[#This Row],[цена за шт в рублях]]/Продажи[[#This Row],[Средняя цена в категории за шт по поставщику]]-1</f>
        <v>-5.8775174681463205E-2</v>
      </c>
      <c r="O163" s="48">
        <f>VLOOKUP(Продажи[[#This Row],[id клиента]],клиенты!$A$2:$E$435,5,0)</f>
        <v>44922</v>
      </c>
      <c r="P163">
        <f>Продажи[[#This Row],[дата создания чека]]-Продажи[[#This Row],[Дата регистрации]]</f>
        <v>69</v>
      </c>
      <c r="Q163" t="str">
        <f>VLOOKUP(Продажи[[#This Row],[id клиента]],клиенты!$A$2:$G$435,7,0)</f>
        <v>Узбекистан</v>
      </c>
      <c r="R163">
        <f>IF(COUNTIF($H$2:H163, H163)=1, 1, 0)</f>
        <v>1</v>
      </c>
      <c r="S163" t="str">
        <f>VLOOKUP(Продажи[[#This Row],[id клиента]],клиенты!$A$2:$D$435,4,0)</f>
        <v>да</v>
      </c>
      <c r="T163" s="54">
        <f>VLOOKUP(Продажи[[#This Row],[id клиента]],клиенты!$A$2:$I$435,9,0)</f>
        <v>8.5749486652977414</v>
      </c>
    </row>
    <row r="164" spans="1:20" x14ac:dyDescent="0.25">
      <c r="A164">
        <v>163</v>
      </c>
      <c r="B164">
        <v>280</v>
      </c>
      <c r="C164">
        <v>192</v>
      </c>
      <c r="D164">
        <v>2</v>
      </c>
      <c r="E164" s="35">
        <v>1920</v>
      </c>
      <c r="F164" s="48">
        <v>45283</v>
      </c>
      <c r="G164" t="s">
        <v>8</v>
      </c>
      <c r="H164">
        <v>49</v>
      </c>
      <c r="I164" t="str">
        <f>VLOOKUP(Продажи[[#This Row],[id товара]],Товары[],2,0)</f>
        <v>Сыр</v>
      </c>
      <c r="J164" s="17">
        <f>AVERAGEIF(Продажи[Категория],Продажи[[#This Row],[Категория]],Продажи[цена за шт в рублях])</f>
        <v>262.63492063492066</v>
      </c>
      <c r="K164" s="16">
        <f>Продажи[[#This Row],[цена за шт в рублях]]/Продажи[[#This Row],[Средняя цена в категории за шт]]-1</f>
        <v>-0.26894717756557485</v>
      </c>
      <c r="L164" t="str">
        <f>VLOOKUP(Продажи[[#This Row],[id товара]],Товары[],3,0)</f>
        <v>President</v>
      </c>
      <c r="M164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164" s="16">
        <f>Продажи[[#This Row],[цена за шт в рублях]]/Продажи[[#This Row],[Средняя цена в категории за шт по поставщику]]-1</f>
        <v>-0.19571794275075638</v>
      </c>
      <c r="O164" s="48">
        <f>VLOOKUP(Продажи[[#This Row],[id клиента]],клиенты!$A$2:$E$435,5,0)</f>
        <v>44672</v>
      </c>
      <c r="P164">
        <f>Продажи[[#This Row],[дата создания чека]]-Продажи[[#This Row],[Дата регистрации]]</f>
        <v>611</v>
      </c>
      <c r="Q164" t="str">
        <f>VLOOKUP(Продажи[[#This Row],[id клиента]],клиенты!$A$2:$G$435,7,0)</f>
        <v>Таджикистан</v>
      </c>
      <c r="R164">
        <f>IF(COUNTIF($H$2:H164, H164)=1, 1, 0)</f>
        <v>1</v>
      </c>
      <c r="S164" t="str">
        <f>VLOOKUP(Продажи[[#This Row],[id клиента]],клиенты!$A$2:$D$435,4,0)</f>
        <v>да</v>
      </c>
      <c r="T164" s="54">
        <f>VLOOKUP(Продажи[[#This Row],[id клиента]],клиенты!$A$2:$I$435,9,0)</f>
        <v>20.073921971252567</v>
      </c>
    </row>
    <row r="165" spans="1:20" x14ac:dyDescent="0.25">
      <c r="A165">
        <v>164</v>
      </c>
      <c r="B165">
        <v>356</v>
      </c>
      <c r="C165">
        <v>373</v>
      </c>
      <c r="D165">
        <v>1</v>
      </c>
      <c r="E165" s="35">
        <v>1865</v>
      </c>
      <c r="F165" s="48">
        <v>45291</v>
      </c>
      <c r="G165" t="s">
        <v>10</v>
      </c>
      <c r="H165">
        <v>115</v>
      </c>
      <c r="I165" t="str">
        <f>VLOOKUP(Продажи[[#This Row],[id товара]],Товары[],2,0)</f>
        <v>Печенье</v>
      </c>
      <c r="J165" s="17">
        <f>AVERAGEIF(Продажи[Категория],Продажи[[#This Row],[Категория]],Продажи[цена за шт в рублях])</f>
        <v>283.468085106383</v>
      </c>
      <c r="K165" s="16">
        <f>Продажи[[#This Row],[цена за шт в рублях]]/Продажи[[#This Row],[Средняя цена в категории за шт]]-1</f>
        <v>0.31584477970427072</v>
      </c>
      <c r="L165" t="str">
        <f>VLOOKUP(Продажи[[#This Row],[id товара]],Товары[],3,0)</f>
        <v>Посиделкино</v>
      </c>
      <c r="M165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165" s="16">
        <f>Продажи[[#This Row],[цена за шт в рублях]]/Продажи[[#This Row],[Средняя цена в категории за шт по поставщику]]-1</f>
        <v>0.15969474279253815</v>
      </c>
      <c r="O165" s="48">
        <f>VLOOKUP(Продажи[[#This Row],[id клиента]],клиенты!$A$2:$E$435,5,0)</f>
        <v>44832</v>
      </c>
      <c r="P165">
        <f>Продажи[[#This Row],[дата создания чека]]-Продажи[[#This Row],[Дата регистрации]]</f>
        <v>459</v>
      </c>
      <c r="Q165" t="str">
        <f>VLOOKUP(Продажи[[#This Row],[id клиента]],клиенты!$A$2:$G$435,7,0)</f>
        <v>Беларусь</v>
      </c>
      <c r="R165">
        <f>IF(COUNTIF($H$2:H165, H165)=1, 1, 0)</f>
        <v>0</v>
      </c>
      <c r="S165" t="str">
        <f>VLOOKUP(Продажи[[#This Row],[id клиента]],клиенты!$A$2:$D$435,4,0)</f>
        <v>да</v>
      </c>
      <c r="T165" s="54">
        <f>VLOOKUP(Продажи[[#This Row],[id клиента]],клиенты!$A$2:$I$435,9,0)</f>
        <v>19.154004106776181</v>
      </c>
    </row>
    <row r="166" spans="1:20" x14ac:dyDescent="0.25">
      <c r="A166">
        <v>165</v>
      </c>
      <c r="B166">
        <v>41</v>
      </c>
      <c r="C166">
        <v>315</v>
      </c>
      <c r="D166">
        <v>3</v>
      </c>
      <c r="E166" s="35">
        <v>4725</v>
      </c>
      <c r="F166" s="48">
        <v>45202</v>
      </c>
      <c r="G166" t="s">
        <v>21</v>
      </c>
      <c r="H166">
        <v>420</v>
      </c>
      <c r="I166" t="str">
        <f>VLOOKUP(Продажи[[#This Row],[id товара]],Товары[],2,0)</f>
        <v>Рис</v>
      </c>
      <c r="J166" s="17">
        <f>AVERAGEIF(Продажи[Категория],Продажи[[#This Row],[Категория]],Продажи[цена за шт в рублях])</f>
        <v>258.375</v>
      </c>
      <c r="K166" s="16">
        <f>Продажи[[#This Row],[цена за шт в рублях]]/Продажи[[#This Row],[Средняя цена в категории за шт]]-1</f>
        <v>0.21915820029027566</v>
      </c>
      <c r="L166" t="str">
        <f>VLOOKUP(Продажи[[#This Row],[id товара]],Товары[],3,0)</f>
        <v>Агро-Альянс</v>
      </c>
      <c r="M166" s="32">
        <f>AVERAGEIFS(Продажи[цена за шт в рублях],Продажи[Категория],Продажи[[#This Row],[Категория]],Продажи[Поставщик],Продажи[[#This Row],[Поставщик]])</f>
        <v>317.85714285714283</v>
      </c>
      <c r="N166" s="16">
        <f>Продажи[[#This Row],[цена за шт в рублях]]/Продажи[[#This Row],[Средняя цена в категории за шт по поставщику]]-1</f>
        <v>-8.9887640449437534E-3</v>
      </c>
      <c r="O166" s="48">
        <f>VLOOKUP(Продажи[[#This Row],[id клиента]],клиенты!$A$2:$E$435,5,0)</f>
        <v>44698</v>
      </c>
      <c r="P166">
        <f>Продажи[[#This Row],[дата создания чека]]-Продажи[[#This Row],[Дата регистрации]]</f>
        <v>504</v>
      </c>
      <c r="Q166" t="str">
        <f>VLOOKUP(Продажи[[#This Row],[id клиента]],клиенты!$A$2:$G$435,7,0)</f>
        <v>Украина</v>
      </c>
      <c r="R166">
        <f>IF(COUNTIF($H$2:H166, H166)=1, 1, 0)</f>
        <v>1</v>
      </c>
      <c r="S166" t="str">
        <f>VLOOKUP(Продажи[[#This Row],[id клиента]],клиенты!$A$2:$D$435,4,0)</f>
        <v>нет</v>
      </c>
      <c r="T166" s="54">
        <f>VLOOKUP(Продажи[[#This Row],[id клиента]],клиенты!$A$2:$I$435,9,0)</f>
        <v>16.558521560574949</v>
      </c>
    </row>
    <row r="167" spans="1:20" x14ac:dyDescent="0.25">
      <c r="A167">
        <v>166</v>
      </c>
      <c r="B167">
        <v>379</v>
      </c>
      <c r="C167">
        <v>321</v>
      </c>
      <c r="D167">
        <v>5</v>
      </c>
      <c r="E167" s="35">
        <v>8025</v>
      </c>
      <c r="F167" s="48">
        <v>45032</v>
      </c>
      <c r="G167" t="s">
        <v>17</v>
      </c>
      <c r="H167">
        <v>47</v>
      </c>
      <c r="I167" t="str">
        <f>VLOOKUP(Продажи[[#This Row],[id товара]],Товары[],2,0)</f>
        <v>Йогурт</v>
      </c>
      <c r="J167" s="17">
        <f>AVERAGEIF(Продажи[Категория],Продажи[[#This Row],[Категория]],Продажи[цена за шт в рублях])</f>
        <v>263.25423728813558</v>
      </c>
      <c r="K167" s="16">
        <f>Продажи[[#This Row],[цена за шт в рублях]]/Продажи[[#This Row],[Средняя цена в категории за шт]]-1</f>
        <v>0.21935359258305431</v>
      </c>
      <c r="L167" t="str">
        <f>VLOOKUP(Продажи[[#This Row],[id товара]],Товары[],3,0)</f>
        <v>Активиа</v>
      </c>
      <c r="M167" s="32">
        <f>AVERAGEIFS(Продажи[цена за шт в рублях],Продажи[Категория],Продажи[[#This Row],[Категория]],Продажи[Поставщик],Продажи[[#This Row],[Поставщик]])</f>
        <v>293.66666666666669</v>
      </c>
      <c r="N167" s="16">
        <f>Продажи[[#This Row],[цена за шт в рублях]]/Продажи[[#This Row],[Средняя цена в категории за шт по поставщику]]-1</f>
        <v>9.3076049943246142E-2</v>
      </c>
      <c r="O167" s="48">
        <f>VLOOKUP(Продажи[[#This Row],[id клиента]],клиенты!$A$2:$E$435,5,0)</f>
        <v>44693</v>
      </c>
      <c r="P167">
        <f>Продажи[[#This Row],[дата создания чека]]-Продажи[[#This Row],[Дата регистрации]]</f>
        <v>339</v>
      </c>
      <c r="Q167" t="str">
        <f>VLOOKUP(Продажи[[#This Row],[id клиента]],клиенты!$A$2:$G$435,7,0)</f>
        <v>Беларусь</v>
      </c>
      <c r="R167">
        <f>IF(COUNTIF($H$2:H167, H167)=1, 1, 0)</f>
        <v>0</v>
      </c>
      <c r="S167" t="str">
        <f>VLOOKUP(Продажи[[#This Row],[id клиента]],клиенты!$A$2:$D$435,4,0)</f>
        <v>нет</v>
      </c>
      <c r="T167" s="54">
        <f>VLOOKUP(Продажи[[#This Row],[id клиента]],клиенты!$A$2:$I$435,9,0)</f>
        <v>16.525667351129364</v>
      </c>
    </row>
    <row r="168" spans="1:20" x14ac:dyDescent="0.25">
      <c r="A168">
        <v>167</v>
      </c>
      <c r="B168">
        <v>282</v>
      </c>
      <c r="C168">
        <v>189</v>
      </c>
      <c r="D168">
        <v>2</v>
      </c>
      <c r="E168" s="35">
        <v>1890</v>
      </c>
      <c r="F168" s="48">
        <v>45158</v>
      </c>
      <c r="G168" t="s">
        <v>17</v>
      </c>
      <c r="H168">
        <v>202</v>
      </c>
      <c r="I168" t="str">
        <f>VLOOKUP(Продажи[[#This Row],[id товара]],Товары[],2,0)</f>
        <v>Рис</v>
      </c>
      <c r="J168" s="17">
        <f>AVERAGEIF(Продажи[Категория],Продажи[[#This Row],[Категория]],Продажи[цена за шт в рублях])</f>
        <v>258.375</v>
      </c>
      <c r="K168" s="16">
        <f>Продажи[[#This Row],[цена за шт в рублях]]/Продажи[[#This Row],[Средняя цена в категории за шт]]-1</f>
        <v>-0.26850507982583449</v>
      </c>
      <c r="L168" t="str">
        <f>VLOOKUP(Продажи[[#This Row],[id товара]],Товары[],3,0)</f>
        <v>Агро-Альянс</v>
      </c>
      <c r="M168" s="32">
        <f>AVERAGEIFS(Продажи[цена за шт в рублях],Продажи[Категория],Продажи[[#This Row],[Категория]],Продажи[Поставщик],Продажи[[#This Row],[Поставщик]])</f>
        <v>317.85714285714283</v>
      </c>
      <c r="N168" s="16">
        <f>Продажи[[#This Row],[цена за шт в рублях]]/Продажи[[#This Row],[Средняя цена в категории за шт по поставщику]]-1</f>
        <v>-0.40539325842696627</v>
      </c>
      <c r="O168" s="48">
        <f>VLOOKUP(Продажи[[#This Row],[id клиента]],клиенты!$A$2:$E$435,5,0)</f>
        <v>44766</v>
      </c>
      <c r="P168">
        <f>Продажи[[#This Row],[дата создания чека]]-Продажи[[#This Row],[Дата регистрации]]</f>
        <v>392</v>
      </c>
      <c r="Q168" t="str">
        <f>VLOOKUP(Продажи[[#This Row],[id клиента]],клиенты!$A$2:$G$435,7,0)</f>
        <v>Беларусь</v>
      </c>
      <c r="R168">
        <f>IF(COUNTIF($H$2:H168, H168)=1, 1, 0)</f>
        <v>1</v>
      </c>
      <c r="S168" t="str">
        <f>VLOOKUP(Продажи[[#This Row],[id клиента]],клиенты!$A$2:$D$435,4,0)</f>
        <v>нет</v>
      </c>
      <c r="T168" s="54">
        <f>VLOOKUP(Продажи[[#This Row],[id клиента]],клиенты!$A$2:$I$435,9,0)</f>
        <v>19.383983572895279</v>
      </c>
    </row>
    <row r="169" spans="1:20" x14ac:dyDescent="0.25">
      <c r="A169">
        <v>168</v>
      </c>
      <c r="B169">
        <v>459</v>
      </c>
      <c r="C169">
        <v>405</v>
      </c>
      <c r="D169">
        <v>3</v>
      </c>
      <c r="E169" s="35">
        <v>6075</v>
      </c>
      <c r="F169" s="48">
        <v>44949</v>
      </c>
      <c r="G169" t="s">
        <v>10</v>
      </c>
      <c r="H169">
        <v>37</v>
      </c>
      <c r="I169" t="str">
        <f>VLOOKUP(Продажи[[#This Row],[id товара]],Товары[],2,0)</f>
        <v>Крупа</v>
      </c>
      <c r="J169" s="17">
        <f>AVERAGEIF(Продажи[Категория],Продажи[[#This Row],[Категория]],Продажи[цена за шт в рублях])</f>
        <v>255.11627906976744</v>
      </c>
      <c r="K169" s="16">
        <f>Продажи[[#This Row],[цена за шт в рублях]]/Продажи[[#This Row],[Средняя цена в категории за шт]]-1</f>
        <v>0.58751139471285319</v>
      </c>
      <c r="L169" t="str">
        <f>VLOOKUP(Продажи[[#This Row],[id товара]],Товары[],3,0)</f>
        <v>Националь</v>
      </c>
      <c r="M169" s="32">
        <f>AVERAGEIFS(Продажи[цена за шт в рублях],Продажи[Категория],Продажи[[#This Row],[Категория]],Продажи[Поставщик],Продажи[[#This Row],[Поставщик]])</f>
        <v>274.28571428571428</v>
      </c>
      <c r="N169" s="16">
        <f>Продажи[[#This Row],[цена за шт в рублях]]/Продажи[[#This Row],[Средняя цена в категории за шт по поставщику]]-1</f>
        <v>0.4765625</v>
      </c>
      <c r="O169" s="48">
        <f>VLOOKUP(Продажи[[#This Row],[id клиента]],клиенты!$A$2:$E$435,5,0)</f>
        <v>44728</v>
      </c>
      <c r="P169">
        <f>Продажи[[#This Row],[дата создания чека]]-Продажи[[#This Row],[Дата регистрации]]</f>
        <v>221</v>
      </c>
      <c r="Q169" t="str">
        <f>VLOOKUP(Продажи[[#This Row],[id клиента]],клиенты!$A$2:$G$435,7,0)</f>
        <v>Украина</v>
      </c>
      <c r="R169">
        <f>IF(COUNTIF($H$2:H169, H169)=1, 1, 0)</f>
        <v>1</v>
      </c>
      <c r="S169" t="str">
        <f>VLOOKUP(Продажи[[#This Row],[id клиента]],клиенты!$A$2:$D$435,4,0)</f>
        <v>да</v>
      </c>
      <c r="T169" s="54">
        <f>VLOOKUP(Продажи[[#This Row],[id клиента]],клиенты!$A$2:$I$435,9,0)</f>
        <v>12.024640657084189</v>
      </c>
    </row>
    <row r="170" spans="1:20" x14ac:dyDescent="0.25">
      <c r="A170">
        <v>169</v>
      </c>
      <c r="B170">
        <v>402</v>
      </c>
      <c r="C170">
        <v>426</v>
      </c>
      <c r="D170">
        <v>2</v>
      </c>
      <c r="E170" s="35">
        <v>4260</v>
      </c>
      <c r="F170" s="48">
        <v>45099</v>
      </c>
      <c r="G170" t="s">
        <v>25</v>
      </c>
      <c r="H170">
        <v>366</v>
      </c>
      <c r="I170" t="str">
        <f>VLOOKUP(Продажи[[#This Row],[id товара]],Товары[],2,0)</f>
        <v>Хлеб</v>
      </c>
      <c r="J170" s="17">
        <f>AVERAGEIF(Продажи[Категория],Продажи[[#This Row],[Категория]],Продажи[цена за шт в рублях])</f>
        <v>300.31818181818181</v>
      </c>
      <c r="K170" s="16">
        <f>Продажи[[#This Row],[цена за шт в рублях]]/Продажи[[#This Row],[Средняя цена в категории за шт]]-1</f>
        <v>0.41849553503859549</v>
      </c>
      <c r="L170" t="str">
        <f>VLOOKUP(Продажи[[#This Row],[id товара]],Товары[],3,0)</f>
        <v>Каравай</v>
      </c>
      <c r="M170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170" s="16">
        <f>Продажи[[#This Row],[цена за шт в рублях]]/Продажи[[#This Row],[Средняя цена в категории за шт по поставщику]]-1</f>
        <v>0.28636134876698538</v>
      </c>
      <c r="O170" s="48">
        <f>VLOOKUP(Продажи[[#This Row],[id клиента]],клиенты!$A$2:$E$435,5,0)</f>
        <v>44827</v>
      </c>
      <c r="P170">
        <f>Продажи[[#This Row],[дата создания чека]]-Продажи[[#This Row],[Дата регистрации]]</f>
        <v>272</v>
      </c>
      <c r="Q170" t="str">
        <f>VLOOKUP(Продажи[[#This Row],[id клиента]],клиенты!$A$2:$G$435,7,0)</f>
        <v>Узбекистан</v>
      </c>
      <c r="R170">
        <f>IF(COUNTIF($H$2:H170, H170)=1, 1, 0)</f>
        <v>1</v>
      </c>
      <c r="S170" t="str">
        <f>VLOOKUP(Продажи[[#This Row],[id клиента]],клиенты!$A$2:$D$435,4,0)</f>
        <v>нет</v>
      </c>
      <c r="T170" s="54">
        <f>VLOOKUP(Продажи[[#This Row],[id клиента]],клиенты!$A$2:$I$435,9,0)</f>
        <v>15.178644763860369</v>
      </c>
    </row>
    <row r="171" spans="1:20" x14ac:dyDescent="0.25">
      <c r="A171">
        <v>170</v>
      </c>
      <c r="B171">
        <v>320</v>
      </c>
      <c r="C171">
        <v>271</v>
      </c>
      <c r="D171">
        <v>1</v>
      </c>
      <c r="E171" s="35">
        <v>1355</v>
      </c>
      <c r="F171" s="48">
        <v>45412</v>
      </c>
      <c r="G171" t="s">
        <v>27</v>
      </c>
      <c r="H171">
        <v>434</v>
      </c>
      <c r="I171" t="str">
        <f>VLOOKUP(Продажи[[#This Row],[id товара]],Товары[],2,0)</f>
        <v>Конфеты</v>
      </c>
      <c r="J171" s="17">
        <f>AVERAGEIF(Продажи[Категория],Продажи[[#This Row],[Категория]],Продажи[цена за шт в рублях])</f>
        <v>267.85483870967744</v>
      </c>
      <c r="K171" s="16">
        <f>Продажи[[#This Row],[цена за шт в рублях]]/Продажи[[#This Row],[Средняя цена в категории за шт]]-1</f>
        <v>1.1742036490636432E-2</v>
      </c>
      <c r="L171" t="str">
        <f>VLOOKUP(Продажи[[#This Row],[id товара]],Товары[],3,0)</f>
        <v>Бабаевский</v>
      </c>
      <c r="M171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171" s="16">
        <f>Продажи[[#This Row],[цена за шт в рублях]]/Продажи[[#This Row],[Средняя цена в категории за шт по поставщику]]-1</f>
        <v>8.2877016427408634E-2</v>
      </c>
      <c r="O171" s="48">
        <f>VLOOKUP(Продажи[[#This Row],[id клиента]],клиенты!$A$2:$E$435,5,0)</f>
        <v>44730</v>
      </c>
      <c r="P171">
        <f>Продажи[[#This Row],[дата создания чека]]-Продажи[[#This Row],[Дата регистрации]]</f>
        <v>682</v>
      </c>
      <c r="Q171" t="str">
        <f>VLOOKUP(Продажи[[#This Row],[id клиента]],клиенты!$A$2:$G$435,7,0)</f>
        <v>Украина</v>
      </c>
      <c r="R171">
        <f>IF(COUNTIF($H$2:H171, H171)=1, 1, 0)</f>
        <v>1</v>
      </c>
      <c r="S171" t="str">
        <f>VLOOKUP(Продажи[[#This Row],[id клиента]],клиенты!$A$2:$D$435,4,0)</f>
        <v>нет</v>
      </c>
      <c r="T171" s="54">
        <f>VLOOKUP(Продажи[[#This Row],[id клиента]],клиенты!$A$2:$I$435,9,0)</f>
        <v>22.406570841889117</v>
      </c>
    </row>
    <row r="172" spans="1:20" x14ac:dyDescent="0.25">
      <c r="A172">
        <v>171</v>
      </c>
      <c r="B172">
        <v>19</v>
      </c>
      <c r="C172">
        <v>96</v>
      </c>
      <c r="D172">
        <v>4</v>
      </c>
      <c r="E172" s="35">
        <v>1920</v>
      </c>
      <c r="F172" s="48">
        <v>45041</v>
      </c>
      <c r="G172" t="s">
        <v>9</v>
      </c>
      <c r="H172">
        <v>172</v>
      </c>
      <c r="I172" t="str">
        <f>VLOOKUP(Продажи[[#This Row],[id товара]],Товары[],2,0)</f>
        <v>Мясо</v>
      </c>
      <c r="J172" s="17">
        <f>AVERAGEIF(Продажи[Категория],Продажи[[#This Row],[Категория]],Продажи[цена за шт в рублях])</f>
        <v>271.74545454545455</v>
      </c>
      <c r="K172" s="16">
        <f>Продажи[[#This Row],[цена за шт в рублях]]/Продажи[[#This Row],[Средняя цена в категории за шт]]-1</f>
        <v>-0.6467282215977519</v>
      </c>
      <c r="L172" t="str">
        <f>VLOOKUP(Продажи[[#This Row],[id товара]],Товары[],3,0)</f>
        <v>Снежана</v>
      </c>
      <c r="M172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172" s="16">
        <f>Продажи[[#This Row],[цена за шт в рублях]]/Продажи[[#This Row],[Средняя цена в категории за шт по поставщику]]-1</f>
        <v>-0.64751619870410371</v>
      </c>
      <c r="O172" s="48">
        <f>VLOOKUP(Продажи[[#This Row],[id клиента]],клиенты!$A$2:$E$435,5,0)</f>
        <v>44737</v>
      </c>
      <c r="P172">
        <f>Продажи[[#This Row],[дата создания чека]]-Продажи[[#This Row],[Дата регистрации]]</f>
        <v>304</v>
      </c>
      <c r="Q172" t="str">
        <f>VLOOKUP(Продажи[[#This Row],[id клиента]],клиенты!$A$2:$G$435,7,0)</f>
        <v>Россия</v>
      </c>
      <c r="R172">
        <f>IF(COUNTIF($H$2:H172, H172)=1, 1, 0)</f>
        <v>1</v>
      </c>
      <c r="S172" t="str">
        <f>VLOOKUP(Продажи[[#This Row],[id клиента]],клиенты!$A$2:$D$435,4,0)</f>
        <v>нет</v>
      </c>
      <c r="T172" s="54">
        <f>VLOOKUP(Продажи[[#This Row],[id клиента]],клиенты!$A$2:$I$435,9,0)</f>
        <v>22.209445585215605</v>
      </c>
    </row>
    <row r="173" spans="1:20" x14ac:dyDescent="0.25">
      <c r="A173">
        <v>172</v>
      </c>
      <c r="B173">
        <v>447</v>
      </c>
      <c r="C173">
        <v>65</v>
      </c>
      <c r="D173">
        <v>1</v>
      </c>
      <c r="E173" s="35">
        <v>325</v>
      </c>
      <c r="F173" s="48">
        <v>45341</v>
      </c>
      <c r="G173" t="s">
        <v>11</v>
      </c>
      <c r="H173">
        <v>52</v>
      </c>
      <c r="I173" t="str">
        <f>VLOOKUP(Продажи[[#This Row],[id товара]],Товары[],2,0)</f>
        <v>Йогурт</v>
      </c>
      <c r="J173" s="17">
        <f>AVERAGEIF(Продажи[Категория],Продажи[[#This Row],[Категория]],Продажи[цена за шт в рублях])</f>
        <v>263.25423728813558</v>
      </c>
      <c r="K173" s="16">
        <f>Продажи[[#This Row],[цена за шт в рублях]]/Продажи[[#This Row],[Средняя цена в категории за шт]]-1</f>
        <v>-0.75309039402523825</v>
      </c>
      <c r="L173" t="str">
        <f>VLOOKUP(Продажи[[#This Row],[id товара]],Товары[],3,0)</f>
        <v>Эрманн</v>
      </c>
      <c r="M173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173" s="16">
        <f>Продажи[[#This Row],[цена за шт в рублях]]/Продажи[[#This Row],[Средняя цена в категории за шт по поставщику]]-1</f>
        <v>-0.7384305835010061</v>
      </c>
      <c r="O173" s="48">
        <f>VLOOKUP(Продажи[[#This Row],[id клиента]],клиенты!$A$2:$E$435,5,0)</f>
        <v>44917</v>
      </c>
      <c r="P173">
        <f>Продажи[[#This Row],[дата создания чека]]-Продажи[[#This Row],[Дата регистрации]]</f>
        <v>424</v>
      </c>
      <c r="Q173" t="str">
        <f>VLOOKUP(Продажи[[#This Row],[id клиента]],клиенты!$A$2:$G$435,7,0)</f>
        <v>Россия</v>
      </c>
      <c r="R173">
        <f>IF(COUNTIF($H$2:H173, H173)=1, 1, 0)</f>
        <v>1</v>
      </c>
      <c r="S173" t="str">
        <f>VLOOKUP(Продажи[[#This Row],[id клиента]],клиенты!$A$2:$D$435,4,0)</f>
        <v>да</v>
      </c>
      <c r="T173" s="54">
        <f>VLOOKUP(Продажи[[#This Row],[id клиента]],клиенты!$A$2:$I$435,9,0)</f>
        <v>13.930184804928132</v>
      </c>
    </row>
    <row r="174" spans="1:20" x14ac:dyDescent="0.25">
      <c r="A174">
        <v>173</v>
      </c>
      <c r="B174">
        <v>406</v>
      </c>
      <c r="C174">
        <v>426</v>
      </c>
      <c r="D174">
        <v>1</v>
      </c>
      <c r="E174" s="35">
        <v>2130</v>
      </c>
      <c r="F174" s="48">
        <v>45289</v>
      </c>
      <c r="G174" t="s">
        <v>12</v>
      </c>
      <c r="H174">
        <v>395</v>
      </c>
      <c r="I174" t="str">
        <f>VLOOKUP(Продажи[[#This Row],[id товара]],Товары[],2,0)</f>
        <v>Сок</v>
      </c>
      <c r="J174" s="17">
        <f>AVERAGEIF(Продажи[Категория],Продажи[[#This Row],[Категория]],Продажи[цена за шт в рублях])</f>
        <v>268.60344827586209</v>
      </c>
      <c r="K174" s="16">
        <f>Продажи[[#This Row],[цена за шт в рублях]]/Продажи[[#This Row],[Средняя цена в категории за шт]]-1</f>
        <v>0.58598112844213346</v>
      </c>
      <c r="L174" t="str">
        <f>VLOOKUP(Продажи[[#This Row],[id товара]],Товары[],3,0)</f>
        <v>Фруктовый сад</v>
      </c>
      <c r="M174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174" s="16">
        <f>Продажи[[#This Row],[цена за шт в рублях]]/Продажи[[#This Row],[Средняя цена в категории за шт по поставщику]]-1</f>
        <v>0.51080571871882974</v>
      </c>
      <c r="O174" s="48">
        <f>VLOOKUP(Продажи[[#This Row],[id клиента]],клиенты!$A$2:$E$435,5,0)</f>
        <v>44890</v>
      </c>
      <c r="P174">
        <f>Продажи[[#This Row],[дата создания чека]]-Продажи[[#This Row],[Дата регистрации]]</f>
        <v>399</v>
      </c>
      <c r="Q174" t="str">
        <f>VLOOKUP(Продажи[[#This Row],[id клиента]],клиенты!$A$2:$G$435,7,0)</f>
        <v>Узбекистан</v>
      </c>
      <c r="R174">
        <f>IF(COUNTIF($H$2:H174, H174)=1, 1, 0)</f>
        <v>1</v>
      </c>
      <c r="S174" t="str">
        <f>VLOOKUP(Продажи[[#This Row],[id клиента]],клиенты!$A$2:$D$435,4,0)</f>
        <v>нет</v>
      </c>
      <c r="T174" s="54">
        <f>VLOOKUP(Продажи[[#This Row],[id клиента]],клиенты!$A$2:$I$435,9,0)</f>
        <v>13.108829568788501</v>
      </c>
    </row>
    <row r="175" spans="1:20" x14ac:dyDescent="0.25">
      <c r="A175">
        <v>174</v>
      </c>
      <c r="B175">
        <v>391</v>
      </c>
      <c r="C175">
        <v>356</v>
      </c>
      <c r="D175">
        <v>2</v>
      </c>
      <c r="E175" s="35">
        <v>3560</v>
      </c>
      <c r="F175" s="48">
        <v>45175</v>
      </c>
      <c r="G175" t="s">
        <v>12</v>
      </c>
      <c r="H175">
        <v>46</v>
      </c>
      <c r="I175" t="str">
        <f>VLOOKUP(Продажи[[#This Row],[id товара]],Товары[],2,0)</f>
        <v>Рыба</v>
      </c>
      <c r="J175" s="17">
        <f>AVERAGEIF(Продажи[Категория],Продажи[[#This Row],[Категория]],Продажи[цена за шт в рублях])</f>
        <v>258.5128205128205</v>
      </c>
      <c r="K175" s="16">
        <f>Продажи[[#This Row],[цена за шт в рублях]]/Продажи[[#This Row],[Средняя цена в категории за шт]]-1</f>
        <v>0.37710771672287247</v>
      </c>
      <c r="L175" t="str">
        <f>VLOOKUP(Продажи[[#This Row],[id товара]],Товары[],3,0)</f>
        <v>Балтийский берег</v>
      </c>
      <c r="M175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175" s="16">
        <f>Продажи[[#This Row],[цена за шт в рублях]]/Продажи[[#This Row],[Средняя цена в категории за шт по поставщику]]-1</f>
        <v>0.22805672671521648</v>
      </c>
      <c r="O175" s="48">
        <f>VLOOKUP(Продажи[[#This Row],[id клиента]],клиенты!$A$2:$E$435,5,0)</f>
        <v>44636</v>
      </c>
      <c r="P175">
        <f>Продажи[[#This Row],[дата создания чека]]-Продажи[[#This Row],[Дата регистрации]]</f>
        <v>539</v>
      </c>
      <c r="Q175" t="str">
        <f>VLOOKUP(Продажи[[#This Row],[id клиента]],клиенты!$A$2:$G$435,7,0)</f>
        <v>Таджикистан</v>
      </c>
      <c r="R175">
        <f>IF(COUNTIF($H$2:H175, H175)=1, 1, 0)</f>
        <v>1</v>
      </c>
      <c r="S175" t="str">
        <f>VLOOKUP(Продажи[[#This Row],[id клиента]],клиенты!$A$2:$D$435,4,0)</f>
        <v>да</v>
      </c>
      <c r="T175" s="54">
        <f>VLOOKUP(Продажи[[#This Row],[id клиента]],клиенты!$A$2:$I$435,9,0)</f>
        <v>17.708418891170432</v>
      </c>
    </row>
    <row r="176" spans="1:20" x14ac:dyDescent="0.25">
      <c r="A176">
        <v>175</v>
      </c>
      <c r="B176">
        <v>82</v>
      </c>
      <c r="C176">
        <v>233</v>
      </c>
      <c r="D176">
        <v>2</v>
      </c>
      <c r="E176" s="35">
        <v>2330</v>
      </c>
      <c r="F176" s="48">
        <v>45369</v>
      </c>
      <c r="G176" t="s">
        <v>24</v>
      </c>
      <c r="H176">
        <v>361</v>
      </c>
      <c r="I176" t="str">
        <f>VLOOKUP(Продажи[[#This Row],[id товара]],Товары[],2,0)</f>
        <v>Сыр</v>
      </c>
      <c r="J176" s="17">
        <f>AVERAGEIF(Продажи[Категория],Продажи[[#This Row],[Категория]],Продажи[цена за шт в рублях])</f>
        <v>262.63492063492066</v>
      </c>
      <c r="K176" s="16">
        <f>Продажи[[#This Row],[цена за шт в рублях]]/Продажи[[#This Row],[Средняя цена в категории за шт]]-1</f>
        <v>-0.11283693944155693</v>
      </c>
      <c r="L176" t="str">
        <f>VLOOKUP(Продажи[[#This Row],[id товара]],Товары[],3,0)</f>
        <v>Hochland</v>
      </c>
      <c r="M176" s="32">
        <f>AVERAGEIFS(Продажи[цена за шт в рублях],Продажи[Категория],Продажи[[#This Row],[Категория]],Продажи[Поставщик],Продажи[[#This Row],[Поставщик]])</f>
        <v>168</v>
      </c>
      <c r="N176" s="16">
        <f>Продажи[[#This Row],[цена за шт в рублях]]/Продажи[[#This Row],[Средняя цена в категории за шт по поставщику]]-1</f>
        <v>0.38690476190476186</v>
      </c>
      <c r="O176" s="48">
        <f>VLOOKUP(Продажи[[#This Row],[id клиента]],клиенты!$A$2:$E$435,5,0)</f>
        <v>44831</v>
      </c>
      <c r="P176">
        <f>Продажи[[#This Row],[дата создания чека]]-Продажи[[#This Row],[Дата регистрации]]</f>
        <v>538</v>
      </c>
      <c r="Q176" t="str">
        <f>VLOOKUP(Продажи[[#This Row],[id клиента]],клиенты!$A$2:$G$435,7,0)</f>
        <v>Узбекистан</v>
      </c>
      <c r="R176">
        <f>IF(COUNTIF($H$2:H176, H176)=1, 1, 0)</f>
        <v>1</v>
      </c>
      <c r="S176" t="str">
        <f>VLOOKUP(Продажи[[#This Row],[id клиента]],клиенты!$A$2:$D$435,4,0)</f>
        <v>да</v>
      </c>
      <c r="T176" s="54">
        <f>VLOOKUP(Продажи[[#This Row],[id клиента]],клиенты!$A$2:$I$435,9,0)</f>
        <v>17.675564681724847</v>
      </c>
    </row>
    <row r="177" spans="1:20" x14ac:dyDescent="0.25">
      <c r="A177">
        <v>176</v>
      </c>
      <c r="B177">
        <v>243</v>
      </c>
      <c r="C177">
        <v>494</v>
      </c>
      <c r="D177">
        <v>5</v>
      </c>
      <c r="E177" s="35">
        <v>12350</v>
      </c>
      <c r="F177" s="48">
        <v>45353</v>
      </c>
      <c r="G177" t="s">
        <v>27</v>
      </c>
      <c r="H177">
        <v>358</v>
      </c>
      <c r="I177" t="str">
        <f>VLOOKUP(Продажи[[#This Row],[id товара]],Товары[],2,0)</f>
        <v>Рис</v>
      </c>
      <c r="J177" s="17">
        <f>AVERAGEIF(Продажи[Категория],Продажи[[#This Row],[Категория]],Продажи[цена за шт в рублях])</f>
        <v>258.375</v>
      </c>
      <c r="K177" s="16">
        <f>Продажи[[#This Row],[цена за шт в рублях]]/Продажи[[#This Row],[Средняя цена в категории за шт]]-1</f>
        <v>0.91194968553459121</v>
      </c>
      <c r="L177" t="str">
        <f>VLOOKUP(Продажи[[#This Row],[id товара]],Товары[],3,0)</f>
        <v>Белый Злат</v>
      </c>
      <c r="M177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177" s="16">
        <f>Продажи[[#This Row],[цена за шт в рублях]]/Продажи[[#This Row],[Средняя цена в категории за шт по поставщику]]-1</f>
        <v>0.83162486368593247</v>
      </c>
      <c r="O177" s="48">
        <f>VLOOKUP(Продажи[[#This Row],[id клиента]],клиенты!$A$2:$E$435,5,0)</f>
        <v>44771</v>
      </c>
      <c r="P177">
        <f>Продажи[[#This Row],[дата создания чека]]-Продажи[[#This Row],[Дата регистрации]]</f>
        <v>582</v>
      </c>
      <c r="Q177" t="str">
        <f>VLOOKUP(Продажи[[#This Row],[id клиента]],клиенты!$A$2:$G$435,7,0)</f>
        <v>Украина</v>
      </c>
      <c r="R177">
        <f>IF(COUNTIF($H$2:H177, H177)=1, 1, 0)</f>
        <v>1</v>
      </c>
      <c r="S177" t="str">
        <f>VLOOKUP(Продажи[[#This Row],[id клиента]],клиенты!$A$2:$D$435,4,0)</f>
        <v>да</v>
      </c>
      <c r="T177" s="54">
        <f>VLOOKUP(Продажи[[#This Row],[id клиента]],клиенты!$A$2:$I$435,9,0)</f>
        <v>20.829568788501028</v>
      </c>
    </row>
    <row r="178" spans="1:20" x14ac:dyDescent="0.25">
      <c r="A178">
        <v>177</v>
      </c>
      <c r="B178">
        <v>432</v>
      </c>
      <c r="C178">
        <v>305</v>
      </c>
      <c r="D178">
        <v>3</v>
      </c>
      <c r="E178" s="35">
        <v>4575</v>
      </c>
      <c r="F178" s="48">
        <v>45413</v>
      </c>
      <c r="G178" t="s">
        <v>22</v>
      </c>
      <c r="H178">
        <v>44</v>
      </c>
      <c r="I178" t="str">
        <f>VLOOKUP(Продажи[[#This Row],[id товара]],Товары[],2,0)</f>
        <v>Макароны</v>
      </c>
      <c r="J178" s="17">
        <f>AVERAGEIF(Продажи[Категория],Продажи[[#This Row],[Категория]],Продажи[цена за шт в рублях])</f>
        <v>265.47674418604652</v>
      </c>
      <c r="K178" s="16">
        <f>Продажи[[#This Row],[цена за шт в рублях]]/Продажи[[#This Row],[Средняя цена в категории за шт]]-1</f>
        <v>0.14887652752836056</v>
      </c>
      <c r="L178" t="str">
        <f>VLOOKUP(Продажи[[#This Row],[id товара]],Товары[],3,0)</f>
        <v>Борилла</v>
      </c>
      <c r="M178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178" s="16">
        <f>Продажи[[#This Row],[цена за шт в рублях]]/Продажи[[#This Row],[Средняя цена в категории за шт по поставщику]]-1</f>
        <v>0.29086398131932278</v>
      </c>
      <c r="O178" s="48">
        <f>VLOOKUP(Продажи[[#This Row],[id клиента]],клиенты!$A$2:$E$435,5,0)</f>
        <v>44701</v>
      </c>
      <c r="P178">
        <f>Продажи[[#This Row],[дата создания чека]]-Продажи[[#This Row],[Дата регистрации]]</f>
        <v>712</v>
      </c>
      <c r="Q178" t="str">
        <f>VLOOKUP(Продажи[[#This Row],[id клиента]],клиенты!$A$2:$G$435,7,0)</f>
        <v>Беларусь</v>
      </c>
      <c r="R178">
        <f>IF(COUNTIF($H$2:H178, H178)=1, 1, 0)</f>
        <v>1</v>
      </c>
      <c r="S178" t="str">
        <f>VLOOKUP(Продажи[[#This Row],[id клиента]],клиенты!$A$2:$D$435,4,0)</f>
        <v>нет</v>
      </c>
      <c r="T178" s="54">
        <f>VLOOKUP(Продажи[[#This Row],[id клиента]],клиенты!$A$2:$I$435,9,0)</f>
        <v>23.392197125256672</v>
      </c>
    </row>
    <row r="179" spans="1:20" x14ac:dyDescent="0.25">
      <c r="A179">
        <v>178</v>
      </c>
      <c r="B179">
        <v>159</v>
      </c>
      <c r="C179">
        <v>173</v>
      </c>
      <c r="D179">
        <v>4</v>
      </c>
      <c r="E179" s="35">
        <v>3460</v>
      </c>
      <c r="F179" s="48">
        <v>45175</v>
      </c>
      <c r="G179" t="s">
        <v>10</v>
      </c>
      <c r="H179">
        <v>416</v>
      </c>
      <c r="I179" t="str">
        <f>VLOOKUP(Продажи[[#This Row],[id товара]],Товары[],2,0)</f>
        <v>Крупа</v>
      </c>
      <c r="J179" s="17">
        <f>AVERAGEIF(Продажи[Категория],Продажи[[#This Row],[Категория]],Продажи[цена за шт в рублях])</f>
        <v>255.11627906976744</v>
      </c>
      <c r="K179" s="16">
        <f>Продажи[[#This Row],[цена за шт в рублях]]/Продажи[[#This Row],[Средняя цена в категории за шт]]-1</f>
        <v>-0.32187784867821334</v>
      </c>
      <c r="L179" t="str">
        <f>VLOOKUP(Продажи[[#This Row],[id товара]],Товары[],3,0)</f>
        <v>Националь</v>
      </c>
      <c r="M179" s="32">
        <f>AVERAGEIFS(Продажи[цена за шт в рублях],Продажи[Категория],Продажи[[#This Row],[Категория]],Продажи[Поставщик],Продажи[[#This Row],[Поставщик]])</f>
        <v>274.28571428571428</v>
      </c>
      <c r="N179" s="16">
        <f>Продажи[[#This Row],[цена за шт в рублях]]/Продажи[[#This Row],[Средняя цена в категории за шт по поставщику]]-1</f>
        <v>-0.36927083333333333</v>
      </c>
      <c r="O179" s="48">
        <f>VLOOKUP(Продажи[[#This Row],[id клиента]],клиенты!$A$2:$E$435,5,0)</f>
        <v>44703</v>
      </c>
      <c r="P179">
        <f>Продажи[[#This Row],[дата создания чека]]-Продажи[[#This Row],[Дата регистрации]]</f>
        <v>472</v>
      </c>
      <c r="Q179" t="str">
        <f>VLOOKUP(Продажи[[#This Row],[id клиента]],клиенты!$A$2:$G$435,7,0)</f>
        <v>Таджикистан</v>
      </c>
      <c r="R179">
        <f>IF(COUNTIF($H$2:H179, H179)=1, 1, 0)</f>
        <v>1</v>
      </c>
      <c r="S179" t="str">
        <f>VLOOKUP(Продажи[[#This Row],[id клиента]],клиенты!$A$2:$D$435,4,0)</f>
        <v>нет</v>
      </c>
      <c r="T179" s="54">
        <f>VLOOKUP(Продажи[[#This Row],[id клиента]],клиенты!$A$2:$I$435,9,0)</f>
        <v>18.82546201232033</v>
      </c>
    </row>
    <row r="180" spans="1:20" x14ac:dyDescent="0.25">
      <c r="A180">
        <v>179</v>
      </c>
      <c r="B180">
        <v>197</v>
      </c>
      <c r="C180">
        <v>177</v>
      </c>
      <c r="D180">
        <v>2</v>
      </c>
      <c r="E180" s="35">
        <v>1770</v>
      </c>
      <c r="F180" s="48">
        <v>45165</v>
      </c>
      <c r="G180" t="s">
        <v>23</v>
      </c>
      <c r="H180">
        <v>153</v>
      </c>
      <c r="I180" t="str">
        <f>VLOOKUP(Продажи[[#This Row],[id товара]],Товары[],2,0)</f>
        <v>Печенье</v>
      </c>
      <c r="J180" s="17">
        <f>AVERAGEIF(Продажи[Категория],Продажи[[#This Row],[Категория]],Продажи[цена за шт в рублях])</f>
        <v>283.468085106383</v>
      </c>
      <c r="K180" s="16">
        <f>Продажи[[#This Row],[цена за шт в рублях]]/Продажи[[#This Row],[Средняя цена в категории за шт]]-1</f>
        <v>-0.37559108308939437</v>
      </c>
      <c r="L180" t="str">
        <f>VLOOKUP(Продажи[[#This Row],[id товара]],Товары[],3,0)</f>
        <v>Юбилейное</v>
      </c>
      <c r="M180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180" s="16">
        <f>Продажи[[#This Row],[цена за шт в рублях]]/Продажи[[#This Row],[Средняя цена в категории за шт по поставщику]]-1</f>
        <v>-0.23852772466539196</v>
      </c>
      <c r="O180" s="48">
        <f>VLOOKUP(Продажи[[#This Row],[id клиента]],клиенты!$A$2:$E$435,5,0)</f>
        <v>44802</v>
      </c>
      <c r="P180">
        <f>Продажи[[#This Row],[дата создания чека]]-Продажи[[#This Row],[Дата регистрации]]</f>
        <v>363</v>
      </c>
      <c r="Q180" t="str">
        <f>VLOOKUP(Продажи[[#This Row],[id клиента]],клиенты!$A$2:$G$435,7,0)</f>
        <v>Россия</v>
      </c>
      <c r="R180">
        <f>IF(COUNTIF($H$2:H180, H180)=1, 1, 0)</f>
        <v>0</v>
      </c>
      <c r="S180" t="str">
        <f>VLOOKUP(Продажи[[#This Row],[id клиента]],клиенты!$A$2:$D$435,4,0)</f>
        <v>нет</v>
      </c>
      <c r="T180" s="54">
        <f>VLOOKUP(Продажи[[#This Row],[id клиента]],клиенты!$A$2:$I$435,9,0)</f>
        <v>17.971252566735114</v>
      </c>
    </row>
    <row r="181" spans="1:20" x14ac:dyDescent="0.25">
      <c r="A181">
        <v>180</v>
      </c>
      <c r="B181">
        <v>110</v>
      </c>
      <c r="C181">
        <v>261</v>
      </c>
      <c r="D181">
        <v>1</v>
      </c>
      <c r="E181" s="35">
        <v>1305</v>
      </c>
      <c r="F181" s="48">
        <v>45325</v>
      </c>
      <c r="G181" t="s">
        <v>21</v>
      </c>
      <c r="H181">
        <v>223</v>
      </c>
      <c r="I181" t="str">
        <f>VLOOKUP(Продажи[[#This Row],[id товара]],Товары[],2,0)</f>
        <v>Макароны</v>
      </c>
      <c r="J181" s="17">
        <f>AVERAGEIF(Продажи[Категория],Продажи[[#This Row],[Категория]],Продажи[цена за шт в рублях])</f>
        <v>265.47674418604652</v>
      </c>
      <c r="K181" s="16">
        <f>Продажи[[#This Row],[цена за шт в рублях]]/Продажи[[#This Row],[Средняя цена в категории за шт]]-1</f>
        <v>-1.6863037098681644E-2</v>
      </c>
      <c r="L181" t="str">
        <f>VLOOKUP(Продажи[[#This Row],[id товара]],Товары[],3,0)</f>
        <v>Паста Зара</v>
      </c>
      <c r="M181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181" s="16">
        <f>Продажи[[#This Row],[цена за шт в рублях]]/Продажи[[#This Row],[Средняя цена в категории за шт по поставщику]]-1</f>
        <v>-5.6657223796033995E-2</v>
      </c>
      <c r="O181" s="48">
        <f>VLOOKUP(Продажи[[#This Row],[id клиента]],клиенты!$A$2:$E$435,5,0)</f>
        <v>44893</v>
      </c>
      <c r="P181">
        <f>Продажи[[#This Row],[дата создания чека]]-Продажи[[#This Row],[Дата регистрации]]</f>
        <v>432</v>
      </c>
      <c r="Q181" t="str">
        <f>VLOOKUP(Продажи[[#This Row],[id клиента]],клиенты!$A$2:$G$435,7,0)</f>
        <v>Украина</v>
      </c>
      <c r="R181">
        <f>IF(COUNTIF($H$2:H181, H181)=1, 1, 0)</f>
        <v>0</v>
      </c>
      <c r="S181" t="str">
        <f>VLOOKUP(Продажи[[#This Row],[id клиента]],клиенты!$A$2:$D$435,4,0)</f>
        <v>да</v>
      </c>
      <c r="T181" s="54">
        <f>VLOOKUP(Продажи[[#This Row],[id клиента]],клиенты!$A$2:$I$435,9,0)</f>
        <v>14.193018480492814</v>
      </c>
    </row>
    <row r="182" spans="1:20" x14ac:dyDescent="0.25">
      <c r="A182">
        <v>181</v>
      </c>
      <c r="B182">
        <v>288</v>
      </c>
      <c r="C182">
        <v>198</v>
      </c>
      <c r="D182">
        <v>5</v>
      </c>
      <c r="E182" s="35">
        <v>4950</v>
      </c>
      <c r="F182" s="48">
        <v>45212</v>
      </c>
      <c r="G182" t="s">
        <v>26</v>
      </c>
      <c r="H182">
        <v>74</v>
      </c>
      <c r="I182" t="str">
        <f>VLOOKUP(Продажи[[#This Row],[id товара]],Товары[],2,0)</f>
        <v>Сыр</v>
      </c>
      <c r="J182" s="17">
        <f>AVERAGEIF(Продажи[Категория],Продажи[[#This Row],[Категория]],Продажи[цена за шт в рублях])</f>
        <v>262.63492063492066</v>
      </c>
      <c r="K182" s="16">
        <f>Продажи[[#This Row],[цена за шт в рублях]]/Продажи[[#This Row],[Средняя цена в категории за шт]]-1</f>
        <v>-0.24610177686449908</v>
      </c>
      <c r="L182" t="str">
        <f>VLOOKUP(Продажи[[#This Row],[id товара]],Товары[],3,0)</f>
        <v>Hochland</v>
      </c>
      <c r="M182" s="32">
        <f>AVERAGEIFS(Продажи[цена за шт в рублях],Продажи[Категория],Продажи[[#This Row],[Категория]],Продажи[Поставщик],Продажи[[#This Row],[Поставщик]])</f>
        <v>168</v>
      </c>
      <c r="N182" s="16">
        <f>Продажи[[#This Row],[цена за шт в рублях]]/Продажи[[#This Row],[Средняя цена в категории за шт по поставщику]]-1</f>
        <v>0.1785714285714286</v>
      </c>
      <c r="O182" s="48">
        <f>VLOOKUP(Продажи[[#This Row],[id клиента]],клиенты!$A$2:$E$435,5,0)</f>
        <v>44857</v>
      </c>
      <c r="P182">
        <f>Продажи[[#This Row],[дата создания чека]]-Продажи[[#This Row],[Дата регистрации]]</f>
        <v>355</v>
      </c>
      <c r="Q182" t="str">
        <f>VLOOKUP(Продажи[[#This Row],[id клиента]],клиенты!$A$2:$G$435,7,0)</f>
        <v>Россия</v>
      </c>
      <c r="R182">
        <f>IF(COUNTIF($H$2:H182, H182)=1, 1, 0)</f>
        <v>1</v>
      </c>
      <c r="S182" t="str">
        <f>VLOOKUP(Продажи[[#This Row],[id клиента]],клиенты!$A$2:$D$435,4,0)</f>
        <v>нет</v>
      </c>
      <c r="T182" s="54">
        <f>VLOOKUP(Продажи[[#This Row],[id клиента]],клиенты!$A$2:$I$435,9,0)</f>
        <v>11.663244353182751</v>
      </c>
    </row>
    <row r="183" spans="1:20" x14ac:dyDescent="0.25">
      <c r="A183">
        <v>182</v>
      </c>
      <c r="B183">
        <v>7</v>
      </c>
      <c r="C183">
        <v>114</v>
      </c>
      <c r="D183">
        <v>3</v>
      </c>
      <c r="E183" s="35">
        <v>1710</v>
      </c>
      <c r="F183" s="48">
        <v>45244</v>
      </c>
      <c r="G183" t="s">
        <v>22</v>
      </c>
      <c r="H183">
        <v>180</v>
      </c>
      <c r="I183" t="str">
        <f>VLOOKUP(Продажи[[#This Row],[id товара]],Товары[],2,0)</f>
        <v>Сыр</v>
      </c>
      <c r="J183" s="17">
        <f>AVERAGEIF(Продажи[Категория],Продажи[[#This Row],[Категория]],Продажи[цена за шт в рублях])</f>
        <v>262.63492063492066</v>
      </c>
      <c r="K183" s="16">
        <f>Продажи[[#This Row],[цена за шт в рублях]]/Продажи[[#This Row],[Средняя цена в категории за шт]]-1</f>
        <v>-0.56593738667956006</v>
      </c>
      <c r="L183" t="str">
        <f>VLOOKUP(Продажи[[#This Row],[id товара]],Товары[],3,0)</f>
        <v>President</v>
      </c>
      <c r="M183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183" s="16">
        <f>Продажи[[#This Row],[цена за шт в рублях]]/Продажи[[#This Row],[Средняя цена в категории за шт по поставщику]]-1</f>
        <v>-0.52245752850826155</v>
      </c>
      <c r="O183" s="48">
        <f>VLOOKUP(Продажи[[#This Row],[id клиента]],клиенты!$A$2:$E$435,5,0)</f>
        <v>44616</v>
      </c>
      <c r="P183">
        <f>Продажи[[#This Row],[дата создания чека]]-Продажи[[#This Row],[Дата регистрации]]</f>
        <v>628</v>
      </c>
      <c r="Q183" t="str">
        <f>VLOOKUP(Продажи[[#This Row],[id клиента]],клиенты!$A$2:$G$435,7,0)</f>
        <v>Беларусь</v>
      </c>
      <c r="R183">
        <f>IF(COUNTIF($H$2:H183, H183)=1, 1, 0)</f>
        <v>1</v>
      </c>
      <c r="S183" t="str">
        <f>VLOOKUP(Продажи[[#This Row],[id клиента]],клиенты!$A$2:$D$435,4,0)</f>
        <v>нет</v>
      </c>
      <c r="T183" s="54">
        <f>VLOOKUP(Продажи[[#This Row],[id клиента]],клиенты!$A$2:$I$435,9,0)</f>
        <v>20.632443531827516</v>
      </c>
    </row>
    <row r="184" spans="1:20" x14ac:dyDescent="0.25">
      <c r="A184">
        <v>183</v>
      </c>
      <c r="B184">
        <v>385</v>
      </c>
      <c r="C184">
        <v>427</v>
      </c>
      <c r="D184">
        <v>3</v>
      </c>
      <c r="E184" s="35">
        <v>6405</v>
      </c>
      <c r="F184" s="48">
        <v>44942</v>
      </c>
      <c r="G184" t="s">
        <v>27</v>
      </c>
      <c r="H184">
        <v>359</v>
      </c>
      <c r="I184" t="str">
        <f>VLOOKUP(Продажи[[#This Row],[id товара]],Товары[],2,0)</f>
        <v>Макароны</v>
      </c>
      <c r="J184" s="17">
        <f>AVERAGEIF(Продажи[Категория],Продажи[[#This Row],[Категория]],Продажи[цена за шт в рублях])</f>
        <v>265.47674418604652</v>
      </c>
      <c r="K184" s="16">
        <f>Продажи[[#This Row],[цена за шт в рублях]]/Продажи[[#This Row],[Средняя цена в категории за шт]]-1</f>
        <v>0.60842713853970465</v>
      </c>
      <c r="L184" t="str">
        <f>VLOOKUP(Продажи[[#This Row],[id товара]],Товары[],3,0)</f>
        <v>Макфа</v>
      </c>
      <c r="M184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184" s="16">
        <f>Продажи[[#This Row],[цена за шт в рублях]]/Продажи[[#This Row],[Средняя цена в категории за шт по поставщику]]-1</f>
        <v>0.29679734953064618</v>
      </c>
      <c r="O184" s="48">
        <f>VLOOKUP(Продажи[[#This Row],[id клиента]],клиенты!$A$2:$E$435,5,0)</f>
        <v>44584</v>
      </c>
      <c r="P184">
        <f>Продажи[[#This Row],[дата создания чека]]-Продажи[[#This Row],[Дата регистрации]]</f>
        <v>358</v>
      </c>
      <c r="Q184" t="str">
        <f>VLOOKUP(Продажи[[#This Row],[id клиента]],клиенты!$A$2:$G$435,7,0)</f>
        <v>Россия</v>
      </c>
      <c r="R184">
        <f>IF(COUNTIF($H$2:H184, H184)=1, 1, 0)</f>
        <v>0</v>
      </c>
      <c r="S184" t="str">
        <f>VLOOKUP(Продажи[[#This Row],[id клиента]],клиенты!$A$2:$D$435,4,0)</f>
        <v>нет</v>
      </c>
      <c r="T184" s="54">
        <f>VLOOKUP(Продажи[[#This Row],[id клиента]],клиенты!$A$2:$I$435,9,0)</f>
        <v>24.706365503080082</v>
      </c>
    </row>
    <row r="185" spans="1:20" x14ac:dyDescent="0.25">
      <c r="A185">
        <v>184</v>
      </c>
      <c r="B185">
        <v>493</v>
      </c>
      <c r="C185">
        <v>376</v>
      </c>
      <c r="D185">
        <v>1</v>
      </c>
      <c r="E185" s="35">
        <v>1880</v>
      </c>
      <c r="F185" s="48">
        <v>45253</v>
      </c>
      <c r="G185" t="s">
        <v>8</v>
      </c>
      <c r="H185">
        <v>134</v>
      </c>
      <c r="I185" t="str">
        <f>VLOOKUP(Продажи[[#This Row],[id товара]],Товары[],2,0)</f>
        <v>Овощи</v>
      </c>
      <c r="J185" s="17">
        <f>AVERAGEIF(Продажи[Категория],Продажи[[#This Row],[Категория]],Продажи[цена за шт в рублях])</f>
        <v>250.48780487804879</v>
      </c>
      <c r="K185" s="16">
        <f>Продажи[[#This Row],[цена за шт в рублях]]/Продажи[[#This Row],[Средняя цена в категории за шт]]-1</f>
        <v>0.50107108081791618</v>
      </c>
      <c r="L185" t="str">
        <f>VLOOKUP(Продажи[[#This Row],[id товара]],Товары[],3,0)</f>
        <v>Овощной ряд</v>
      </c>
      <c r="M185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185" s="16">
        <f>Продажи[[#This Row],[цена за шт в рублях]]/Продажи[[#This Row],[Средняя цена в категории за шт по поставщику]]-1</f>
        <v>0.23756050338818979</v>
      </c>
      <c r="O185" s="48">
        <f>VLOOKUP(Продажи[[#This Row],[id клиента]],клиенты!$A$2:$E$435,5,0)</f>
        <v>44753</v>
      </c>
      <c r="P185">
        <f>Продажи[[#This Row],[дата создания чека]]-Продажи[[#This Row],[Дата регистрации]]</f>
        <v>500</v>
      </c>
      <c r="Q185" t="str">
        <f>VLOOKUP(Продажи[[#This Row],[id клиента]],клиенты!$A$2:$G$435,7,0)</f>
        <v>Россия</v>
      </c>
      <c r="R185">
        <f>IF(COUNTIF($H$2:H185, H185)=1, 1, 0)</f>
        <v>0</v>
      </c>
      <c r="S185" t="str">
        <f>VLOOKUP(Продажи[[#This Row],[id клиента]],клиенты!$A$2:$D$435,4,0)</f>
        <v>да</v>
      </c>
      <c r="T185" s="54">
        <f>VLOOKUP(Продажи[[#This Row],[id клиента]],клиенты!$A$2:$I$435,9,0)</f>
        <v>20.336755646817249</v>
      </c>
    </row>
    <row r="186" spans="1:20" x14ac:dyDescent="0.25">
      <c r="A186">
        <v>185</v>
      </c>
      <c r="B186">
        <v>158</v>
      </c>
      <c r="C186">
        <v>51</v>
      </c>
      <c r="D186">
        <v>2</v>
      </c>
      <c r="E186" s="35">
        <v>510</v>
      </c>
      <c r="F186" s="48">
        <v>45325</v>
      </c>
      <c r="G186" t="s">
        <v>11</v>
      </c>
      <c r="H186">
        <v>159</v>
      </c>
      <c r="I186" t="str">
        <f>VLOOKUP(Продажи[[#This Row],[id товара]],Товары[],2,0)</f>
        <v>Сахар</v>
      </c>
      <c r="J186" s="17">
        <f>AVERAGEIF(Продажи[Категория],Продажи[[#This Row],[Категория]],Продажи[цена за шт в рублях])</f>
        <v>252.76271186440678</v>
      </c>
      <c r="K186" s="16">
        <f>Продажи[[#This Row],[цена за шт в рублях]]/Продажи[[#This Row],[Средняя цена в категории за шт]]-1</f>
        <v>-0.7982297324481995</v>
      </c>
      <c r="L186" t="str">
        <f>VLOOKUP(Продажи[[#This Row],[id товара]],Товары[],3,0)</f>
        <v>Сладов</v>
      </c>
      <c r="M186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186" s="16">
        <f>Продажи[[#This Row],[цена за шт в рублях]]/Продажи[[#This Row],[Средняя цена в категории за шт по поставщику]]-1</f>
        <v>-0.78773584905660377</v>
      </c>
      <c r="O186" s="48">
        <f>VLOOKUP(Продажи[[#This Row],[id клиента]],клиенты!$A$2:$E$435,5,0)</f>
        <v>44686</v>
      </c>
      <c r="P186">
        <f>Продажи[[#This Row],[дата создания чека]]-Продажи[[#This Row],[Дата регистрации]]</f>
        <v>639</v>
      </c>
      <c r="Q186" t="str">
        <f>VLOOKUP(Продажи[[#This Row],[id клиента]],клиенты!$A$2:$G$435,7,0)</f>
        <v>Узбекистан</v>
      </c>
      <c r="R186">
        <f>IF(COUNTIF($H$2:H186, H186)=1, 1, 0)</f>
        <v>1</v>
      </c>
      <c r="S186" t="str">
        <f>VLOOKUP(Продажи[[#This Row],[id клиента]],клиенты!$A$2:$D$435,4,0)</f>
        <v>нет</v>
      </c>
      <c r="T186" s="54">
        <f>VLOOKUP(Продажи[[#This Row],[id клиента]],клиенты!$A$2:$I$435,9,0)</f>
        <v>22.505133470225871</v>
      </c>
    </row>
    <row r="187" spans="1:20" x14ac:dyDescent="0.25">
      <c r="A187">
        <v>186</v>
      </c>
      <c r="B187">
        <v>446</v>
      </c>
      <c r="C187">
        <v>316</v>
      </c>
      <c r="D187">
        <v>2</v>
      </c>
      <c r="E187" s="35">
        <v>3160</v>
      </c>
      <c r="F187" s="48">
        <v>45029</v>
      </c>
      <c r="G187" t="s">
        <v>16</v>
      </c>
      <c r="H187">
        <v>328</v>
      </c>
      <c r="I187" t="str">
        <f>VLOOKUP(Продажи[[#This Row],[id товара]],Товары[],2,0)</f>
        <v>Чипсы</v>
      </c>
      <c r="J187" s="17">
        <f>AVERAGEIF(Продажи[Категория],Продажи[[#This Row],[Категория]],Продажи[цена за шт в рублях])</f>
        <v>273.72549019607845</v>
      </c>
      <c r="K187" s="16">
        <f>Продажи[[#This Row],[цена за шт в рублях]]/Продажи[[#This Row],[Средняя цена в категории за шт]]-1</f>
        <v>0.15444126074498565</v>
      </c>
      <c r="L187" t="str">
        <f>VLOOKUP(Продажи[[#This Row],[id товара]],Товары[],3,0)</f>
        <v>Lay's</v>
      </c>
      <c r="M187" s="32">
        <f>AVERAGEIFS(Продажи[цена за шт в рублях],Продажи[Категория],Продажи[[#This Row],[Категория]],Продажи[Поставщик],Продажи[[#This Row],[Поставщик]])</f>
        <v>320.57142857142856</v>
      </c>
      <c r="N187" s="16">
        <f>Продажи[[#This Row],[цена за шт в рублях]]/Продажи[[#This Row],[Средняя цена в категории за шт по поставщику]]-1</f>
        <v>-1.426024955436711E-2</v>
      </c>
      <c r="O187" s="48">
        <f>VLOOKUP(Продажи[[#This Row],[id клиента]],клиенты!$A$2:$E$435,5,0)</f>
        <v>44568</v>
      </c>
      <c r="P187">
        <f>Продажи[[#This Row],[дата создания чека]]-Продажи[[#This Row],[Дата регистрации]]</f>
        <v>461</v>
      </c>
      <c r="Q187" t="str">
        <f>VLOOKUP(Продажи[[#This Row],[id клиента]],клиенты!$A$2:$G$435,7,0)</f>
        <v>Россия</v>
      </c>
      <c r="R187">
        <f>IF(COUNTIF($H$2:H187, H187)=1, 1, 0)</f>
        <v>0</v>
      </c>
      <c r="S187" t="str">
        <f>VLOOKUP(Продажи[[#This Row],[id клиента]],клиенты!$A$2:$D$435,4,0)</f>
        <v>да</v>
      </c>
      <c r="T187" s="54">
        <f>VLOOKUP(Продажи[[#This Row],[id клиента]],клиенты!$A$2:$I$435,9,0)</f>
        <v>23.392197125256672</v>
      </c>
    </row>
    <row r="188" spans="1:20" x14ac:dyDescent="0.25">
      <c r="A188">
        <v>187</v>
      </c>
      <c r="B188">
        <v>428</v>
      </c>
      <c r="C188">
        <v>156</v>
      </c>
      <c r="D188">
        <v>1</v>
      </c>
      <c r="E188" s="35">
        <v>780</v>
      </c>
      <c r="F188" s="48">
        <v>45421</v>
      </c>
      <c r="G188" t="s">
        <v>16</v>
      </c>
      <c r="H188">
        <v>325</v>
      </c>
      <c r="I188" t="str">
        <f>VLOOKUP(Продажи[[#This Row],[id товара]],Товары[],2,0)</f>
        <v>Конфеты</v>
      </c>
      <c r="J188" s="17">
        <f>AVERAGEIF(Продажи[Категория],Продажи[[#This Row],[Категория]],Продажи[цена за шт в рублях])</f>
        <v>267.85483870967744</v>
      </c>
      <c r="K188" s="16">
        <f>Продажи[[#This Row],[цена за шт в рублях]]/Продажи[[#This Row],[Средняя цена в категории за шт]]-1</f>
        <v>-0.41759499006443068</v>
      </c>
      <c r="L188" t="str">
        <f>VLOOKUP(Продажи[[#This Row],[id товара]],Товары[],3,0)</f>
        <v>Бабаевский</v>
      </c>
      <c r="M188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188" s="16">
        <f>Продажи[[#This Row],[цена за шт в рублях]]/Продажи[[#This Row],[Средняя цена в категории за шт по поставщику]]-1</f>
        <v>-0.3766464407281338</v>
      </c>
      <c r="O188" s="48">
        <f>VLOOKUP(Продажи[[#This Row],[id клиента]],клиенты!$A$2:$E$435,5,0)</f>
        <v>44875</v>
      </c>
      <c r="P188">
        <f>Продажи[[#This Row],[дата создания чека]]-Продажи[[#This Row],[Дата регистрации]]</f>
        <v>546</v>
      </c>
      <c r="Q188" t="str">
        <f>VLOOKUP(Продажи[[#This Row],[id клиента]],клиенты!$A$2:$G$435,7,0)</f>
        <v>Таджикистан</v>
      </c>
      <c r="R188">
        <f>IF(COUNTIF($H$2:H188, H188)=1, 1, 0)</f>
        <v>0</v>
      </c>
      <c r="S188" t="str">
        <f>VLOOKUP(Продажи[[#This Row],[id клиента]],клиенты!$A$2:$D$435,4,0)</f>
        <v>нет</v>
      </c>
      <c r="T188" s="54">
        <f>VLOOKUP(Продажи[[#This Row],[id клиента]],клиенты!$A$2:$I$435,9,0)</f>
        <v>17.938398357289529</v>
      </c>
    </row>
    <row r="189" spans="1:20" x14ac:dyDescent="0.25">
      <c r="A189">
        <v>188</v>
      </c>
      <c r="B189">
        <v>192</v>
      </c>
      <c r="C189">
        <v>215</v>
      </c>
      <c r="D189">
        <v>1</v>
      </c>
      <c r="E189" s="35">
        <v>1075</v>
      </c>
      <c r="F189" s="48">
        <v>45411</v>
      </c>
      <c r="G189" t="s">
        <v>26</v>
      </c>
      <c r="H189">
        <v>106</v>
      </c>
      <c r="I189" t="str">
        <f>VLOOKUP(Продажи[[#This Row],[id товара]],Товары[],2,0)</f>
        <v>Мясо</v>
      </c>
      <c r="J189" s="17">
        <f>AVERAGEIF(Продажи[Категория],Продажи[[#This Row],[Категория]],Продажи[цена за шт в рублях])</f>
        <v>271.74545454545455</v>
      </c>
      <c r="K189" s="16">
        <f>Продажи[[#This Row],[цена за шт в рублях]]/Продажи[[#This Row],[Средняя цена в категории за шт]]-1</f>
        <v>-0.2088184129532985</v>
      </c>
      <c r="L189" t="str">
        <f>VLOOKUP(Продажи[[#This Row],[id товара]],Товары[],3,0)</f>
        <v>Снежана</v>
      </c>
      <c r="M189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189" s="16">
        <f>Продажи[[#This Row],[цена за шт в рублях]]/Продажи[[#This Row],[Средняя цена в категории за шт по поставщику]]-1</f>
        <v>-0.21058315334773225</v>
      </c>
      <c r="O189" s="48">
        <f>VLOOKUP(Продажи[[#This Row],[id клиента]],клиенты!$A$2:$E$435,5,0)</f>
        <v>44858</v>
      </c>
      <c r="P189">
        <f>Продажи[[#This Row],[дата создания чека]]-Продажи[[#This Row],[Дата регистрации]]</f>
        <v>553</v>
      </c>
      <c r="Q189" t="str">
        <f>VLOOKUP(Продажи[[#This Row],[id клиента]],клиенты!$A$2:$G$435,7,0)</f>
        <v>Украина</v>
      </c>
      <c r="R189">
        <f>IF(COUNTIF($H$2:H189, H189)=1, 1, 0)</f>
        <v>1</v>
      </c>
      <c r="S189" t="str">
        <f>VLOOKUP(Продажи[[#This Row],[id клиента]],клиенты!$A$2:$D$435,4,0)</f>
        <v>да</v>
      </c>
      <c r="T189" s="54">
        <f>VLOOKUP(Продажи[[#This Row],[id клиента]],клиенты!$A$2:$I$435,9,0)</f>
        <v>18.168377823408623</v>
      </c>
    </row>
    <row r="190" spans="1:20" x14ac:dyDescent="0.25">
      <c r="A190">
        <v>189</v>
      </c>
      <c r="B190">
        <v>41</v>
      </c>
      <c r="C190">
        <v>59</v>
      </c>
      <c r="D190">
        <v>1</v>
      </c>
      <c r="E190" s="35">
        <v>295</v>
      </c>
      <c r="F190" s="48">
        <v>45000</v>
      </c>
      <c r="G190" t="s">
        <v>9</v>
      </c>
      <c r="H190">
        <v>65</v>
      </c>
      <c r="I190" t="str">
        <f>VLOOKUP(Продажи[[#This Row],[id товара]],Товары[],2,0)</f>
        <v>Рис</v>
      </c>
      <c r="J190" s="17">
        <f>AVERAGEIF(Продажи[Категория],Продажи[[#This Row],[Категория]],Продажи[цена за шт в рублях])</f>
        <v>258.375</v>
      </c>
      <c r="K190" s="16">
        <f>Продажи[[#This Row],[цена за шт в рублях]]/Продажи[[#This Row],[Средняя цена в категории за шт]]-1</f>
        <v>-0.77164973391388481</v>
      </c>
      <c r="L190" t="str">
        <f>VLOOKUP(Продажи[[#This Row],[id товара]],Товары[],3,0)</f>
        <v>Агро-Альянс</v>
      </c>
      <c r="M190" s="32">
        <f>AVERAGEIFS(Продажи[цена за шт в рублях],Продажи[Категория],Продажи[[#This Row],[Категория]],Продажи[Поставщик],Продажи[[#This Row],[Поставщик]])</f>
        <v>317.85714285714283</v>
      </c>
      <c r="N190" s="16">
        <f>Продажи[[#This Row],[цена за шт в рублях]]/Продажи[[#This Row],[Средняя цена в категории за шт по поставщику]]-1</f>
        <v>-0.81438202247191005</v>
      </c>
      <c r="O190" s="48">
        <f>VLOOKUP(Продажи[[#This Row],[id клиента]],клиенты!$A$2:$E$435,5,0)</f>
        <v>44623</v>
      </c>
      <c r="P190">
        <f>Продажи[[#This Row],[дата создания чека]]-Продажи[[#This Row],[Дата регистрации]]</f>
        <v>377</v>
      </c>
      <c r="Q190" t="str">
        <f>VLOOKUP(Продажи[[#This Row],[id клиента]],клиенты!$A$2:$G$435,7,0)</f>
        <v>Украина</v>
      </c>
      <c r="R190">
        <f>IF(COUNTIF($H$2:H190, H190)=1, 1, 0)</f>
        <v>1</v>
      </c>
      <c r="S190" t="str">
        <f>VLOOKUP(Продажи[[#This Row],[id клиента]],клиенты!$A$2:$D$435,4,0)</f>
        <v>нет</v>
      </c>
      <c r="T190" s="54">
        <f>VLOOKUP(Продажи[[#This Row],[id клиента]],клиенты!$A$2:$I$435,9,0)</f>
        <v>25.462012320328544</v>
      </c>
    </row>
    <row r="191" spans="1:20" x14ac:dyDescent="0.25">
      <c r="A191">
        <v>190</v>
      </c>
      <c r="B191">
        <v>69</v>
      </c>
      <c r="C191">
        <v>88</v>
      </c>
      <c r="D191">
        <v>4</v>
      </c>
      <c r="E191" s="35">
        <v>1760</v>
      </c>
      <c r="F191" s="48">
        <v>45309</v>
      </c>
      <c r="G191" t="s">
        <v>12</v>
      </c>
      <c r="H191">
        <v>346</v>
      </c>
      <c r="I191" t="str">
        <f>VLOOKUP(Продажи[[#This Row],[id товара]],Товары[],2,0)</f>
        <v>Чипсы</v>
      </c>
      <c r="J191" s="17">
        <f>AVERAGEIF(Продажи[Категория],Продажи[[#This Row],[Категория]],Продажи[цена за шт в рублях])</f>
        <v>273.72549019607845</v>
      </c>
      <c r="K191" s="16">
        <f>Продажи[[#This Row],[цена за шт в рублях]]/Продажи[[#This Row],[Средняя цена в категории за шт]]-1</f>
        <v>-0.67851002865329513</v>
      </c>
      <c r="L191" t="str">
        <f>VLOOKUP(Продажи[[#This Row],[id товара]],Товары[],3,0)</f>
        <v>Estrella</v>
      </c>
      <c r="M191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191" s="16">
        <f>Продажи[[#This Row],[цена за шт в рублях]]/Продажи[[#This Row],[Средняя цена в категории за шт по поставщику]]-1</f>
        <v>-0.6695117787640833</v>
      </c>
      <c r="O191" s="48">
        <f>VLOOKUP(Продажи[[#This Row],[id клиента]],клиенты!$A$2:$E$435,5,0)</f>
        <v>44636</v>
      </c>
      <c r="P191">
        <f>Продажи[[#This Row],[дата создания чека]]-Продажи[[#This Row],[Дата регистрации]]</f>
        <v>673</v>
      </c>
      <c r="Q191" t="str">
        <f>VLOOKUP(Продажи[[#This Row],[id клиента]],клиенты!$A$2:$G$435,7,0)</f>
        <v>Россия</v>
      </c>
      <c r="R191">
        <f>IF(COUNTIF($H$2:H191, H191)=1, 1, 0)</f>
        <v>0</v>
      </c>
      <c r="S191" t="str">
        <f>VLOOKUP(Продажи[[#This Row],[id клиента]],клиенты!$A$2:$D$435,4,0)</f>
        <v>да</v>
      </c>
      <c r="T191" s="54">
        <f>VLOOKUP(Продажи[[#This Row],[id клиента]],клиенты!$A$2:$I$435,9,0)</f>
        <v>22.11088295687885</v>
      </c>
    </row>
    <row r="192" spans="1:20" x14ac:dyDescent="0.25">
      <c r="A192">
        <v>191</v>
      </c>
      <c r="B192">
        <v>270</v>
      </c>
      <c r="C192">
        <v>484</v>
      </c>
      <c r="D192">
        <v>4</v>
      </c>
      <c r="E192" s="35">
        <v>9680</v>
      </c>
      <c r="F192" s="48">
        <v>45084</v>
      </c>
      <c r="G192" t="s">
        <v>8</v>
      </c>
      <c r="H192">
        <v>457</v>
      </c>
      <c r="I192" t="str">
        <f>VLOOKUP(Продажи[[#This Row],[id товара]],Товары[],2,0)</f>
        <v>Соль</v>
      </c>
      <c r="J192" s="17">
        <f>AVERAGEIF(Продажи[Категория],Продажи[[#This Row],[Категория]],Продажи[цена за шт в рублях])</f>
        <v>264.8679245283019</v>
      </c>
      <c r="K192" s="16">
        <f>Продажи[[#This Row],[цена за шт в рублях]]/Продажи[[#This Row],[Средняя цена в категории за шт]]-1</f>
        <v>0.82732582989029768</v>
      </c>
      <c r="L192" t="str">
        <f>VLOOKUP(Продажи[[#This Row],[id товара]],Товары[],3,0)</f>
        <v>Славянская</v>
      </c>
      <c r="M192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192" s="16">
        <f>Продажи[[#This Row],[цена за шт в рублях]]/Продажи[[#This Row],[Средняя цена в категории за шт по поставщику]]-1</f>
        <v>1.0429124164614842</v>
      </c>
      <c r="O192" s="48">
        <f>VLOOKUP(Продажи[[#This Row],[id клиента]],клиенты!$A$2:$E$435,5,0)</f>
        <v>44595</v>
      </c>
      <c r="P192">
        <f>Продажи[[#This Row],[дата создания чека]]-Продажи[[#This Row],[Дата регистрации]]</f>
        <v>489</v>
      </c>
      <c r="Q192" t="str">
        <f>VLOOKUP(Продажи[[#This Row],[id клиента]],клиенты!$A$2:$G$435,7,0)</f>
        <v>Таджикистан</v>
      </c>
      <c r="R192">
        <f>IF(COUNTIF($H$2:H192, H192)=1, 1, 0)</f>
        <v>1</v>
      </c>
      <c r="S192" t="str">
        <f>VLOOKUP(Продажи[[#This Row],[id клиента]],клиенты!$A$2:$D$435,4,0)</f>
        <v>нет</v>
      </c>
      <c r="T192" s="54">
        <f>VLOOKUP(Продажи[[#This Row],[id клиента]],клиенты!$A$2:$I$435,9,0)</f>
        <v>16.06570841889117</v>
      </c>
    </row>
    <row r="193" spans="1:20" x14ac:dyDescent="0.25">
      <c r="A193">
        <v>192</v>
      </c>
      <c r="B193">
        <v>345</v>
      </c>
      <c r="C193">
        <v>257</v>
      </c>
      <c r="D193">
        <v>1</v>
      </c>
      <c r="E193" s="35">
        <v>1285</v>
      </c>
      <c r="F193" s="48">
        <v>44969</v>
      </c>
      <c r="G193" t="s">
        <v>9</v>
      </c>
      <c r="H193">
        <v>255</v>
      </c>
      <c r="I193" t="str">
        <f>VLOOKUP(Продажи[[#This Row],[id товара]],Товары[],2,0)</f>
        <v>Конфеты</v>
      </c>
      <c r="J193" s="17">
        <f>AVERAGEIF(Продажи[Категория],Продажи[[#This Row],[Категория]],Продажи[цена за шт в рублях])</f>
        <v>267.85483870967744</v>
      </c>
      <c r="K193" s="16">
        <f>Продажи[[#This Row],[цена за шт в рублях]]/Продажи[[#This Row],[Средняя цена в категории за шт]]-1</f>
        <v>-4.0525079785632578E-2</v>
      </c>
      <c r="L193" t="str">
        <f>VLOOKUP(Продажи[[#This Row],[id товара]],Товары[],3,0)</f>
        <v>Рот Фронт</v>
      </c>
      <c r="M193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193" s="16">
        <f>Продажи[[#This Row],[цена за шт в рублях]]/Продажи[[#This Row],[Средняя цена в категории за шт по поставщику]]-1</f>
        <v>-0.10837601189492818</v>
      </c>
      <c r="O193" s="48">
        <f>VLOOKUP(Продажи[[#This Row],[id клиента]],клиенты!$A$2:$E$435,5,0)</f>
        <v>44793</v>
      </c>
      <c r="P193">
        <f>Продажи[[#This Row],[дата создания чека]]-Продажи[[#This Row],[Дата регистрации]]</f>
        <v>176</v>
      </c>
      <c r="Q193" t="str">
        <f>VLOOKUP(Продажи[[#This Row],[id клиента]],клиенты!$A$2:$G$435,7,0)</f>
        <v>Украина</v>
      </c>
      <c r="R193">
        <f>IF(COUNTIF($H$2:H193, H193)=1, 1, 0)</f>
        <v>1</v>
      </c>
      <c r="S193" t="str">
        <f>VLOOKUP(Продажи[[#This Row],[id клиента]],клиенты!$A$2:$D$435,4,0)</f>
        <v>да</v>
      </c>
      <c r="T193" s="54">
        <f>VLOOKUP(Продажи[[#This Row],[id клиента]],клиенты!$A$2:$I$435,9,0)</f>
        <v>19.219712525667351</v>
      </c>
    </row>
    <row r="194" spans="1:20" x14ac:dyDescent="0.25">
      <c r="A194">
        <v>193</v>
      </c>
      <c r="B194">
        <v>348</v>
      </c>
      <c r="C194">
        <v>497</v>
      </c>
      <c r="D194">
        <v>3</v>
      </c>
      <c r="E194" s="35">
        <v>7455</v>
      </c>
      <c r="F194" s="48">
        <v>45276</v>
      </c>
      <c r="G194" t="s">
        <v>8</v>
      </c>
      <c r="H194">
        <v>42</v>
      </c>
      <c r="I194" t="str">
        <f>VLOOKUP(Продажи[[#This Row],[id товара]],Товары[],2,0)</f>
        <v>Чипсы</v>
      </c>
      <c r="J194" s="17">
        <f>AVERAGEIF(Продажи[Категория],Продажи[[#This Row],[Категория]],Продажи[цена за шт в рублях])</f>
        <v>273.72549019607845</v>
      </c>
      <c r="K194" s="16">
        <f>Продажи[[#This Row],[цена за шт в рублях]]/Продажи[[#This Row],[Средняя цена в категории за шт]]-1</f>
        <v>0.81568767908309447</v>
      </c>
      <c r="L194" t="str">
        <f>VLOOKUP(Продажи[[#This Row],[id товара]],Товары[],3,0)</f>
        <v>Estrella</v>
      </c>
      <c r="M194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194" s="16">
        <f>Продажи[[#This Row],[цена за шт в рублях]]/Продажи[[#This Row],[Средняя цена в категории за шт по поставщику]]-1</f>
        <v>0.8665073403892114</v>
      </c>
      <c r="O194" s="48">
        <f>VLOOKUP(Продажи[[#This Row],[id клиента]],клиенты!$A$2:$E$435,5,0)</f>
        <v>44783</v>
      </c>
      <c r="P194">
        <f>Продажи[[#This Row],[дата создания чека]]-Продажи[[#This Row],[Дата регистрации]]</f>
        <v>493</v>
      </c>
      <c r="Q194" t="str">
        <f>VLOOKUP(Продажи[[#This Row],[id клиента]],клиенты!$A$2:$G$435,7,0)</f>
        <v>Таджикистан</v>
      </c>
      <c r="R194">
        <f>IF(COUNTIF($H$2:H194, H194)=1, 1, 0)</f>
        <v>0</v>
      </c>
      <c r="S194" t="str">
        <f>VLOOKUP(Продажи[[#This Row],[id клиента]],клиенты!$A$2:$D$435,4,0)</f>
        <v>да</v>
      </c>
      <c r="T194" s="54">
        <f>VLOOKUP(Продажи[[#This Row],[id клиента]],клиенты!$A$2:$I$435,9,0)</f>
        <v>19.351129363449694</v>
      </c>
    </row>
    <row r="195" spans="1:20" x14ac:dyDescent="0.25">
      <c r="A195">
        <v>194</v>
      </c>
      <c r="B195">
        <v>102</v>
      </c>
      <c r="C195">
        <v>115</v>
      </c>
      <c r="D195">
        <v>2</v>
      </c>
      <c r="E195" s="35">
        <v>1150</v>
      </c>
      <c r="F195" s="48">
        <v>45380</v>
      </c>
      <c r="G195" t="s">
        <v>16</v>
      </c>
      <c r="H195">
        <v>385</v>
      </c>
      <c r="I195" t="str">
        <f>VLOOKUP(Продажи[[#This Row],[id товара]],Товары[],2,0)</f>
        <v>Печенье</v>
      </c>
      <c r="J195" s="17">
        <f>AVERAGEIF(Продажи[Категория],Продажи[[#This Row],[Категория]],Продажи[цена за шт в рублях])</f>
        <v>283.468085106383</v>
      </c>
      <c r="K195" s="16">
        <f>Продажи[[#This Row],[цена за шт в рублях]]/Продажи[[#This Row],[Средняя цена в категории за шт]]-1</f>
        <v>-0.59431059070779857</v>
      </c>
      <c r="L195" t="str">
        <f>VLOOKUP(Продажи[[#This Row],[id товара]],Товары[],3,0)</f>
        <v>Белогорье</v>
      </c>
      <c r="M195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195" s="16">
        <f>Продажи[[#This Row],[цена за шт в рублях]]/Продажи[[#This Row],[Средняя цена в категории за шт по поставщику]]-1</f>
        <v>-0.53907815631262523</v>
      </c>
      <c r="O195" s="48">
        <f>VLOOKUP(Продажи[[#This Row],[id клиента]],клиенты!$A$2:$E$435,5,0)</f>
        <v>44753</v>
      </c>
      <c r="P195">
        <f>Продажи[[#This Row],[дата создания чека]]-Продажи[[#This Row],[Дата регистрации]]</f>
        <v>627</v>
      </c>
      <c r="Q195" t="str">
        <f>VLOOKUP(Продажи[[#This Row],[id клиента]],клиенты!$A$2:$G$435,7,0)</f>
        <v>Украина</v>
      </c>
      <c r="R195">
        <f>IF(COUNTIF($H$2:H195, H195)=1, 1, 0)</f>
        <v>0</v>
      </c>
      <c r="S195" t="str">
        <f>VLOOKUP(Продажи[[#This Row],[id клиента]],клиенты!$A$2:$D$435,4,0)</f>
        <v>нет</v>
      </c>
      <c r="T195" s="54">
        <f>VLOOKUP(Продажи[[#This Row],[id клиента]],клиенты!$A$2:$I$435,9,0)</f>
        <v>21.453798767967147</v>
      </c>
    </row>
    <row r="196" spans="1:20" x14ac:dyDescent="0.25">
      <c r="A196">
        <v>195</v>
      </c>
      <c r="B196">
        <v>321</v>
      </c>
      <c r="C196">
        <v>368</v>
      </c>
      <c r="D196">
        <v>1</v>
      </c>
      <c r="E196" s="35">
        <v>1840</v>
      </c>
      <c r="F196" s="48">
        <v>45193</v>
      </c>
      <c r="G196" t="s">
        <v>25</v>
      </c>
      <c r="H196">
        <v>436</v>
      </c>
      <c r="I196" t="str">
        <f>VLOOKUP(Продажи[[#This Row],[id товара]],Товары[],2,0)</f>
        <v>Мясо</v>
      </c>
      <c r="J196" s="17">
        <f>AVERAGEIF(Продажи[Категория],Продажи[[#This Row],[Категория]],Продажи[цена за шт в рублях])</f>
        <v>271.74545454545455</v>
      </c>
      <c r="K196" s="16">
        <f>Продажи[[#This Row],[цена за шт в рублях]]/Продажи[[#This Row],[Средняя цена в категории за шт]]-1</f>
        <v>0.35420848387528436</v>
      </c>
      <c r="L196" t="str">
        <f>VLOOKUP(Продажи[[#This Row],[id товара]],Товары[],3,0)</f>
        <v>Сава</v>
      </c>
      <c r="M196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196" s="16">
        <f>Продажи[[#This Row],[цена за шт в рублях]]/Продажи[[#This Row],[Средняя цена в категории за шт по поставщику]]-1</f>
        <v>0.7292217327459618</v>
      </c>
      <c r="O196" s="48">
        <f>VLOOKUP(Продажи[[#This Row],[id клиента]],клиенты!$A$2:$E$435,5,0)</f>
        <v>44683</v>
      </c>
      <c r="P196">
        <f>Продажи[[#This Row],[дата создания чека]]-Продажи[[#This Row],[Дата регистрации]]</f>
        <v>510</v>
      </c>
      <c r="Q196" t="str">
        <f>VLOOKUP(Продажи[[#This Row],[id клиента]],клиенты!$A$2:$G$435,7,0)</f>
        <v>Россия</v>
      </c>
      <c r="R196">
        <f>IF(COUNTIF($H$2:H196, H196)=1, 1, 0)</f>
        <v>1</v>
      </c>
      <c r="S196" t="str">
        <f>VLOOKUP(Продажи[[#This Row],[id клиента]],клиенты!$A$2:$D$435,4,0)</f>
        <v>нет</v>
      </c>
      <c r="T196" s="54">
        <f>VLOOKUP(Продажи[[#This Row],[id клиента]],клиенты!$A$2:$I$435,9,0)</f>
        <v>24.279260780287473</v>
      </c>
    </row>
    <row r="197" spans="1:20" x14ac:dyDescent="0.25">
      <c r="A197">
        <v>196</v>
      </c>
      <c r="B197">
        <v>176</v>
      </c>
      <c r="C197">
        <v>113</v>
      </c>
      <c r="D197">
        <v>4</v>
      </c>
      <c r="E197" s="35">
        <v>2260</v>
      </c>
      <c r="F197" s="48">
        <v>45335</v>
      </c>
      <c r="G197" t="s">
        <v>22</v>
      </c>
      <c r="H197">
        <v>175</v>
      </c>
      <c r="I197" t="str">
        <f>VLOOKUP(Продажи[[#This Row],[id товара]],Товары[],2,0)</f>
        <v>Сахар</v>
      </c>
      <c r="J197" s="17">
        <f>AVERAGEIF(Продажи[Категория],Продажи[[#This Row],[Категория]],Продажи[цена за шт в рублях])</f>
        <v>252.76271186440678</v>
      </c>
      <c r="K197" s="16">
        <f>Продажи[[#This Row],[цена за шт в рублях]]/Продажи[[#This Row],[Средняя цена в категории за шт]]-1</f>
        <v>-0.55294038758130493</v>
      </c>
      <c r="L197" t="str">
        <f>VLOOKUP(Продажи[[#This Row],[id товара]],Товары[],3,0)</f>
        <v>Продимекс</v>
      </c>
      <c r="M197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197" s="16">
        <f>Продажи[[#This Row],[цена за шт в рублях]]/Продажи[[#This Row],[Средняя цена в категории за шт по поставщику]]-1</f>
        <v>-0.53014553014553012</v>
      </c>
      <c r="O197" s="48">
        <f>VLOOKUP(Продажи[[#This Row],[id клиента]],клиенты!$A$2:$E$435,5,0)</f>
        <v>44565</v>
      </c>
      <c r="P197">
        <f>Продажи[[#This Row],[дата создания чека]]-Продажи[[#This Row],[Дата регистрации]]</f>
        <v>770</v>
      </c>
      <c r="Q197" t="str">
        <f>VLOOKUP(Продажи[[#This Row],[id клиента]],клиенты!$A$2:$G$435,7,0)</f>
        <v>Россия</v>
      </c>
      <c r="R197">
        <f>IF(COUNTIF($H$2:H197, H197)=1, 1, 0)</f>
        <v>1</v>
      </c>
      <c r="S197" t="str">
        <f>VLOOKUP(Продажи[[#This Row],[id клиента]],клиенты!$A$2:$D$435,4,0)</f>
        <v>нет</v>
      </c>
      <c r="T197" s="54">
        <f>VLOOKUP(Продажи[[#This Row],[id клиента]],клиенты!$A$2:$I$435,9,0)</f>
        <v>25.297741273100616</v>
      </c>
    </row>
    <row r="198" spans="1:20" x14ac:dyDescent="0.25">
      <c r="A198">
        <v>197</v>
      </c>
      <c r="B198">
        <v>341</v>
      </c>
      <c r="C198">
        <v>194</v>
      </c>
      <c r="D198">
        <v>3</v>
      </c>
      <c r="E198" s="35">
        <v>2910</v>
      </c>
      <c r="F198" s="48">
        <v>45255</v>
      </c>
      <c r="G198" t="s">
        <v>15</v>
      </c>
      <c r="H198">
        <v>274</v>
      </c>
      <c r="I198" t="str">
        <f>VLOOKUP(Продажи[[#This Row],[id товара]],Товары[],2,0)</f>
        <v>Макароны</v>
      </c>
      <c r="J198" s="17">
        <f>AVERAGEIF(Продажи[Категория],Продажи[[#This Row],[Категория]],Продажи[цена за шт в рублях])</f>
        <v>265.47674418604652</v>
      </c>
      <c r="K198" s="16">
        <f>Продажи[[#This Row],[цена за шт в рублях]]/Продажи[[#This Row],[Средняя цена в категории за шт]]-1</f>
        <v>-0.26923919232622318</v>
      </c>
      <c r="L198" t="str">
        <f>VLOOKUP(Продажи[[#This Row],[id товара]],Товары[],3,0)</f>
        <v>Макфа</v>
      </c>
      <c r="M198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198" s="16">
        <f>Продажи[[#This Row],[цена за шт в рублях]]/Продажи[[#This Row],[Средняя цена в категории за шт по поставщику]]-1</f>
        <v>-0.41082274986195466</v>
      </c>
      <c r="O198" s="48">
        <f>VLOOKUP(Продажи[[#This Row],[id клиента]],клиенты!$A$2:$E$435,5,0)</f>
        <v>44607</v>
      </c>
      <c r="P198">
        <f>Продажи[[#This Row],[дата создания чека]]-Продажи[[#This Row],[Дата регистрации]]</f>
        <v>648</v>
      </c>
      <c r="Q198" t="str">
        <f>VLOOKUP(Продажи[[#This Row],[id клиента]],клиенты!$A$2:$G$435,7,0)</f>
        <v>Россия</v>
      </c>
      <c r="R198">
        <f>IF(COUNTIF($H$2:H198, H198)=1, 1, 0)</f>
        <v>1</v>
      </c>
      <c r="S198" t="str">
        <f>VLOOKUP(Продажи[[#This Row],[id клиента]],клиенты!$A$2:$D$435,4,0)</f>
        <v>да</v>
      </c>
      <c r="T198" s="54">
        <f>VLOOKUP(Продажи[[#This Row],[id клиента]],клиенты!$A$2:$I$435,9,0)</f>
        <v>21.289527720739219</v>
      </c>
    </row>
    <row r="199" spans="1:20" x14ac:dyDescent="0.25">
      <c r="A199">
        <v>198</v>
      </c>
      <c r="B199">
        <v>473</v>
      </c>
      <c r="C199">
        <v>171</v>
      </c>
      <c r="D199">
        <v>4</v>
      </c>
      <c r="E199" s="35">
        <v>3420</v>
      </c>
      <c r="F199" s="48">
        <v>45058</v>
      </c>
      <c r="G199" t="s">
        <v>27</v>
      </c>
      <c r="H199">
        <v>266</v>
      </c>
      <c r="I199" t="str">
        <f>VLOOKUP(Продажи[[#This Row],[id товара]],Товары[],2,0)</f>
        <v>Хлеб</v>
      </c>
      <c r="J199" s="17">
        <f>AVERAGEIF(Продажи[Категория],Продажи[[#This Row],[Категория]],Продажи[цена за шт в рублях])</f>
        <v>300.31818181818181</v>
      </c>
      <c r="K199" s="16">
        <f>Продажи[[#This Row],[цена за шт в рублях]]/Продажи[[#This Row],[Средняя цена в категории за шт]]-1</f>
        <v>-0.43060390494929623</v>
      </c>
      <c r="L199" t="str">
        <f>VLOOKUP(Продажи[[#This Row],[id товара]],Товары[],3,0)</f>
        <v>Хлебный Дом</v>
      </c>
      <c r="M199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199" s="16">
        <f>Продажи[[#This Row],[цена за шт в рублях]]/Продажи[[#This Row],[Средняя цена в категории за шт по поставщику]]-1</f>
        <v>-0.39304306672976819</v>
      </c>
      <c r="O199" s="48">
        <f>VLOOKUP(Продажи[[#This Row],[id клиента]],клиенты!$A$2:$E$435,5,0)</f>
        <v>44795</v>
      </c>
      <c r="P199">
        <f>Продажи[[#This Row],[дата создания чека]]-Продажи[[#This Row],[Дата регистрации]]</f>
        <v>263</v>
      </c>
      <c r="Q199" t="str">
        <f>VLOOKUP(Продажи[[#This Row],[id клиента]],клиенты!$A$2:$G$435,7,0)</f>
        <v>Россия</v>
      </c>
      <c r="R199">
        <f>IF(COUNTIF($H$2:H199, H199)=1, 1, 0)</f>
        <v>0</v>
      </c>
      <c r="S199" t="str">
        <f>VLOOKUP(Продажи[[#This Row],[id клиента]],клиенты!$A$2:$D$435,4,0)</f>
        <v>нет</v>
      </c>
      <c r="T199" s="54">
        <f>VLOOKUP(Продажи[[#This Row],[id клиента]],клиенты!$A$2:$I$435,9,0)</f>
        <v>14.422997946611909</v>
      </c>
    </row>
    <row r="200" spans="1:20" x14ac:dyDescent="0.25">
      <c r="A200">
        <v>199</v>
      </c>
      <c r="B200">
        <v>482</v>
      </c>
      <c r="C200">
        <v>321</v>
      </c>
      <c r="D200">
        <v>2</v>
      </c>
      <c r="E200" s="35">
        <v>3210</v>
      </c>
      <c r="F200" s="48">
        <v>44942</v>
      </c>
      <c r="G200" t="s">
        <v>10</v>
      </c>
      <c r="H200">
        <v>481</v>
      </c>
      <c r="I200" t="str">
        <f>VLOOKUP(Продажи[[#This Row],[id товара]],Товары[],2,0)</f>
        <v>Крупа</v>
      </c>
      <c r="J200" s="17">
        <f>AVERAGEIF(Продажи[Категория],Продажи[[#This Row],[Категория]],Продажи[цена за шт в рублях])</f>
        <v>255.11627906976744</v>
      </c>
      <c r="K200" s="16">
        <f>Продажи[[#This Row],[цена за шт в рублях]]/Продажи[[#This Row],[Средняя цена в категории за шт]]-1</f>
        <v>0.25824977210574285</v>
      </c>
      <c r="L200" t="str">
        <f>VLOOKUP(Продажи[[#This Row],[id товара]],Товары[],3,0)</f>
        <v>Мистраль</v>
      </c>
      <c r="M200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200" s="16">
        <f>Продажи[[#This Row],[цена за шт в рублях]]/Продажи[[#This Row],[Средняя цена в категории за шт по поставщику]]-1</f>
        <v>0.28242163491087879</v>
      </c>
      <c r="O200" s="48">
        <f>VLOOKUP(Продажи[[#This Row],[id клиента]],клиенты!$A$2:$E$435,5,0)</f>
        <v>44756</v>
      </c>
      <c r="P200">
        <f>Продажи[[#This Row],[дата создания чека]]-Продажи[[#This Row],[Дата регистрации]]</f>
        <v>186</v>
      </c>
      <c r="Q200" t="str">
        <f>VLOOKUP(Продажи[[#This Row],[id клиента]],клиенты!$A$2:$G$435,7,0)</f>
        <v>Беларусь</v>
      </c>
      <c r="R200">
        <f>IF(COUNTIF($H$2:H200, H200)=1, 1, 0)</f>
        <v>0</v>
      </c>
      <c r="S200" t="str">
        <f>VLOOKUP(Продажи[[#This Row],[id клиента]],клиенты!$A$2:$D$435,4,0)</f>
        <v>да</v>
      </c>
      <c r="T200" s="54">
        <f>VLOOKUP(Продажи[[#This Row],[id клиента]],клиенты!$A$2:$I$435,9,0)</f>
        <v>18.759753593429156</v>
      </c>
    </row>
    <row r="201" spans="1:20" x14ac:dyDescent="0.25">
      <c r="A201">
        <v>200</v>
      </c>
      <c r="B201">
        <v>169</v>
      </c>
      <c r="C201">
        <v>386</v>
      </c>
      <c r="D201">
        <v>5</v>
      </c>
      <c r="E201" s="35">
        <v>9650</v>
      </c>
      <c r="F201" s="48">
        <v>44967</v>
      </c>
      <c r="G201" t="s">
        <v>18</v>
      </c>
      <c r="H201">
        <v>59</v>
      </c>
      <c r="I201" t="str">
        <f>VLOOKUP(Продажи[[#This Row],[id товара]],Товары[],2,0)</f>
        <v>Фрукты</v>
      </c>
      <c r="J201" s="17">
        <f>AVERAGEIF(Продажи[Категория],Продажи[[#This Row],[Категория]],Продажи[цена за шт в рублях])</f>
        <v>274.16279069767444</v>
      </c>
      <c r="K201" s="16">
        <f>Продажи[[#This Row],[цена за шт в рублях]]/Продажи[[#This Row],[Средняя цена в категории за шт]]-1</f>
        <v>0.4079226397489184</v>
      </c>
      <c r="L201" t="str">
        <f>VLOOKUP(Продажи[[#This Row],[id товара]],Товары[],3,0)</f>
        <v>Фруктовый Рай</v>
      </c>
      <c r="M201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201" s="16">
        <f>Продажи[[#This Row],[цена за шт в рублях]]/Продажи[[#This Row],[Средняя цена в категории за шт по поставщику]]-1</f>
        <v>0.49434187016080999</v>
      </c>
      <c r="O201" s="48">
        <f>VLOOKUP(Продажи[[#This Row],[id клиента]],клиенты!$A$2:$E$435,5,0)</f>
        <v>44770</v>
      </c>
      <c r="P201">
        <f>Продажи[[#This Row],[дата создания чека]]-Продажи[[#This Row],[Дата регистрации]]</f>
        <v>197</v>
      </c>
      <c r="Q201" t="str">
        <f>VLOOKUP(Продажи[[#This Row],[id клиента]],клиенты!$A$2:$G$435,7,0)</f>
        <v>Россия</v>
      </c>
      <c r="R201">
        <f>IF(COUNTIF($H$2:H201, H201)=1, 1, 0)</f>
        <v>1</v>
      </c>
      <c r="S201" t="str">
        <f>VLOOKUP(Продажи[[#This Row],[id клиента]],клиенты!$A$2:$D$435,4,0)</f>
        <v>да</v>
      </c>
      <c r="T201" s="54">
        <f>VLOOKUP(Продажи[[#This Row],[id клиента]],клиенты!$A$2:$I$435,9,0)</f>
        <v>6.4722792607802875</v>
      </c>
    </row>
    <row r="202" spans="1:20" x14ac:dyDescent="0.25">
      <c r="A202">
        <v>201</v>
      </c>
      <c r="B202">
        <v>397</v>
      </c>
      <c r="C202">
        <v>148</v>
      </c>
      <c r="D202">
        <v>1</v>
      </c>
      <c r="E202" s="35">
        <v>740</v>
      </c>
      <c r="F202" s="48">
        <v>45010</v>
      </c>
      <c r="G202" t="s">
        <v>21</v>
      </c>
      <c r="H202">
        <v>47</v>
      </c>
      <c r="I202" t="str">
        <f>VLOOKUP(Продажи[[#This Row],[id товара]],Товары[],2,0)</f>
        <v>Йогурт</v>
      </c>
      <c r="J202" s="17">
        <f>AVERAGEIF(Продажи[Категория],Продажи[[#This Row],[Категория]],Продажи[цена за шт в рублях])</f>
        <v>263.25423728813558</v>
      </c>
      <c r="K202" s="16">
        <f>Продажи[[#This Row],[цена за шт в рублях]]/Продажи[[#This Row],[Средняя цена в категории за шт]]-1</f>
        <v>-0.43780582024208081</v>
      </c>
      <c r="L202" t="str">
        <f>VLOOKUP(Продажи[[#This Row],[id товара]],Товары[],3,0)</f>
        <v>Ростагроэкспорт</v>
      </c>
      <c r="M202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202" s="16">
        <f>Продажи[[#This Row],[цена за шт в рублях]]/Продажи[[#This Row],[Средняя цена в категории за шт по поставщику]]-1</f>
        <v>-0.42587282847023111</v>
      </c>
      <c r="O202" s="48">
        <f>VLOOKUP(Продажи[[#This Row],[id клиента]],клиенты!$A$2:$E$435,5,0)</f>
        <v>44693</v>
      </c>
      <c r="P202">
        <f>Продажи[[#This Row],[дата создания чека]]-Продажи[[#This Row],[Дата регистрации]]</f>
        <v>317</v>
      </c>
      <c r="Q202" t="str">
        <f>VLOOKUP(Продажи[[#This Row],[id клиента]],клиенты!$A$2:$G$435,7,0)</f>
        <v>Беларусь</v>
      </c>
      <c r="R202">
        <f>IF(COUNTIF($H$2:H202, H202)=1, 1, 0)</f>
        <v>0</v>
      </c>
      <c r="S202" t="str">
        <f>VLOOKUP(Продажи[[#This Row],[id клиента]],клиенты!$A$2:$D$435,4,0)</f>
        <v>нет</v>
      </c>
      <c r="T202" s="54">
        <f>VLOOKUP(Продажи[[#This Row],[id клиента]],клиенты!$A$2:$I$435,9,0)</f>
        <v>16.525667351129364</v>
      </c>
    </row>
    <row r="203" spans="1:20" x14ac:dyDescent="0.25">
      <c r="A203">
        <v>202</v>
      </c>
      <c r="B203">
        <v>436</v>
      </c>
      <c r="C203">
        <v>291</v>
      </c>
      <c r="D203">
        <v>2</v>
      </c>
      <c r="E203" s="35">
        <v>2910</v>
      </c>
      <c r="F203" s="48">
        <v>45095</v>
      </c>
      <c r="G203" t="s">
        <v>21</v>
      </c>
      <c r="H203">
        <v>385</v>
      </c>
      <c r="I203" t="str">
        <f>VLOOKUP(Продажи[[#This Row],[id товара]],Товары[],2,0)</f>
        <v>Овощи</v>
      </c>
      <c r="J203" s="17">
        <f>AVERAGEIF(Продажи[Категория],Продажи[[#This Row],[Категория]],Продажи[цена за шт в рублях])</f>
        <v>250.48780487804879</v>
      </c>
      <c r="K203" s="16">
        <f>Продажи[[#This Row],[цена за шт в рублях]]/Продажи[[#This Row],[Средняя цена в категории за шт]]-1</f>
        <v>0.16173320350535536</v>
      </c>
      <c r="L203" t="str">
        <f>VLOOKUP(Продажи[[#This Row],[id товара]],Товары[],3,0)</f>
        <v>Гавриш</v>
      </c>
      <c r="M203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203" s="16">
        <f>Продажи[[#This Row],[цена за шт в рублях]]/Продажи[[#This Row],[Средняя цена в категории за шт по поставщику]]-1</f>
        <v>0.17496635262449534</v>
      </c>
      <c r="O203" s="48">
        <f>VLOOKUP(Продажи[[#This Row],[id клиента]],клиенты!$A$2:$E$435,5,0)</f>
        <v>44753</v>
      </c>
      <c r="P203">
        <f>Продажи[[#This Row],[дата создания чека]]-Продажи[[#This Row],[Дата регистрации]]</f>
        <v>342</v>
      </c>
      <c r="Q203" t="str">
        <f>VLOOKUP(Продажи[[#This Row],[id клиента]],клиенты!$A$2:$G$435,7,0)</f>
        <v>Украина</v>
      </c>
      <c r="R203">
        <f>IF(COUNTIF($H$2:H203, H203)=1, 1, 0)</f>
        <v>0</v>
      </c>
      <c r="S203" t="str">
        <f>VLOOKUP(Продажи[[#This Row],[id клиента]],клиенты!$A$2:$D$435,4,0)</f>
        <v>нет</v>
      </c>
      <c r="T203" s="54">
        <f>VLOOKUP(Продажи[[#This Row],[id клиента]],клиенты!$A$2:$I$435,9,0)</f>
        <v>21.453798767967147</v>
      </c>
    </row>
    <row r="204" spans="1:20" x14ac:dyDescent="0.25">
      <c r="A204">
        <v>203</v>
      </c>
      <c r="B204">
        <v>369</v>
      </c>
      <c r="C204">
        <v>74</v>
      </c>
      <c r="D204">
        <v>1</v>
      </c>
      <c r="E204" s="35">
        <v>370</v>
      </c>
      <c r="F204" s="48">
        <v>45208</v>
      </c>
      <c r="G204" t="s">
        <v>18</v>
      </c>
      <c r="H204">
        <v>411</v>
      </c>
      <c r="I204" t="str">
        <f>VLOOKUP(Продажи[[#This Row],[id товара]],Товары[],2,0)</f>
        <v>Молоко</v>
      </c>
      <c r="J204" s="17">
        <f>AVERAGEIF(Продажи[Категория],Продажи[[#This Row],[Категория]],Продажи[цена за шт в рублях])</f>
        <v>294.95238095238096</v>
      </c>
      <c r="K204" s="16">
        <f>Продажи[[#This Row],[цена за шт в рублях]]/Продажи[[#This Row],[Средняя цена в категории за шт]]-1</f>
        <v>-0.74911204391346464</v>
      </c>
      <c r="L204" t="str">
        <f>VLOOKUP(Продажи[[#This Row],[id товара]],Товары[],3,0)</f>
        <v>Домик в деревне</v>
      </c>
      <c r="M204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204" s="16">
        <f>Продажи[[#This Row],[цена за шт в рублях]]/Продажи[[#This Row],[Средняя цена в категории за шт по поставщику]]-1</f>
        <v>-0.73069146785281036</v>
      </c>
      <c r="O204" s="48">
        <f>VLOOKUP(Продажи[[#This Row],[id клиента]],клиенты!$A$2:$E$435,5,0)</f>
        <v>44673</v>
      </c>
      <c r="P204">
        <f>Продажи[[#This Row],[дата создания чека]]-Продажи[[#This Row],[Дата регистрации]]</f>
        <v>535</v>
      </c>
      <c r="Q204" t="str">
        <f>VLOOKUP(Продажи[[#This Row],[id клиента]],клиенты!$A$2:$G$435,7,0)</f>
        <v>Таджикистан</v>
      </c>
      <c r="R204">
        <f>IF(COUNTIF($H$2:H204, H204)=1, 1, 0)</f>
        <v>1</v>
      </c>
      <c r="S204" t="str">
        <f>VLOOKUP(Продажи[[#This Row],[id клиента]],клиенты!$A$2:$D$435,4,0)</f>
        <v>нет</v>
      </c>
      <c r="T204" s="54">
        <f>VLOOKUP(Продажи[[#This Row],[id клиента]],клиенты!$A$2:$I$435,9,0)</f>
        <v>22.603696098562629</v>
      </c>
    </row>
    <row r="205" spans="1:20" x14ac:dyDescent="0.25">
      <c r="A205">
        <v>204</v>
      </c>
      <c r="B205">
        <v>361</v>
      </c>
      <c r="C205">
        <v>245</v>
      </c>
      <c r="D205">
        <v>1</v>
      </c>
      <c r="E205" s="35">
        <v>1225</v>
      </c>
      <c r="F205" s="48">
        <v>45178</v>
      </c>
      <c r="G205" t="s">
        <v>24</v>
      </c>
      <c r="H205">
        <v>259</v>
      </c>
      <c r="I205" t="str">
        <f>VLOOKUP(Продажи[[#This Row],[id товара]],Товары[],2,0)</f>
        <v>Мясо</v>
      </c>
      <c r="J205" s="17">
        <f>AVERAGEIF(Продажи[Категория],Продажи[[#This Row],[Категория]],Продажи[цена за шт в рублях])</f>
        <v>271.74545454545455</v>
      </c>
      <c r="K205" s="16">
        <f>Продажи[[#This Row],[цена за шт в рублях]]/Продажи[[#This Row],[Средняя цена в категории за шт]]-1</f>
        <v>-9.8420982202595986E-2</v>
      </c>
      <c r="L205" t="str">
        <f>VLOOKUP(Продажи[[#This Row],[id товара]],Товары[],3,0)</f>
        <v>Сава</v>
      </c>
      <c r="M205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205" s="16">
        <f>Продажи[[#This Row],[цена за шт в рублях]]/Продажи[[#This Row],[Средняя цена в категории за шт по поставщику]]-1</f>
        <v>0.15124816446402356</v>
      </c>
      <c r="O205" s="48">
        <f>VLOOKUP(Продажи[[#This Row],[id клиента]],клиенты!$A$2:$E$435,5,0)</f>
        <v>44707</v>
      </c>
      <c r="P205">
        <f>Продажи[[#This Row],[дата создания чека]]-Продажи[[#This Row],[Дата регистрации]]</f>
        <v>471</v>
      </c>
      <c r="Q205" t="str">
        <f>VLOOKUP(Продажи[[#This Row],[id клиента]],клиенты!$A$2:$G$435,7,0)</f>
        <v>Беларусь</v>
      </c>
      <c r="R205">
        <f>IF(COUNTIF($H$2:H205, H205)=1, 1, 0)</f>
        <v>1</v>
      </c>
      <c r="S205" t="str">
        <f>VLOOKUP(Продажи[[#This Row],[id клиента]],клиенты!$A$2:$D$435,4,0)</f>
        <v>да</v>
      </c>
      <c r="T205" s="54">
        <f>VLOOKUP(Продажи[[#This Row],[id клиента]],клиенты!$A$2:$I$435,9,0)</f>
        <v>18.299794661190965</v>
      </c>
    </row>
    <row r="206" spans="1:20" x14ac:dyDescent="0.25">
      <c r="A206">
        <v>205</v>
      </c>
      <c r="B206">
        <v>226</v>
      </c>
      <c r="C206">
        <v>339</v>
      </c>
      <c r="D206">
        <v>4</v>
      </c>
      <c r="E206" s="35">
        <v>6780</v>
      </c>
      <c r="F206" s="48">
        <v>45251</v>
      </c>
      <c r="G206" t="s">
        <v>15</v>
      </c>
      <c r="H206">
        <v>337</v>
      </c>
      <c r="I206" t="str">
        <f>VLOOKUP(Продажи[[#This Row],[id товара]],Товары[],2,0)</f>
        <v>Сыр</v>
      </c>
      <c r="J206" s="17">
        <f>AVERAGEIF(Продажи[Категория],Продажи[[#This Row],[Категория]],Продажи[цена за шт в рублях])</f>
        <v>262.63492063492066</v>
      </c>
      <c r="K206" s="16">
        <f>Продажи[[#This Row],[цена за шт в рублях]]/Продажи[[#This Row],[Средняя цена в категории за шт]]-1</f>
        <v>0.29076513961078199</v>
      </c>
      <c r="L206" t="str">
        <f>VLOOKUP(Продажи[[#This Row],[id товара]],Товары[],3,0)</f>
        <v>Карат</v>
      </c>
      <c r="M206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206" s="16">
        <f>Продажи[[#This Row],[цена за шт в рублях]]/Продажи[[#This Row],[Средняя цена в категории за шт по поставщику]]-1</f>
        <v>8.8865096359743045E-2</v>
      </c>
      <c r="O206" s="48">
        <f>VLOOKUP(Продажи[[#This Row],[id клиента]],клиенты!$A$2:$E$435,5,0)</f>
        <v>44875</v>
      </c>
      <c r="P206">
        <f>Продажи[[#This Row],[дата создания чека]]-Продажи[[#This Row],[Дата регистрации]]</f>
        <v>376</v>
      </c>
      <c r="Q206" t="str">
        <f>VLOOKUP(Продажи[[#This Row],[id клиента]],клиенты!$A$2:$G$435,7,0)</f>
        <v>Россия</v>
      </c>
      <c r="R206">
        <f>IF(COUNTIF($H$2:H206, H206)=1, 1, 0)</f>
        <v>1</v>
      </c>
      <c r="S206" t="str">
        <f>VLOOKUP(Продажи[[#This Row],[id клиента]],клиенты!$A$2:$D$435,4,0)</f>
        <v>да</v>
      </c>
      <c r="T206" s="54">
        <f>VLOOKUP(Продажи[[#This Row],[id клиента]],клиенты!$A$2:$I$435,9,0)</f>
        <v>17.084188911704313</v>
      </c>
    </row>
    <row r="207" spans="1:20" x14ac:dyDescent="0.25">
      <c r="A207">
        <v>206</v>
      </c>
      <c r="B207">
        <v>87</v>
      </c>
      <c r="C207">
        <v>487</v>
      </c>
      <c r="D207">
        <v>1</v>
      </c>
      <c r="E207" s="35">
        <v>2435</v>
      </c>
      <c r="F207" s="48">
        <v>45019</v>
      </c>
      <c r="G207" t="s">
        <v>17</v>
      </c>
      <c r="H207">
        <v>172</v>
      </c>
      <c r="I207" t="str">
        <f>VLOOKUP(Продажи[[#This Row],[id товара]],Товары[],2,0)</f>
        <v>Кофе</v>
      </c>
      <c r="J207" s="17">
        <f>AVERAGEIF(Продажи[Категория],Продажи[[#This Row],[Категория]],Продажи[цена за шт в рублях])</f>
        <v>249.02380952380952</v>
      </c>
      <c r="K207" s="16">
        <f>Продажи[[#This Row],[цена за шт в рублях]]/Продажи[[#This Row],[Средняя цена в категории за шт]]-1</f>
        <v>0.95563629410077455</v>
      </c>
      <c r="L207" t="str">
        <f>VLOOKUP(Продажи[[#This Row],[id товара]],Товары[],3,0)</f>
        <v>Jacobs</v>
      </c>
      <c r="M207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207" s="16">
        <f>Продажи[[#This Row],[цена за шт в рублях]]/Продажи[[#This Row],[Средняя цена в категории за шт по поставщику]]-1</f>
        <v>0.76314786585365857</v>
      </c>
      <c r="O207" s="48">
        <f>VLOOKUP(Продажи[[#This Row],[id клиента]],клиенты!$A$2:$E$435,5,0)</f>
        <v>44737</v>
      </c>
      <c r="P207">
        <f>Продажи[[#This Row],[дата создания чека]]-Продажи[[#This Row],[Дата регистрации]]</f>
        <v>282</v>
      </c>
      <c r="Q207" t="str">
        <f>VLOOKUP(Продажи[[#This Row],[id клиента]],клиенты!$A$2:$G$435,7,0)</f>
        <v>Россия</v>
      </c>
      <c r="R207">
        <f>IF(COUNTIF($H$2:H207, H207)=1, 1, 0)</f>
        <v>0</v>
      </c>
      <c r="S207" t="str">
        <f>VLOOKUP(Продажи[[#This Row],[id клиента]],клиенты!$A$2:$D$435,4,0)</f>
        <v>нет</v>
      </c>
      <c r="T207" s="54">
        <f>VLOOKUP(Продажи[[#This Row],[id клиента]],клиенты!$A$2:$I$435,9,0)</f>
        <v>22.209445585215605</v>
      </c>
    </row>
    <row r="208" spans="1:20" x14ac:dyDescent="0.25">
      <c r="A208">
        <v>207</v>
      </c>
      <c r="B208">
        <v>376</v>
      </c>
      <c r="C208">
        <v>335</v>
      </c>
      <c r="D208">
        <v>5</v>
      </c>
      <c r="E208" s="35">
        <v>8375</v>
      </c>
      <c r="F208" s="48">
        <v>44983</v>
      </c>
      <c r="G208" t="s">
        <v>17</v>
      </c>
      <c r="H208">
        <v>130</v>
      </c>
      <c r="I208" t="str">
        <f>VLOOKUP(Продажи[[#This Row],[id товара]],Товары[],2,0)</f>
        <v>Конфеты</v>
      </c>
      <c r="J208" s="17">
        <f>AVERAGEIF(Продажи[Категория],Продажи[[#This Row],[Категория]],Продажи[цена за шт в рублях])</f>
        <v>267.85483870967744</v>
      </c>
      <c r="K208" s="16">
        <f>Продажи[[#This Row],[цена за шт в рублях]]/Продажи[[#This Row],[Средняя цена в категории за шт]]-1</f>
        <v>0.25067742518215197</v>
      </c>
      <c r="L208" t="str">
        <f>VLOOKUP(Продажи[[#This Row],[id товара]],Товары[],3,0)</f>
        <v>Красный Октябрь</v>
      </c>
      <c r="M208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208" s="16">
        <f>Продажи[[#This Row],[цена за шт в рублях]]/Продажи[[#This Row],[Средняя цена в категории за шт по поставщику]]-1</f>
        <v>0.22430333485609877</v>
      </c>
      <c r="O208" s="48">
        <f>VLOOKUP(Продажи[[#This Row],[id клиента]],клиенты!$A$2:$E$435,5,0)</f>
        <v>44863</v>
      </c>
      <c r="P208">
        <f>Продажи[[#This Row],[дата создания чека]]-Продажи[[#This Row],[Дата регистрации]]</f>
        <v>120</v>
      </c>
      <c r="Q208" t="str">
        <f>VLOOKUP(Продажи[[#This Row],[id клиента]],клиенты!$A$2:$G$435,7,0)</f>
        <v>Таджикистан</v>
      </c>
      <c r="R208">
        <f>IF(COUNTIF($H$2:H208, H208)=1, 1, 0)</f>
        <v>0</v>
      </c>
      <c r="S208" t="str">
        <f>VLOOKUP(Продажи[[#This Row],[id клиента]],клиенты!$A$2:$D$435,4,0)</f>
        <v>нет</v>
      </c>
      <c r="T208" s="54">
        <f>VLOOKUP(Продажи[[#This Row],[id клиента]],клиенты!$A$2:$I$435,9,0)</f>
        <v>10.809034907597535</v>
      </c>
    </row>
    <row r="209" spans="1:20" x14ac:dyDescent="0.25">
      <c r="A209">
        <v>208</v>
      </c>
      <c r="B209">
        <v>255</v>
      </c>
      <c r="C209">
        <v>214</v>
      </c>
      <c r="D209">
        <v>2</v>
      </c>
      <c r="E209" s="35">
        <v>2140</v>
      </c>
      <c r="F209" s="48">
        <v>45031</v>
      </c>
      <c r="G209" t="s">
        <v>12</v>
      </c>
      <c r="H209">
        <v>354</v>
      </c>
      <c r="I209" t="str">
        <f>VLOOKUP(Продажи[[#This Row],[id товара]],Товары[],2,0)</f>
        <v>Кофе</v>
      </c>
      <c r="J209" s="17">
        <f>AVERAGEIF(Продажи[Категория],Продажи[[#This Row],[Категория]],Продажи[цена за шт в рублях])</f>
        <v>249.02380952380952</v>
      </c>
      <c r="K209" s="16">
        <f>Продажи[[#This Row],[цена за шт в рублях]]/Продажи[[#This Row],[Средняя цена в категории за шт]]-1</f>
        <v>-0.14064442107276032</v>
      </c>
      <c r="L209" t="str">
        <f>VLOOKUP(Продажи[[#This Row],[id товара]],Товары[],3,0)</f>
        <v>Nescafe</v>
      </c>
      <c r="M209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209" s="16">
        <f>Продажи[[#This Row],[цена за шт в рублях]]/Продажи[[#This Row],[Средняя цена в категории за шт по поставщику]]-1</f>
        <v>-0.16699104710003887</v>
      </c>
      <c r="O209" s="48">
        <f>VLOOKUP(Продажи[[#This Row],[id клиента]],клиенты!$A$2:$E$435,5,0)</f>
        <v>44811</v>
      </c>
      <c r="P209">
        <f>Продажи[[#This Row],[дата создания чека]]-Продажи[[#This Row],[Дата регистрации]]</f>
        <v>220</v>
      </c>
      <c r="Q209" t="str">
        <f>VLOOKUP(Продажи[[#This Row],[id клиента]],клиенты!$A$2:$G$435,7,0)</f>
        <v>Узбекистан</v>
      </c>
      <c r="R209">
        <f>IF(COUNTIF($H$2:H209, H209)=1, 1, 0)</f>
        <v>1</v>
      </c>
      <c r="S209" t="str">
        <f>VLOOKUP(Продажи[[#This Row],[id клиента]],клиенты!$A$2:$D$435,4,0)</f>
        <v>нет</v>
      </c>
      <c r="T209" s="54">
        <f>VLOOKUP(Продажи[[#This Row],[id клиента]],клиенты!$A$2:$I$435,9,0)</f>
        <v>15.24435318275154</v>
      </c>
    </row>
    <row r="210" spans="1:20" x14ac:dyDescent="0.25">
      <c r="A210">
        <v>209</v>
      </c>
      <c r="B210">
        <v>111</v>
      </c>
      <c r="C210">
        <v>452</v>
      </c>
      <c r="D210">
        <v>4</v>
      </c>
      <c r="E210" s="35">
        <v>9040</v>
      </c>
      <c r="F210" s="48">
        <v>44927</v>
      </c>
      <c r="G210" t="s">
        <v>15</v>
      </c>
      <c r="H210">
        <v>329</v>
      </c>
      <c r="I210" t="str">
        <f>VLOOKUP(Продажи[[#This Row],[id товара]],Товары[],2,0)</f>
        <v>Сахар</v>
      </c>
      <c r="J210" s="17">
        <f>AVERAGEIF(Продажи[Категория],Продажи[[#This Row],[Категория]],Продажи[цена за шт в рублях])</f>
        <v>252.76271186440678</v>
      </c>
      <c r="K210" s="16">
        <f>Продажи[[#This Row],[цена за шт в рублях]]/Продажи[[#This Row],[Средняя цена в категории за шт]]-1</f>
        <v>0.78823844967478029</v>
      </c>
      <c r="L210" t="str">
        <f>VLOOKUP(Продажи[[#This Row],[id товара]],Товары[],3,0)</f>
        <v>Сладов</v>
      </c>
      <c r="M210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210" s="16">
        <f>Продажи[[#This Row],[цена за шт в рублях]]/Продажи[[#This Row],[Средняя цена в категории за шт по поставщику]]-1</f>
        <v>0.88124306326304103</v>
      </c>
      <c r="O210" s="48">
        <f>VLOOKUP(Продажи[[#This Row],[id клиента]],клиенты!$A$2:$E$435,5,0)</f>
        <v>44653</v>
      </c>
      <c r="P210">
        <f>Продажи[[#This Row],[дата создания чека]]-Продажи[[#This Row],[Дата регистрации]]</f>
        <v>274</v>
      </c>
      <c r="Q210" t="str">
        <f>VLOOKUP(Продажи[[#This Row],[id клиента]],клиенты!$A$2:$G$435,7,0)</f>
        <v>Беларусь</v>
      </c>
      <c r="R210">
        <f>IF(COUNTIF($H$2:H210, H210)=1, 1, 0)</f>
        <v>1</v>
      </c>
      <c r="S210" t="str">
        <f>VLOOKUP(Продажи[[#This Row],[id клиента]],клиенты!$A$2:$D$435,4,0)</f>
        <v>да</v>
      </c>
      <c r="T210" s="54">
        <f>VLOOKUP(Продажи[[#This Row],[id клиента]],клиенты!$A$2:$I$435,9,0)</f>
        <v>15.967145790554415</v>
      </c>
    </row>
    <row r="211" spans="1:20" x14ac:dyDescent="0.25">
      <c r="A211">
        <v>210</v>
      </c>
      <c r="B211">
        <v>344</v>
      </c>
      <c r="C211">
        <v>172</v>
      </c>
      <c r="D211">
        <v>5</v>
      </c>
      <c r="E211" s="35">
        <v>4300</v>
      </c>
      <c r="F211" s="48">
        <v>45092</v>
      </c>
      <c r="G211" t="s">
        <v>18</v>
      </c>
      <c r="H211">
        <v>186</v>
      </c>
      <c r="I211" t="str">
        <f>VLOOKUP(Продажи[[#This Row],[id товара]],Товары[],2,0)</f>
        <v>Сок</v>
      </c>
      <c r="J211" s="17">
        <f>AVERAGEIF(Продажи[Категория],Продажи[[#This Row],[Категория]],Продажи[цена за шт в рублях])</f>
        <v>268.60344827586209</v>
      </c>
      <c r="K211" s="16">
        <f>Продажи[[#This Row],[цена за шт в рублях]]/Продажи[[#This Row],[Средняя цена в категории за шт]]-1</f>
        <v>-0.35965081199050009</v>
      </c>
      <c r="L211" t="str">
        <f>VLOOKUP(Продажи[[#This Row],[id товара]],Товары[],3,0)</f>
        <v>Сады Придонья</v>
      </c>
      <c r="M211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211" s="16">
        <f>Продажи[[#This Row],[цена за шт в рублях]]/Продажи[[#This Row],[Средняя цена в категории за шт по поставщику]]-1</f>
        <v>-0.32331902718168815</v>
      </c>
      <c r="O211" s="48">
        <f>VLOOKUP(Продажи[[#This Row],[id клиента]],клиенты!$A$2:$E$435,5,0)</f>
        <v>44914</v>
      </c>
      <c r="P211">
        <f>Продажи[[#This Row],[дата создания чека]]-Продажи[[#This Row],[Дата регистрации]]</f>
        <v>178</v>
      </c>
      <c r="Q211" t="str">
        <f>VLOOKUP(Продажи[[#This Row],[id клиента]],клиенты!$A$2:$G$435,7,0)</f>
        <v>Беларусь</v>
      </c>
      <c r="R211">
        <f>IF(COUNTIF($H$2:H211, H211)=1, 1, 0)</f>
        <v>1</v>
      </c>
      <c r="S211" t="str">
        <f>VLOOKUP(Продажи[[#This Row],[id клиента]],клиенты!$A$2:$D$435,4,0)</f>
        <v>нет</v>
      </c>
      <c r="T211" s="54">
        <f>VLOOKUP(Продажи[[#This Row],[id клиента]],клиенты!$A$2:$I$435,9,0)</f>
        <v>5.848049281314168</v>
      </c>
    </row>
    <row r="212" spans="1:20" x14ac:dyDescent="0.25">
      <c r="A212">
        <v>211</v>
      </c>
      <c r="B212">
        <v>462</v>
      </c>
      <c r="C212">
        <v>104</v>
      </c>
      <c r="D212">
        <v>4</v>
      </c>
      <c r="E212" s="35">
        <v>2080</v>
      </c>
      <c r="F212" s="48">
        <v>45105</v>
      </c>
      <c r="G212" t="s">
        <v>20</v>
      </c>
      <c r="H212">
        <v>448</v>
      </c>
      <c r="I212" t="str">
        <f>VLOOKUP(Продажи[[#This Row],[id товара]],Товары[],2,0)</f>
        <v>Рис</v>
      </c>
      <c r="J212" s="17">
        <f>AVERAGEIF(Продажи[Категория],Продажи[[#This Row],[Категория]],Продажи[цена за шт в рублях])</f>
        <v>258.375</v>
      </c>
      <c r="K212" s="16">
        <f>Продажи[[#This Row],[цена за шт в рублях]]/Продажи[[#This Row],[Средняя цена в категории за шт]]-1</f>
        <v>-0.59748427672955973</v>
      </c>
      <c r="L212" t="str">
        <f>VLOOKUP(Продажи[[#This Row],[id товара]],Товары[],3,0)</f>
        <v>Белый Злат</v>
      </c>
      <c r="M212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212" s="16">
        <f>Продажи[[#This Row],[цена за шт в рублях]]/Продажи[[#This Row],[Средняя цена в категории за шт по поставщику]]-1</f>
        <v>-0.61439476553980366</v>
      </c>
      <c r="O212" s="48">
        <f>VLOOKUP(Продажи[[#This Row],[id клиента]],клиенты!$A$2:$E$435,5,0)</f>
        <v>44770</v>
      </c>
      <c r="P212">
        <f>Продажи[[#This Row],[дата создания чека]]-Продажи[[#This Row],[Дата регистрации]]</f>
        <v>335</v>
      </c>
      <c r="Q212" t="str">
        <f>VLOOKUP(Продажи[[#This Row],[id клиента]],клиенты!$A$2:$G$435,7,0)</f>
        <v>Россия</v>
      </c>
      <c r="R212">
        <f>IF(COUNTIF($H$2:H212, H212)=1, 1, 0)</f>
        <v>1</v>
      </c>
      <c r="S212" t="str">
        <f>VLOOKUP(Продажи[[#This Row],[id клиента]],клиенты!$A$2:$D$435,4,0)</f>
        <v>нет</v>
      </c>
      <c r="T212" s="54">
        <f>VLOOKUP(Продажи[[#This Row],[id клиента]],клиенты!$A$2:$I$435,9,0)</f>
        <v>17.905544147843944</v>
      </c>
    </row>
    <row r="213" spans="1:20" x14ac:dyDescent="0.25">
      <c r="A213">
        <v>212</v>
      </c>
      <c r="B213">
        <v>279</v>
      </c>
      <c r="C213">
        <v>433</v>
      </c>
      <c r="D213">
        <v>4</v>
      </c>
      <c r="E213" s="35">
        <v>8660</v>
      </c>
      <c r="F213" s="48">
        <v>45265</v>
      </c>
      <c r="G213" t="s">
        <v>25</v>
      </c>
      <c r="H213">
        <v>377</v>
      </c>
      <c r="I213" t="str">
        <f>VLOOKUP(Продажи[[#This Row],[id товара]],Товары[],2,0)</f>
        <v>Крупа</v>
      </c>
      <c r="J213" s="17">
        <f>AVERAGEIF(Продажи[Категория],Продажи[[#This Row],[Категория]],Продажи[цена за шт в рублях])</f>
        <v>255.11627906976744</v>
      </c>
      <c r="K213" s="16">
        <f>Продажи[[#This Row],[цена за шт в рублях]]/Продажи[[#This Row],[Средняя цена в категории за шт]]-1</f>
        <v>0.69726526891522322</v>
      </c>
      <c r="L213" t="str">
        <f>VLOOKUP(Продажи[[#This Row],[id товара]],Товары[],3,0)</f>
        <v>Увелка</v>
      </c>
      <c r="M213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213" s="16">
        <f>Продажи[[#This Row],[цена за шт в рублях]]/Продажи[[#This Row],[Средняя цена в категории за шт по поставщику]]-1</f>
        <v>0.71882236189216009</v>
      </c>
      <c r="O213" s="48">
        <f>VLOOKUP(Продажи[[#This Row],[id клиента]],клиенты!$A$2:$E$435,5,0)</f>
        <v>44794</v>
      </c>
      <c r="P213">
        <f>Продажи[[#This Row],[дата создания чека]]-Продажи[[#This Row],[Дата регистрации]]</f>
        <v>471</v>
      </c>
      <c r="Q213" t="str">
        <f>VLOOKUP(Продажи[[#This Row],[id клиента]],клиенты!$A$2:$G$435,7,0)</f>
        <v>Узбекистан</v>
      </c>
      <c r="R213">
        <f>IF(COUNTIF($H$2:H213, H213)=1, 1, 0)</f>
        <v>1</v>
      </c>
      <c r="S213" t="str">
        <f>VLOOKUP(Продажи[[#This Row],[id клиента]],клиенты!$A$2:$D$435,4,0)</f>
        <v>нет</v>
      </c>
      <c r="T213" s="54">
        <f>VLOOKUP(Продажи[[#This Row],[id клиента]],клиенты!$A$2:$I$435,9,0)</f>
        <v>15.474332648870636</v>
      </c>
    </row>
    <row r="214" spans="1:20" x14ac:dyDescent="0.25">
      <c r="A214">
        <v>213</v>
      </c>
      <c r="B214">
        <v>322</v>
      </c>
      <c r="C214">
        <v>79</v>
      </c>
      <c r="D214">
        <v>5</v>
      </c>
      <c r="E214" s="35">
        <v>1975</v>
      </c>
      <c r="F214" s="48">
        <v>45108</v>
      </c>
      <c r="G214" t="s">
        <v>13</v>
      </c>
      <c r="H214">
        <v>316</v>
      </c>
      <c r="I214" t="str">
        <f>VLOOKUP(Продажи[[#This Row],[id товара]],Товары[],2,0)</f>
        <v>Крупа</v>
      </c>
      <c r="J214" s="17">
        <f>AVERAGEIF(Продажи[Категория],Продажи[[#This Row],[Категория]],Продажи[цена за шт в рублях])</f>
        <v>255.11627906976744</v>
      </c>
      <c r="K214" s="16">
        <f>Продажи[[#This Row],[цена за шт в рублях]]/Продажи[[#This Row],[Средняя цена в категории за шт]]-1</f>
        <v>-0.69033728350045576</v>
      </c>
      <c r="L214" t="str">
        <f>VLOOKUP(Продажи[[#This Row],[id товара]],Товары[],3,0)</f>
        <v>Увелка</v>
      </c>
      <c r="M214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214" s="16">
        <f>Продажи[[#This Row],[цена за шт в рублях]]/Продажи[[#This Row],[Средняя цена в категории за шт по поставщику]]-1</f>
        <v>-0.68640423420443275</v>
      </c>
      <c r="O214" s="48">
        <f>VLOOKUP(Продажи[[#This Row],[id клиента]],клиенты!$A$2:$E$435,5,0)</f>
        <v>44787</v>
      </c>
      <c r="P214">
        <f>Продажи[[#This Row],[дата создания чека]]-Продажи[[#This Row],[Дата регистрации]]</f>
        <v>321</v>
      </c>
      <c r="Q214" t="str">
        <f>VLOOKUP(Продажи[[#This Row],[id клиента]],клиенты!$A$2:$G$435,7,0)</f>
        <v>Таджикистан</v>
      </c>
      <c r="R214">
        <f>IF(COUNTIF($H$2:H214, H214)=1, 1, 0)</f>
        <v>1</v>
      </c>
      <c r="S214" t="str">
        <f>VLOOKUP(Продажи[[#This Row],[id клиента]],клиенты!$A$2:$D$435,4,0)</f>
        <v>да</v>
      </c>
      <c r="T214" s="54">
        <f>VLOOKUP(Продажи[[#This Row],[id клиента]],клиенты!$A$2:$I$435,9,0)</f>
        <v>11.696098562628336</v>
      </c>
    </row>
    <row r="215" spans="1:20" x14ac:dyDescent="0.25">
      <c r="A215">
        <v>214</v>
      </c>
      <c r="B215">
        <v>494</v>
      </c>
      <c r="C215">
        <v>181</v>
      </c>
      <c r="D215">
        <v>1</v>
      </c>
      <c r="E215" s="35">
        <v>905</v>
      </c>
      <c r="F215" s="48">
        <v>45251</v>
      </c>
      <c r="G215" t="s">
        <v>24</v>
      </c>
      <c r="H215">
        <v>356</v>
      </c>
      <c r="I215" t="str">
        <f>VLOOKUP(Продажи[[#This Row],[id товара]],Товары[],2,0)</f>
        <v>Сыр</v>
      </c>
      <c r="J215" s="17">
        <f>AVERAGEIF(Продажи[Категория],Продажи[[#This Row],[Категория]],Продажи[цена за шт в рублях])</f>
        <v>262.63492063492066</v>
      </c>
      <c r="K215" s="16">
        <f>Продажи[[#This Row],[цена за шт в рублях]]/Продажи[[#This Row],[Средняя цена в категории за шт]]-1</f>
        <v>-0.31083041218421381</v>
      </c>
      <c r="L215" t="str">
        <f>VLOOKUP(Продажи[[#This Row],[id товара]],Товары[],3,0)</f>
        <v>Сырная долина</v>
      </c>
      <c r="M215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215" s="16">
        <f>Продажи[[#This Row],[цена за шт в рублях]]/Продажи[[#This Row],[Средняя цена в категории за шт по поставщику]]-1</f>
        <v>-0.33210332103321039</v>
      </c>
      <c r="O215" s="48">
        <f>VLOOKUP(Продажи[[#This Row],[id клиента]],клиенты!$A$2:$E$435,5,0)</f>
        <v>44570</v>
      </c>
      <c r="P215">
        <f>Продажи[[#This Row],[дата создания чека]]-Продажи[[#This Row],[Дата регистрации]]</f>
        <v>681</v>
      </c>
      <c r="Q215" t="str">
        <f>VLOOKUP(Продажи[[#This Row],[id клиента]],клиенты!$A$2:$G$435,7,0)</f>
        <v>Таджикистан</v>
      </c>
      <c r="R215">
        <f>IF(COUNTIF($H$2:H215, H215)=1, 1, 0)</f>
        <v>0</v>
      </c>
      <c r="S215" t="str">
        <f>VLOOKUP(Продажи[[#This Row],[id клиента]],клиенты!$A$2:$D$435,4,0)</f>
        <v>нет</v>
      </c>
      <c r="T215" s="54">
        <f>VLOOKUP(Продажи[[#This Row],[id клиента]],клиенты!$A$2:$I$435,9,0)</f>
        <v>22.373716632443532</v>
      </c>
    </row>
    <row r="216" spans="1:20" x14ac:dyDescent="0.25">
      <c r="A216">
        <v>215</v>
      </c>
      <c r="B216">
        <v>317</v>
      </c>
      <c r="C216">
        <v>196</v>
      </c>
      <c r="D216">
        <v>3</v>
      </c>
      <c r="E216" s="35">
        <v>2940</v>
      </c>
      <c r="F216" s="48">
        <v>45371</v>
      </c>
      <c r="G216" t="s">
        <v>16</v>
      </c>
      <c r="H216">
        <v>159</v>
      </c>
      <c r="I216" t="str">
        <f>VLOOKUP(Продажи[[#This Row],[id товара]],Товары[],2,0)</f>
        <v>Сок</v>
      </c>
      <c r="J216" s="17">
        <f>AVERAGEIF(Продажи[Категория],Продажи[[#This Row],[Категория]],Продажи[цена за шт в рублях])</f>
        <v>268.60344827586209</v>
      </c>
      <c r="K216" s="16">
        <f>Продажи[[#This Row],[цена за шт в рублях]]/Продажи[[#This Row],[Средняя цена в категории за шт]]-1</f>
        <v>-0.27029976250080245</v>
      </c>
      <c r="L216" t="str">
        <f>VLOOKUP(Продажи[[#This Row],[id товара]],Товары[],3,0)</f>
        <v>Фруктовый сад</v>
      </c>
      <c r="M216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216" s="16">
        <f>Продажи[[#This Row],[цена за шт в рублях]]/Продажи[[#This Row],[Средняя цена в категории за шт по поставщику]]-1</f>
        <v>-0.30488750969743983</v>
      </c>
      <c r="O216" s="48">
        <f>VLOOKUP(Продажи[[#This Row],[id клиента]],клиенты!$A$2:$E$435,5,0)</f>
        <v>44686</v>
      </c>
      <c r="P216">
        <f>Продажи[[#This Row],[дата создания чека]]-Продажи[[#This Row],[Дата регистрации]]</f>
        <v>685</v>
      </c>
      <c r="Q216" t="str">
        <f>VLOOKUP(Продажи[[#This Row],[id клиента]],клиенты!$A$2:$G$435,7,0)</f>
        <v>Узбекистан</v>
      </c>
      <c r="R216">
        <f>IF(COUNTIF($H$2:H216, H216)=1, 1, 0)</f>
        <v>0</v>
      </c>
      <c r="S216" t="str">
        <f>VLOOKUP(Продажи[[#This Row],[id клиента]],клиенты!$A$2:$D$435,4,0)</f>
        <v>нет</v>
      </c>
      <c r="T216" s="54">
        <f>VLOOKUP(Продажи[[#This Row],[id клиента]],клиенты!$A$2:$I$435,9,0)</f>
        <v>22.505133470225871</v>
      </c>
    </row>
    <row r="217" spans="1:20" x14ac:dyDescent="0.25">
      <c r="A217">
        <v>216</v>
      </c>
      <c r="B217">
        <v>223</v>
      </c>
      <c r="C217">
        <v>174</v>
      </c>
      <c r="D217">
        <v>1</v>
      </c>
      <c r="E217" s="35">
        <v>870</v>
      </c>
      <c r="F217" s="48">
        <v>45022</v>
      </c>
      <c r="G217" t="s">
        <v>10</v>
      </c>
      <c r="H217">
        <v>287</v>
      </c>
      <c r="I217" t="str">
        <f>VLOOKUP(Продажи[[#This Row],[id товара]],Товары[],2,0)</f>
        <v>Чай</v>
      </c>
      <c r="J217" s="17">
        <f>AVERAGEIF(Продажи[Категория],Продажи[[#This Row],[Категория]],Продажи[цена за шт в рублях])</f>
        <v>271.18181818181819</v>
      </c>
      <c r="K217" s="16">
        <f>Продажи[[#This Row],[цена за шт в рублях]]/Продажи[[#This Row],[Средняя цена в категории за шт]]-1</f>
        <v>-0.35836406302380153</v>
      </c>
      <c r="L217" t="str">
        <f>VLOOKUP(Продажи[[#This Row],[id товара]],Товары[],3,0)</f>
        <v>Greenfield</v>
      </c>
      <c r="M217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217" s="16">
        <f>Продажи[[#This Row],[цена за шт в рублях]]/Продажи[[#This Row],[Средняя цена в категории за шт по поставщику]]-1</f>
        <v>-0.40299438552713662</v>
      </c>
      <c r="O217" s="48">
        <f>VLOOKUP(Продажи[[#This Row],[id клиента]],клиенты!$A$2:$E$435,5,0)</f>
        <v>44608</v>
      </c>
      <c r="P217">
        <f>Продажи[[#This Row],[дата создания чека]]-Продажи[[#This Row],[Дата регистрации]]</f>
        <v>414</v>
      </c>
      <c r="Q217" t="str">
        <f>VLOOKUP(Продажи[[#This Row],[id клиента]],клиенты!$A$2:$G$435,7,0)</f>
        <v>Россия</v>
      </c>
      <c r="R217">
        <f>IF(COUNTIF($H$2:H217, H217)=1, 1, 0)</f>
        <v>0</v>
      </c>
      <c r="S217" t="str">
        <f>VLOOKUP(Продажи[[#This Row],[id клиента]],клиенты!$A$2:$D$435,4,0)</f>
        <v>да</v>
      </c>
      <c r="T217" s="54">
        <f>VLOOKUP(Продажи[[#This Row],[id клиента]],клиенты!$A$2:$I$435,9,0)</f>
        <v>20.960985626283367</v>
      </c>
    </row>
    <row r="218" spans="1:20" x14ac:dyDescent="0.25">
      <c r="A218">
        <v>217</v>
      </c>
      <c r="B218">
        <v>25</v>
      </c>
      <c r="C218">
        <v>356</v>
      </c>
      <c r="D218">
        <v>3</v>
      </c>
      <c r="E218" s="35">
        <v>5340</v>
      </c>
      <c r="F218" s="48">
        <v>45018</v>
      </c>
      <c r="G218" t="s">
        <v>15</v>
      </c>
      <c r="H218">
        <v>322</v>
      </c>
      <c r="I218" t="str">
        <f>VLOOKUP(Продажи[[#This Row],[id товара]],Товары[],2,0)</f>
        <v>Чипсы</v>
      </c>
      <c r="J218" s="17">
        <f>AVERAGEIF(Продажи[Категория],Продажи[[#This Row],[Категория]],Продажи[цена за шт в рублях])</f>
        <v>273.72549019607845</v>
      </c>
      <c r="K218" s="16">
        <f>Продажи[[#This Row],[цена за шт в рублях]]/Продажи[[#This Row],[Средняя цена в категории за шт]]-1</f>
        <v>0.30057306590257871</v>
      </c>
      <c r="L218" t="str">
        <f>VLOOKUP(Продажи[[#This Row],[id товара]],Товары[],3,0)</f>
        <v>Русская картошка</v>
      </c>
      <c r="M218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218" s="16">
        <f>Продажи[[#This Row],[цена за шт в рублях]]/Продажи[[#This Row],[Средняя цена в категории за шт по поставщику]]-1</f>
        <v>0.47208821502412124</v>
      </c>
      <c r="O218" s="48">
        <f>VLOOKUP(Продажи[[#This Row],[id клиента]],клиенты!$A$2:$E$435,5,0)</f>
        <v>44886</v>
      </c>
      <c r="P218">
        <f>Продажи[[#This Row],[дата создания чека]]-Продажи[[#This Row],[Дата регистрации]]</f>
        <v>132</v>
      </c>
      <c r="Q218" t="str">
        <f>VLOOKUP(Продажи[[#This Row],[id клиента]],клиенты!$A$2:$G$435,7,0)</f>
        <v>Украина</v>
      </c>
      <c r="R218">
        <f>IF(COUNTIF($H$2:H218, H218)=1, 1, 0)</f>
        <v>1</v>
      </c>
      <c r="S218" t="str">
        <f>VLOOKUP(Продажи[[#This Row],[id клиента]],клиенты!$A$2:$D$435,4,0)</f>
        <v>да</v>
      </c>
      <c r="T218" s="54">
        <f>VLOOKUP(Продажи[[#This Row],[id клиента]],клиенты!$A$2:$I$435,9,0)</f>
        <v>11.039014373716633</v>
      </c>
    </row>
    <row r="219" spans="1:20" x14ac:dyDescent="0.25">
      <c r="A219">
        <v>218</v>
      </c>
      <c r="B219">
        <v>392</v>
      </c>
      <c r="C219">
        <v>125</v>
      </c>
      <c r="D219">
        <v>5</v>
      </c>
      <c r="E219" s="35">
        <v>3125</v>
      </c>
      <c r="F219" s="48">
        <v>45282</v>
      </c>
      <c r="G219" t="s">
        <v>9</v>
      </c>
      <c r="H219">
        <v>62</v>
      </c>
      <c r="I219" t="str">
        <f>VLOOKUP(Продажи[[#This Row],[id товара]],Товары[],2,0)</f>
        <v>Кофе</v>
      </c>
      <c r="J219" s="17">
        <f>AVERAGEIF(Продажи[Категория],Продажи[[#This Row],[Категория]],Продажи[цена за шт в рублях])</f>
        <v>249.02380952380952</v>
      </c>
      <c r="K219" s="16">
        <f>Продажи[[#This Row],[цена за шт в рублях]]/Продажи[[#This Row],[Средняя цена в категории за шт]]-1</f>
        <v>-0.49803996557988339</v>
      </c>
      <c r="L219" t="str">
        <f>VLOOKUP(Продажи[[#This Row],[id товара]],Товары[],3,0)</f>
        <v>Черная Карта</v>
      </c>
      <c r="M219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219" s="16">
        <f>Продажи[[#This Row],[цена за шт в рублях]]/Продажи[[#This Row],[Средняя цена в категории за шт по поставщику]]-1</f>
        <v>-0.43744374437443745</v>
      </c>
      <c r="O219" s="48">
        <f>VLOOKUP(Продажи[[#This Row],[id клиента]],клиенты!$A$2:$E$435,5,0)</f>
        <v>44671</v>
      </c>
      <c r="P219">
        <f>Продажи[[#This Row],[дата создания чека]]-Продажи[[#This Row],[Дата регистрации]]</f>
        <v>611</v>
      </c>
      <c r="Q219" t="str">
        <f>VLOOKUP(Продажи[[#This Row],[id клиента]],клиенты!$A$2:$G$435,7,0)</f>
        <v>Россия</v>
      </c>
      <c r="R219">
        <f>IF(COUNTIF($H$2:H219, H219)=1, 1, 0)</f>
        <v>1</v>
      </c>
      <c r="S219" t="str">
        <f>VLOOKUP(Продажи[[#This Row],[id клиента]],клиенты!$A$2:$D$435,4,0)</f>
        <v>нет</v>
      </c>
      <c r="T219" s="54">
        <f>VLOOKUP(Продажи[[#This Row],[id клиента]],клиенты!$A$2:$I$435,9,0)</f>
        <v>22.275154004106778</v>
      </c>
    </row>
    <row r="220" spans="1:20" x14ac:dyDescent="0.25">
      <c r="A220">
        <v>219</v>
      </c>
      <c r="B220">
        <v>410</v>
      </c>
      <c r="C220">
        <v>228</v>
      </c>
      <c r="D220">
        <v>2</v>
      </c>
      <c r="E220" s="35">
        <v>2280</v>
      </c>
      <c r="F220" s="48">
        <v>45224</v>
      </c>
      <c r="G220" t="s">
        <v>22</v>
      </c>
      <c r="H220">
        <v>295</v>
      </c>
      <c r="I220" t="str">
        <f>VLOOKUP(Продажи[[#This Row],[id товара]],Товары[],2,0)</f>
        <v>Чипсы</v>
      </c>
      <c r="J220" s="17">
        <f>AVERAGEIF(Продажи[Категория],Продажи[[#This Row],[Категория]],Продажи[цена за шт в рублях])</f>
        <v>273.72549019607845</v>
      </c>
      <c r="K220" s="16">
        <f>Продажи[[#This Row],[цена за шт в рублях]]/Продажи[[#This Row],[Средняя цена в категории за шт]]-1</f>
        <v>-0.16704871060171922</v>
      </c>
      <c r="L220" t="str">
        <f>VLOOKUP(Продажи[[#This Row],[id товара]],Товары[],3,0)</f>
        <v>Lay's</v>
      </c>
      <c r="M220" s="32">
        <f>AVERAGEIFS(Продажи[цена за шт в рублях],Продажи[Категория],Продажи[[#This Row],[Категория]],Продажи[Поставщик],Продажи[[#This Row],[Поставщик]])</f>
        <v>320.57142857142856</v>
      </c>
      <c r="N220" s="16">
        <f>Продажи[[#This Row],[цена за шт в рублях]]/Продажи[[#This Row],[Средняя цена в категории за шт по поставщику]]-1</f>
        <v>-0.28877005347593576</v>
      </c>
      <c r="O220" s="48">
        <f>VLOOKUP(Продажи[[#This Row],[id клиента]],клиенты!$A$2:$E$435,5,0)</f>
        <v>44588</v>
      </c>
      <c r="P220">
        <f>Продажи[[#This Row],[дата создания чека]]-Продажи[[#This Row],[Дата регистрации]]</f>
        <v>636</v>
      </c>
      <c r="Q220" t="str">
        <f>VLOOKUP(Продажи[[#This Row],[id клиента]],клиенты!$A$2:$G$435,7,0)</f>
        <v>Россия</v>
      </c>
      <c r="R220">
        <f>IF(COUNTIF($H$2:H220, H220)=1, 1, 0)</f>
        <v>1</v>
      </c>
      <c r="S220" t="str">
        <f>VLOOKUP(Продажи[[#This Row],[id клиента]],клиенты!$A$2:$D$435,4,0)</f>
        <v>нет</v>
      </c>
      <c r="T220" s="54">
        <f>VLOOKUP(Продажи[[#This Row],[id клиента]],клиенты!$A$2:$I$435,9,0)</f>
        <v>23.720739219712527</v>
      </c>
    </row>
    <row r="221" spans="1:20" x14ac:dyDescent="0.25">
      <c r="A221">
        <v>220</v>
      </c>
      <c r="B221">
        <v>498</v>
      </c>
      <c r="C221">
        <v>472</v>
      </c>
      <c r="D221">
        <v>5</v>
      </c>
      <c r="E221" s="35">
        <v>11800</v>
      </c>
      <c r="F221" s="48">
        <v>45195</v>
      </c>
      <c r="G221" t="s">
        <v>17</v>
      </c>
      <c r="H221">
        <v>171</v>
      </c>
      <c r="I221" t="str">
        <f>VLOOKUP(Продажи[[#This Row],[id товара]],Товары[],2,0)</f>
        <v>Молоко</v>
      </c>
      <c r="J221" s="17">
        <f>AVERAGEIF(Продажи[Категория],Продажи[[#This Row],[Категория]],Продажи[цена за шт в рублях])</f>
        <v>294.95238095238096</v>
      </c>
      <c r="K221" s="16">
        <f>Продажи[[#This Row],[цена за шт в рублях]]/Продажи[[#This Row],[Средняя цена в категории за шт]]-1</f>
        <v>0.60025831449790124</v>
      </c>
      <c r="L221" t="str">
        <f>VLOOKUP(Продажи[[#This Row],[id товара]],Товары[],3,0)</f>
        <v>Домик в деревне</v>
      </c>
      <c r="M221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221" s="16">
        <f>Продажи[[#This Row],[цена за шт в рублях]]/Продажи[[#This Row],[Средняя цена в категории за шт по поставщику]]-1</f>
        <v>0.71775171856045294</v>
      </c>
      <c r="O221" s="48">
        <f>VLOOKUP(Продажи[[#This Row],[id клиента]],клиенты!$A$2:$E$435,5,0)</f>
        <v>44710</v>
      </c>
      <c r="P221">
        <f>Продажи[[#This Row],[дата создания чека]]-Продажи[[#This Row],[Дата регистрации]]</f>
        <v>485</v>
      </c>
      <c r="Q221" t="str">
        <f>VLOOKUP(Продажи[[#This Row],[id клиента]],клиенты!$A$2:$G$435,7,0)</f>
        <v>Россия</v>
      </c>
      <c r="R221">
        <f>IF(COUNTIF($H$2:H221, H221)=1, 1, 0)</f>
        <v>0</v>
      </c>
      <c r="S221" t="str">
        <f>VLOOKUP(Продажи[[#This Row],[id клиента]],клиенты!$A$2:$D$435,4,0)</f>
        <v>да</v>
      </c>
      <c r="T221" s="54">
        <f>VLOOKUP(Продажи[[#This Row],[id клиента]],клиенты!$A$2:$I$435,9,0)</f>
        <v>15.93429158110883</v>
      </c>
    </row>
    <row r="222" spans="1:20" x14ac:dyDescent="0.25">
      <c r="A222">
        <v>221</v>
      </c>
      <c r="B222">
        <v>304</v>
      </c>
      <c r="C222">
        <v>163</v>
      </c>
      <c r="D222">
        <v>3</v>
      </c>
      <c r="E222" s="35">
        <v>2445</v>
      </c>
      <c r="F222" s="48">
        <v>45139</v>
      </c>
      <c r="G222" t="s">
        <v>14</v>
      </c>
      <c r="H222">
        <v>392</v>
      </c>
      <c r="I222" t="str">
        <f>VLOOKUP(Продажи[[#This Row],[id товара]],Товары[],2,0)</f>
        <v>Конфеты</v>
      </c>
      <c r="J222" s="17">
        <f>AVERAGEIF(Продажи[Категория],Продажи[[#This Row],[Категория]],Продажи[цена за шт в рублях])</f>
        <v>267.85483870967744</v>
      </c>
      <c r="K222" s="16">
        <f>Продажи[[#This Row],[цена за шт в рублях]]/Продажи[[#This Row],[Средняя цена в категории за шт]]-1</f>
        <v>-0.39146143192629623</v>
      </c>
      <c r="L222" t="str">
        <f>VLOOKUP(Продажи[[#This Row],[id товара]],Товары[],3,0)</f>
        <v>Рот Фронт</v>
      </c>
      <c r="M222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222" s="16">
        <f>Продажи[[#This Row],[цена за шт в рублях]]/Продажи[[#This Row],[Средняя цена в категории за шт по поставщику]]-1</f>
        <v>-0.43449529159094669</v>
      </c>
      <c r="O222" s="48">
        <f>VLOOKUP(Продажи[[#This Row],[id клиента]],клиенты!$A$2:$E$435,5,0)</f>
        <v>44919</v>
      </c>
      <c r="P222">
        <f>Продажи[[#This Row],[дата создания чека]]-Продажи[[#This Row],[Дата регистрации]]</f>
        <v>220</v>
      </c>
      <c r="Q222" t="str">
        <f>VLOOKUP(Продажи[[#This Row],[id клиента]],клиенты!$A$2:$G$435,7,0)</f>
        <v>Россия</v>
      </c>
      <c r="R222">
        <f>IF(COUNTIF($H$2:H222, H222)=1, 1, 0)</f>
        <v>0</v>
      </c>
      <c r="S222" t="str">
        <f>VLOOKUP(Продажи[[#This Row],[id клиента]],клиенты!$A$2:$D$435,4,0)</f>
        <v>нет</v>
      </c>
      <c r="T222" s="54">
        <f>VLOOKUP(Продажи[[#This Row],[id клиента]],клиенты!$A$2:$I$435,9,0)</f>
        <v>8.0492813141683772</v>
      </c>
    </row>
    <row r="223" spans="1:20" x14ac:dyDescent="0.25">
      <c r="A223">
        <v>222</v>
      </c>
      <c r="B223">
        <v>333</v>
      </c>
      <c r="C223">
        <v>70</v>
      </c>
      <c r="D223">
        <v>1</v>
      </c>
      <c r="E223" s="35">
        <v>350</v>
      </c>
      <c r="F223" s="48">
        <v>45076</v>
      </c>
      <c r="G223" t="s">
        <v>16</v>
      </c>
      <c r="H223">
        <v>229</v>
      </c>
      <c r="I223" t="str">
        <f>VLOOKUP(Продажи[[#This Row],[id товара]],Товары[],2,0)</f>
        <v>Рыба</v>
      </c>
      <c r="J223" s="17">
        <f>AVERAGEIF(Продажи[Категория],Продажи[[#This Row],[Категория]],Продажи[цена за шт в рублях])</f>
        <v>258.5128205128205</v>
      </c>
      <c r="K223" s="16">
        <f>Продажи[[#This Row],[цена за шт в рублях]]/Продажи[[#This Row],[Средняя цена в категории за шт]]-1</f>
        <v>-0.72922039277921047</v>
      </c>
      <c r="L223" t="str">
        <f>VLOOKUP(Продажи[[#This Row],[id товара]],Товары[],3,0)</f>
        <v>Санта Бремор</v>
      </c>
      <c r="M223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223" s="16">
        <f>Продажи[[#This Row],[цена за шт в рублях]]/Продажи[[#This Row],[Средняя цена в категории за шт по поставщику]]-1</f>
        <v>-0.67652495378927913</v>
      </c>
      <c r="O223" s="48">
        <f>VLOOKUP(Продажи[[#This Row],[id клиента]],клиенты!$A$2:$E$435,5,0)</f>
        <v>44766</v>
      </c>
      <c r="P223">
        <f>Продажи[[#This Row],[дата создания чека]]-Продажи[[#This Row],[Дата регистрации]]</f>
        <v>310</v>
      </c>
      <c r="Q223" t="str">
        <f>VLOOKUP(Продажи[[#This Row],[id клиента]],клиенты!$A$2:$G$435,7,0)</f>
        <v>Беларусь</v>
      </c>
      <c r="R223">
        <f>IF(COUNTIF($H$2:H223, H223)=1, 1, 0)</f>
        <v>0</v>
      </c>
      <c r="S223" t="str">
        <f>VLOOKUP(Продажи[[#This Row],[id клиента]],клиенты!$A$2:$D$435,4,0)</f>
        <v>нет</v>
      </c>
      <c r="T223" s="54">
        <f>VLOOKUP(Продажи[[#This Row],[id клиента]],клиенты!$A$2:$I$435,9,0)</f>
        <v>21.453798767967147</v>
      </c>
    </row>
    <row r="224" spans="1:20" x14ac:dyDescent="0.25">
      <c r="A224">
        <v>223</v>
      </c>
      <c r="B224">
        <v>207</v>
      </c>
      <c r="C224">
        <v>208</v>
      </c>
      <c r="D224">
        <v>5</v>
      </c>
      <c r="E224" s="35">
        <v>5200</v>
      </c>
      <c r="F224" s="48">
        <v>44960</v>
      </c>
      <c r="G224" t="s">
        <v>8</v>
      </c>
      <c r="H224">
        <v>253</v>
      </c>
      <c r="I224" t="str">
        <f>VLOOKUP(Продажи[[#This Row],[id товара]],Товары[],2,0)</f>
        <v>Сахар</v>
      </c>
      <c r="J224" s="17">
        <f>AVERAGEIF(Продажи[Категория],Продажи[[#This Row],[Категория]],Продажи[цена за шт в рублях])</f>
        <v>252.76271186440678</v>
      </c>
      <c r="K224" s="16">
        <f>Продажи[[#This Row],[цена за шт в рублях]]/Продажи[[#This Row],[Средняя цена в категории за шт]]-1</f>
        <v>-0.17709381076912767</v>
      </c>
      <c r="L224" t="str">
        <f>VLOOKUP(Продажи[[#This Row],[id товара]],Товары[],3,0)</f>
        <v>Агросахар</v>
      </c>
      <c r="M224" s="32">
        <f>AVERAGEIFS(Продажи[цена за шт в рублях],Продажи[Категория],Продажи[[#This Row],[Категория]],Продажи[Поставщик],Продажи[[#This Row],[Поставщик]])</f>
        <v>215.85714285714286</v>
      </c>
      <c r="N224" s="16">
        <f>Продажи[[#This Row],[цена за шт в рублях]]/Продажи[[#This Row],[Средняя цена в категории за шт по поставщику]]-1</f>
        <v>-3.6399735274652567E-2</v>
      </c>
      <c r="O224" s="48">
        <f>VLOOKUP(Продажи[[#This Row],[id клиента]],клиенты!$A$2:$E$435,5,0)</f>
        <v>44750</v>
      </c>
      <c r="P224">
        <f>Продажи[[#This Row],[дата создания чека]]-Продажи[[#This Row],[Дата регистрации]]</f>
        <v>210</v>
      </c>
      <c r="Q224" t="str">
        <f>VLOOKUP(Продажи[[#This Row],[id клиента]],клиенты!$A$2:$G$435,7,0)</f>
        <v>Беларусь</v>
      </c>
      <c r="R224">
        <f>IF(COUNTIF($H$2:H224, H224)=1, 1, 0)</f>
        <v>0</v>
      </c>
      <c r="S224" t="str">
        <f>VLOOKUP(Продажи[[#This Row],[id клиента]],клиенты!$A$2:$D$435,4,0)</f>
        <v>да</v>
      </c>
      <c r="T224" s="54">
        <f>VLOOKUP(Продажи[[#This Row],[id клиента]],клиенты!$A$2:$I$435,9,0)</f>
        <v>10.940451745379876</v>
      </c>
    </row>
    <row r="225" spans="1:20" x14ac:dyDescent="0.25">
      <c r="A225">
        <v>224</v>
      </c>
      <c r="B225">
        <v>348</v>
      </c>
      <c r="C225">
        <v>417</v>
      </c>
      <c r="D225">
        <v>4</v>
      </c>
      <c r="E225" s="35">
        <v>8340</v>
      </c>
      <c r="F225" s="48">
        <v>45005</v>
      </c>
      <c r="G225" t="s">
        <v>18</v>
      </c>
      <c r="H225">
        <v>235</v>
      </c>
      <c r="I225" t="str">
        <f>VLOOKUP(Продажи[[#This Row],[id товара]],Товары[],2,0)</f>
        <v>Чипсы</v>
      </c>
      <c r="J225" s="17">
        <f>AVERAGEIF(Продажи[Категория],Продажи[[#This Row],[Категория]],Продажи[цена за шт в рублях])</f>
        <v>273.72549019607845</v>
      </c>
      <c r="K225" s="16">
        <f>Продажи[[#This Row],[цена за шт в рублях]]/Продажи[[#This Row],[Средняя цена в категории за шт]]-1</f>
        <v>0.52342406876790815</v>
      </c>
      <c r="L225" t="str">
        <f>VLOOKUP(Продажи[[#This Row],[id товара]],Товары[],3,0)</f>
        <v>Estrella</v>
      </c>
      <c r="M225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225" s="16">
        <f>Продажи[[#This Row],[цена за шт в рублях]]/Продажи[[#This Row],[Средняя цена в категории за шт по поставщику]]-1</f>
        <v>0.56606350290201446</v>
      </c>
      <c r="O225" s="48">
        <f>VLOOKUP(Продажи[[#This Row],[id клиента]],клиенты!$A$2:$E$435,5,0)</f>
        <v>44635</v>
      </c>
      <c r="P225">
        <f>Продажи[[#This Row],[дата создания чека]]-Продажи[[#This Row],[Дата регистрации]]</f>
        <v>370</v>
      </c>
      <c r="Q225" t="str">
        <f>VLOOKUP(Продажи[[#This Row],[id клиента]],клиенты!$A$2:$G$435,7,0)</f>
        <v>Узбекистан</v>
      </c>
      <c r="R225">
        <f>IF(COUNTIF($H$2:H225, H225)=1, 1, 0)</f>
        <v>1</v>
      </c>
      <c r="S225" t="str">
        <f>VLOOKUP(Продажи[[#This Row],[id клиента]],клиенты!$A$2:$D$435,4,0)</f>
        <v>нет</v>
      </c>
      <c r="T225" s="54">
        <f>VLOOKUP(Продажи[[#This Row],[id клиента]],клиенты!$A$2:$I$435,9,0)</f>
        <v>25.363449691991786</v>
      </c>
    </row>
    <row r="226" spans="1:20" x14ac:dyDescent="0.25">
      <c r="A226">
        <v>225</v>
      </c>
      <c r="B226">
        <v>4</v>
      </c>
      <c r="C226">
        <v>198</v>
      </c>
      <c r="D226">
        <v>5</v>
      </c>
      <c r="E226" s="35">
        <v>4950</v>
      </c>
      <c r="F226" s="48">
        <v>45351</v>
      </c>
      <c r="G226" t="s">
        <v>8</v>
      </c>
      <c r="H226">
        <v>156</v>
      </c>
      <c r="I226" t="str">
        <f>VLOOKUP(Продажи[[#This Row],[id товара]],Товары[],2,0)</f>
        <v>Рис</v>
      </c>
      <c r="J226" s="17">
        <f>AVERAGEIF(Продажи[Категория],Продажи[[#This Row],[Категория]],Продажи[цена за шт в рублях])</f>
        <v>258.375</v>
      </c>
      <c r="K226" s="16">
        <f>Продажи[[#This Row],[цена за шт в рублях]]/Продажи[[#This Row],[Средняя цена в категории за шт]]-1</f>
        <v>-0.23367198838896952</v>
      </c>
      <c r="L226" t="str">
        <f>VLOOKUP(Продажи[[#This Row],[id товара]],Товары[],3,0)</f>
        <v>Белый Злат</v>
      </c>
      <c r="M226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226" s="16">
        <f>Продажи[[#This Row],[цена за шт в рублях]]/Продажи[[#This Row],[Средняя цена в категории за шт по поставщику]]-1</f>
        <v>-0.26586695747001088</v>
      </c>
      <c r="O226" s="48">
        <f>VLOOKUP(Продажи[[#This Row],[id клиента]],клиенты!$A$2:$E$435,5,0)</f>
        <v>44905</v>
      </c>
      <c r="P226">
        <f>Продажи[[#This Row],[дата создания чека]]-Продажи[[#This Row],[Дата регистрации]]</f>
        <v>446</v>
      </c>
      <c r="Q226" t="str">
        <f>VLOOKUP(Продажи[[#This Row],[id клиента]],клиенты!$A$2:$G$435,7,0)</f>
        <v>Украина</v>
      </c>
      <c r="R226">
        <f>IF(COUNTIF($H$2:H226, H226)=1, 1, 0)</f>
        <v>1</v>
      </c>
      <c r="S226" t="str">
        <f>VLOOKUP(Продажи[[#This Row],[id клиента]],клиенты!$A$2:$D$435,4,0)</f>
        <v>да</v>
      </c>
      <c r="T226" s="54">
        <f>VLOOKUP(Продажи[[#This Row],[id клиента]],клиенты!$A$2:$I$435,9,0)</f>
        <v>14.652977412731007</v>
      </c>
    </row>
    <row r="227" spans="1:20" x14ac:dyDescent="0.25">
      <c r="A227">
        <v>226</v>
      </c>
      <c r="B227">
        <v>317</v>
      </c>
      <c r="C227">
        <v>196</v>
      </c>
      <c r="D227">
        <v>2</v>
      </c>
      <c r="E227" s="35">
        <v>1960</v>
      </c>
      <c r="F227" s="48">
        <v>45430</v>
      </c>
      <c r="G227" t="s">
        <v>22</v>
      </c>
      <c r="H227">
        <v>327</v>
      </c>
      <c r="I227" t="str">
        <f>VLOOKUP(Продажи[[#This Row],[id товара]],Товары[],2,0)</f>
        <v>Сок</v>
      </c>
      <c r="J227" s="17">
        <f>AVERAGEIF(Продажи[Категория],Продажи[[#This Row],[Категория]],Продажи[цена за шт в рублях])</f>
        <v>268.60344827586209</v>
      </c>
      <c r="K227" s="16">
        <f>Продажи[[#This Row],[цена за шт в рублях]]/Продажи[[#This Row],[Средняя цена в категории за шт]]-1</f>
        <v>-0.27029976250080245</v>
      </c>
      <c r="L227" t="str">
        <f>VLOOKUP(Продажи[[#This Row],[id товара]],Товары[],3,0)</f>
        <v>Фруктовый сад</v>
      </c>
      <c r="M227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227" s="16">
        <f>Продажи[[#This Row],[цена за шт в рублях]]/Продажи[[#This Row],[Средняя цена в категории за шт по поставщику]]-1</f>
        <v>-0.30488750969743983</v>
      </c>
      <c r="O227" s="48">
        <f>VLOOKUP(Продажи[[#This Row],[id клиента]],клиенты!$A$2:$E$435,5,0)</f>
        <v>44565</v>
      </c>
      <c r="P227">
        <f>Продажи[[#This Row],[дата создания чека]]-Продажи[[#This Row],[Дата регистрации]]</f>
        <v>865</v>
      </c>
      <c r="Q227" t="str">
        <f>VLOOKUP(Продажи[[#This Row],[id клиента]],клиенты!$A$2:$G$435,7,0)</f>
        <v>Таджикистан</v>
      </c>
      <c r="R227">
        <f>IF(COUNTIF($H$2:H227, H227)=1, 1, 0)</f>
        <v>1</v>
      </c>
      <c r="S227" t="str">
        <f>VLOOKUP(Продажи[[#This Row],[id клиента]],клиенты!$A$2:$D$435,4,0)</f>
        <v>нет</v>
      </c>
      <c r="T227" s="54">
        <f>VLOOKUP(Продажи[[#This Row],[id клиента]],клиенты!$A$2:$I$435,9,0)</f>
        <v>28.418891170431213</v>
      </c>
    </row>
    <row r="228" spans="1:20" x14ac:dyDescent="0.25">
      <c r="A228">
        <v>227</v>
      </c>
      <c r="B228">
        <v>131</v>
      </c>
      <c r="C228">
        <v>376</v>
      </c>
      <c r="D228">
        <v>1</v>
      </c>
      <c r="E228" s="35">
        <v>1880</v>
      </c>
      <c r="F228" s="48">
        <v>45427</v>
      </c>
      <c r="G228" t="s">
        <v>17</v>
      </c>
      <c r="H228">
        <v>275</v>
      </c>
      <c r="I228" t="str">
        <f>VLOOKUP(Продажи[[#This Row],[id товара]],Товары[],2,0)</f>
        <v>Сок</v>
      </c>
      <c r="J228" s="17">
        <f>AVERAGEIF(Продажи[Категория],Продажи[[#This Row],[Категория]],Продажи[цена за шт в рублях])</f>
        <v>268.60344827586209</v>
      </c>
      <c r="K228" s="16">
        <f>Продажи[[#This Row],[цена за шт в рублях]]/Продажи[[#This Row],[Средняя цена в категории за шт]]-1</f>
        <v>0.39983310867193</v>
      </c>
      <c r="L228" t="str">
        <f>VLOOKUP(Продажи[[#This Row],[id товара]],Товары[],3,0)</f>
        <v>Сады Придонья</v>
      </c>
      <c r="M228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228" s="16">
        <f>Продажи[[#This Row],[цена за шт в рублях]]/Продажи[[#This Row],[Средняя цена в категории за шт по поставщику]]-1</f>
        <v>0.4792560801144492</v>
      </c>
      <c r="O228" s="48">
        <f>VLOOKUP(Продажи[[#This Row],[id клиента]],клиенты!$A$2:$E$435,5,0)</f>
        <v>44651</v>
      </c>
      <c r="P228">
        <f>Продажи[[#This Row],[дата создания чека]]-Продажи[[#This Row],[Дата регистрации]]</f>
        <v>776</v>
      </c>
      <c r="Q228" t="str">
        <f>VLOOKUP(Продажи[[#This Row],[id клиента]],клиенты!$A$2:$G$435,7,0)</f>
        <v>Таджикистан</v>
      </c>
      <c r="R228">
        <f>IF(COUNTIF($H$2:H228, H228)=1, 1, 0)</f>
        <v>1</v>
      </c>
      <c r="S228" t="str">
        <f>VLOOKUP(Продажи[[#This Row],[id клиента]],клиенты!$A$2:$D$435,4,0)</f>
        <v>нет</v>
      </c>
      <c r="T228" s="54">
        <f>VLOOKUP(Продажи[[#This Row],[id клиента]],клиенты!$A$2:$I$435,9,0)</f>
        <v>25.494866529774129</v>
      </c>
    </row>
    <row r="229" spans="1:20" x14ac:dyDescent="0.25">
      <c r="A229">
        <v>228</v>
      </c>
      <c r="B229">
        <v>96</v>
      </c>
      <c r="C229">
        <v>362</v>
      </c>
      <c r="D229">
        <v>4</v>
      </c>
      <c r="E229" s="35">
        <v>7240</v>
      </c>
      <c r="F229" s="48">
        <v>45398</v>
      </c>
      <c r="G229" t="s">
        <v>9</v>
      </c>
      <c r="H229">
        <v>330</v>
      </c>
      <c r="I229" t="str">
        <f>VLOOKUP(Продажи[[#This Row],[id товара]],Товары[],2,0)</f>
        <v>Соль</v>
      </c>
      <c r="J229" s="17">
        <f>AVERAGEIF(Продажи[Категория],Продажи[[#This Row],[Категория]],Продажи[цена за шт в рублях])</f>
        <v>264.8679245283019</v>
      </c>
      <c r="K229" s="16">
        <f>Продажи[[#This Row],[цена за шт в рублях]]/Продажи[[#This Row],[Средняя цена в категории за шт]]-1</f>
        <v>0.36671890582704081</v>
      </c>
      <c r="L229" t="str">
        <f>VLOOKUP(Продажи[[#This Row],[id товара]],Товары[],3,0)</f>
        <v>Салта</v>
      </c>
      <c r="M229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229" s="16">
        <f>Продажи[[#This Row],[цена за шт в рублях]]/Продажи[[#This Row],[Средняя цена в категории за шт по поставщику]]-1</f>
        <v>0.32261600292290837</v>
      </c>
      <c r="O229" s="48">
        <f>VLOOKUP(Продажи[[#This Row],[id клиента]],клиенты!$A$2:$E$435,5,0)</f>
        <v>44815</v>
      </c>
      <c r="P229">
        <f>Продажи[[#This Row],[дата создания чека]]-Продажи[[#This Row],[Дата регистрации]]</f>
        <v>583</v>
      </c>
      <c r="Q229" t="str">
        <f>VLOOKUP(Продажи[[#This Row],[id клиента]],клиенты!$A$2:$G$435,7,0)</f>
        <v>Узбекистан</v>
      </c>
      <c r="R229">
        <f>IF(COUNTIF($H$2:H229, H229)=1, 1, 0)</f>
        <v>0</v>
      </c>
      <c r="S229" t="str">
        <f>VLOOKUP(Продажи[[#This Row],[id клиента]],клиенты!$A$2:$D$435,4,0)</f>
        <v>нет</v>
      </c>
      <c r="T229" s="54">
        <f>VLOOKUP(Продажи[[#This Row],[id клиента]],клиенты!$A$2:$I$435,9,0)</f>
        <v>19.154004106776181</v>
      </c>
    </row>
    <row r="230" spans="1:20" x14ac:dyDescent="0.25">
      <c r="A230">
        <v>229</v>
      </c>
      <c r="B230">
        <v>311</v>
      </c>
      <c r="C230">
        <v>345</v>
      </c>
      <c r="D230">
        <v>5</v>
      </c>
      <c r="E230" s="35">
        <v>8625</v>
      </c>
      <c r="F230" s="48">
        <v>45421</v>
      </c>
      <c r="G230" t="s">
        <v>23</v>
      </c>
      <c r="H230">
        <v>177</v>
      </c>
      <c r="I230" t="str">
        <f>VLOOKUP(Продажи[[#This Row],[id товара]],Товары[],2,0)</f>
        <v>Макароны</v>
      </c>
      <c r="J230" s="17">
        <f>AVERAGEIF(Продажи[Категория],Продажи[[#This Row],[Категория]],Продажи[цена за шт в рублях])</f>
        <v>265.47674418604652</v>
      </c>
      <c r="K230" s="16">
        <f>Продажи[[#This Row],[цена за шт в рублях]]/Продажи[[#This Row],[Средняя цена в категории за шт]]-1</f>
        <v>0.29954885900748973</v>
      </c>
      <c r="L230" t="str">
        <f>VLOOKUP(Продажи[[#This Row],[id товара]],Товары[],3,0)</f>
        <v>Паста Зара</v>
      </c>
      <c r="M230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230" s="16">
        <f>Продажи[[#This Row],[цена за шт в рублях]]/Продажи[[#This Row],[Средняя цена в категории за шт по поставщику]]-1</f>
        <v>0.24694734785581707</v>
      </c>
      <c r="O230" s="48">
        <f>VLOOKUP(Продажи[[#This Row],[id клиента]],клиенты!$A$2:$E$435,5,0)</f>
        <v>44857</v>
      </c>
      <c r="P230">
        <f>Продажи[[#This Row],[дата создания чека]]-Продажи[[#This Row],[Дата регистрации]]</f>
        <v>564</v>
      </c>
      <c r="Q230" t="str">
        <f>VLOOKUP(Продажи[[#This Row],[id клиента]],клиенты!$A$2:$G$435,7,0)</f>
        <v>Таджикистан</v>
      </c>
      <c r="R230">
        <f>IF(COUNTIF($H$2:H230, H230)=1, 1, 0)</f>
        <v>1</v>
      </c>
      <c r="S230" t="str">
        <f>VLOOKUP(Продажи[[#This Row],[id клиента]],клиенты!$A$2:$D$435,4,0)</f>
        <v>нет</v>
      </c>
      <c r="T230" s="54">
        <f>VLOOKUP(Продажи[[#This Row],[id клиента]],клиенты!$A$2:$I$435,9,0)</f>
        <v>18.529774127310063</v>
      </c>
    </row>
    <row r="231" spans="1:20" x14ac:dyDescent="0.25">
      <c r="A231">
        <v>230</v>
      </c>
      <c r="B231">
        <v>268</v>
      </c>
      <c r="C231">
        <v>81</v>
      </c>
      <c r="D231">
        <v>3</v>
      </c>
      <c r="E231" s="35">
        <v>1215</v>
      </c>
      <c r="F231" s="48">
        <v>45106</v>
      </c>
      <c r="G231" t="s">
        <v>25</v>
      </c>
      <c r="H231">
        <v>407</v>
      </c>
      <c r="I231" t="str">
        <f>VLOOKUP(Продажи[[#This Row],[id товара]],Товары[],2,0)</f>
        <v>Рис</v>
      </c>
      <c r="J231" s="17">
        <f>AVERAGEIF(Продажи[Категория],Продажи[[#This Row],[Категория]],Продажи[цена за шт в рублях])</f>
        <v>258.375</v>
      </c>
      <c r="K231" s="16">
        <f>Продажи[[#This Row],[цена за шт в рублях]]/Продажи[[#This Row],[Средняя цена в категории за шт]]-1</f>
        <v>-0.68650217706821481</v>
      </c>
      <c r="L231" t="str">
        <f>VLOOKUP(Продажи[[#This Row],[id товара]],Товары[],3,0)</f>
        <v>Мистраль</v>
      </c>
      <c r="M231" s="32">
        <f>AVERAGEIFS(Продажи[цена за шт в рублях],Продажи[Категория],Продажи[[#This Row],[Категория]],Продажи[Поставщик],Продажи[[#This Row],[Поставщик]])</f>
        <v>181.57142857142858</v>
      </c>
      <c r="N231" s="16">
        <f>Продажи[[#This Row],[цена за шт в рублях]]/Продажи[[#This Row],[Средняя цена в категории за шт по поставщику]]-1</f>
        <v>-0.55389457120377661</v>
      </c>
      <c r="O231" s="48">
        <f>VLOOKUP(Продажи[[#This Row],[id клиента]],клиенты!$A$2:$E$435,5,0)</f>
        <v>44621</v>
      </c>
      <c r="P231">
        <f>Продажи[[#This Row],[дата создания чека]]-Продажи[[#This Row],[Дата регистрации]]</f>
        <v>485</v>
      </c>
      <c r="Q231" t="str">
        <f>VLOOKUP(Продажи[[#This Row],[id клиента]],клиенты!$A$2:$G$435,7,0)</f>
        <v>Беларусь</v>
      </c>
      <c r="R231">
        <f>IF(COUNTIF($H$2:H231, H231)=1, 1, 0)</f>
        <v>0</v>
      </c>
      <c r="S231" t="str">
        <f>VLOOKUP(Продажи[[#This Row],[id клиента]],клиенты!$A$2:$D$435,4,0)</f>
        <v>да</v>
      </c>
      <c r="T231" s="54">
        <f>VLOOKUP(Продажи[[#This Row],[id клиента]],клиенты!$A$2:$I$435,9,0)</f>
        <v>25.166324435318277</v>
      </c>
    </row>
    <row r="232" spans="1:20" x14ac:dyDescent="0.25">
      <c r="A232">
        <v>231</v>
      </c>
      <c r="B232">
        <v>495</v>
      </c>
      <c r="C232">
        <v>97</v>
      </c>
      <c r="D232">
        <v>4</v>
      </c>
      <c r="E232" s="35">
        <v>1940</v>
      </c>
      <c r="F232" s="48">
        <v>45409</v>
      </c>
      <c r="G232" t="s">
        <v>12</v>
      </c>
      <c r="H232">
        <v>181</v>
      </c>
      <c r="I232" t="str">
        <f>VLOOKUP(Продажи[[#This Row],[id товара]],Товары[],2,0)</f>
        <v>Чай</v>
      </c>
      <c r="J232" s="17">
        <f>AVERAGEIF(Продажи[Категория],Продажи[[#This Row],[Категория]],Продажи[цена за шт в рублях])</f>
        <v>271.18181818181819</v>
      </c>
      <c r="K232" s="16">
        <f>Продажи[[#This Row],[цена за шт в рублях]]/Продажи[[#This Row],[Средняя цена в категории за шт]]-1</f>
        <v>-0.64230640295005026</v>
      </c>
      <c r="L232" t="str">
        <f>VLOOKUP(Продажи[[#This Row],[id товара]],Товары[],3,0)</f>
        <v>Greenfield</v>
      </c>
      <c r="M232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232" s="16">
        <f>Продажи[[#This Row],[цена за шт в рублях]]/Продажи[[#This Row],[Средняя цена в категории за шт по поставщику]]-1</f>
        <v>-0.66718652526512789</v>
      </c>
      <c r="O232" s="48">
        <f>VLOOKUP(Продажи[[#This Row],[id клиента]],клиенты!$A$2:$E$435,5,0)</f>
        <v>44568</v>
      </c>
      <c r="P232">
        <f>Продажи[[#This Row],[дата создания чека]]-Продажи[[#This Row],[Дата регистрации]]</f>
        <v>841</v>
      </c>
      <c r="Q232" t="str">
        <f>VLOOKUP(Продажи[[#This Row],[id клиента]],клиенты!$A$2:$G$435,7,0)</f>
        <v>Украина</v>
      </c>
      <c r="R232">
        <f>IF(COUNTIF($H$2:H232, H232)=1, 1, 0)</f>
        <v>1</v>
      </c>
      <c r="S232" t="str">
        <f>VLOOKUP(Продажи[[#This Row],[id клиента]],клиенты!$A$2:$D$435,4,0)</f>
        <v>да</v>
      </c>
      <c r="T232" s="54">
        <f>VLOOKUP(Продажи[[#This Row],[id клиента]],клиенты!$A$2:$I$435,9,0)</f>
        <v>28.090349075975361</v>
      </c>
    </row>
    <row r="233" spans="1:20" x14ac:dyDescent="0.25">
      <c r="A233">
        <v>232</v>
      </c>
      <c r="B233">
        <v>436</v>
      </c>
      <c r="C233">
        <v>184</v>
      </c>
      <c r="D233">
        <v>4</v>
      </c>
      <c r="E233" s="35">
        <v>3680</v>
      </c>
      <c r="F233" s="48">
        <v>45147</v>
      </c>
      <c r="G233" t="s">
        <v>10</v>
      </c>
      <c r="H233">
        <v>166</v>
      </c>
      <c r="I233" t="str">
        <f>VLOOKUP(Продажи[[#This Row],[id товара]],Товары[],2,0)</f>
        <v>Овощи</v>
      </c>
      <c r="J233" s="17">
        <f>AVERAGEIF(Продажи[Категория],Продажи[[#This Row],[Категория]],Продажи[цена за шт в рублях])</f>
        <v>250.48780487804879</v>
      </c>
      <c r="K233" s="16">
        <f>Продажи[[#This Row],[цена за шт в рублях]]/Продажи[[#This Row],[Средняя цена в категории за шт]]-1</f>
        <v>-0.26543330087633887</v>
      </c>
      <c r="L233" t="str">
        <f>VLOOKUP(Продажи[[#This Row],[id товара]],Товары[],3,0)</f>
        <v>Гавриш</v>
      </c>
      <c r="M233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233" s="16">
        <f>Продажи[[#This Row],[цена за шт в рублях]]/Продажи[[#This Row],[Средняя цена в категории за шт по поставщику]]-1</f>
        <v>-0.25706594885598921</v>
      </c>
      <c r="O233" s="48">
        <f>VLOOKUP(Продажи[[#This Row],[id клиента]],клиенты!$A$2:$E$435,5,0)</f>
        <v>44796</v>
      </c>
      <c r="P233">
        <f>Продажи[[#This Row],[дата создания чека]]-Продажи[[#This Row],[Дата регистрации]]</f>
        <v>351</v>
      </c>
      <c r="Q233" t="str">
        <f>VLOOKUP(Продажи[[#This Row],[id клиента]],клиенты!$A$2:$G$435,7,0)</f>
        <v>Узбекистан</v>
      </c>
      <c r="R233">
        <f>IF(COUNTIF($H$2:H233, H233)=1, 1, 0)</f>
        <v>0</v>
      </c>
      <c r="S233" t="str">
        <f>VLOOKUP(Продажи[[#This Row],[id клиента]],клиенты!$A$2:$D$435,4,0)</f>
        <v>да</v>
      </c>
      <c r="T233" s="54">
        <f>VLOOKUP(Продажи[[#This Row],[id клиента]],клиенты!$A$2:$I$435,9,0)</f>
        <v>15.211498973305956</v>
      </c>
    </row>
    <row r="234" spans="1:20" x14ac:dyDescent="0.25">
      <c r="A234">
        <v>233</v>
      </c>
      <c r="B234">
        <v>358</v>
      </c>
      <c r="C234">
        <v>172</v>
      </c>
      <c r="D234">
        <v>1</v>
      </c>
      <c r="E234" s="35">
        <v>860</v>
      </c>
      <c r="F234" s="48">
        <v>45379</v>
      </c>
      <c r="G234" t="s">
        <v>23</v>
      </c>
      <c r="H234">
        <v>478</v>
      </c>
      <c r="I234" t="str">
        <f>VLOOKUP(Продажи[[#This Row],[id товара]],Товары[],2,0)</f>
        <v>Конфеты</v>
      </c>
      <c r="J234" s="17">
        <f>AVERAGEIF(Продажи[Категория],Продажи[[#This Row],[Категория]],Продажи[цена за шт в рублях])</f>
        <v>267.85483870967744</v>
      </c>
      <c r="K234" s="16">
        <f>Продажи[[#This Row],[цена за шт в рублях]]/Продажи[[#This Row],[Средняя цена в категории за шт]]-1</f>
        <v>-0.3578611428915518</v>
      </c>
      <c r="L234" t="str">
        <f>VLOOKUP(Продажи[[#This Row],[id товара]],Товары[],3,0)</f>
        <v>Славянка</v>
      </c>
      <c r="M234" s="32">
        <f>AVERAGEIFS(Продажи[цена за шт в рублях],Продажи[Категория],Продажи[[#This Row],[Категория]],Продажи[Поставщик],Продажи[[#This Row],[Поставщик]])</f>
        <v>268</v>
      </c>
      <c r="N234" s="16">
        <f>Продажи[[#This Row],[цена за шт в рублях]]/Продажи[[#This Row],[Средняя цена в категории за шт по поставщику]]-1</f>
        <v>-0.35820895522388063</v>
      </c>
      <c r="O234" s="48">
        <f>VLOOKUP(Продажи[[#This Row],[id клиента]],клиенты!$A$2:$E$435,5,0)</f>
        <v>44726</v>
      </c>
      <c r="P234">
        <f>Продажи[[#This Row],[дата создания чека]]-Продажи[[#This Row],[Дата регистрации]]</f>
        <v>653</v>
      </c>
      <c r="Q234" t="str">
        <f>VLOOKUP(Продажи[[#This Row],[id клиента]],клиенты!$A$2:$G$435,7,0)</f>
        <v>Украина</v>
      </c>
      <c r="R234">
        <f>IF(COUNTIF($H$2:H234, H234)=1, 1, 0)</f>
        <v>1</v>
      </c>
      <c r="S234" t="str">
        <f>VLOOKUP(Продажи[[#This Row],[id клиента]],клиенты!$A$2:$D$435,4,0)</f>
        <v>нет</v>
      </c>
      <c r="T234" s="54">
        <f>VLOOKUP(Продажи[[#This Row],[id клиента]],клиенты!$A$2:$I$435,9,0)</f>
        <v>21.453798767967147</v>
      </c>
    </row>
    <row r="235" spans="1:20" x14ac:dyDescent="0.25">
      <c r="A235">
        <v>234</v>
      </c>
      <c r="B235">
        <v>160</v>
      </c>
      <c r="C235">
        <v>288</v>
      </c>
      <c r="D235">
        <v>2</v>
      </c>
      <c r="E235" s="35">
        <v>2880</v>
      </c>
      <c r="F235" s="48">
        <v>44996</v>
      </c>
      <c r="G235" t="s">
        <v>18</v>
      </c>
      <c r="H235">
        <v>429</v>
      </c>
      <c r="I235" t="str">
        <f>VLOOKUP(Продажи[[#This Row],[id товара]],Товары[],2,0)</f>
        <v>Крупа</v>
      </c>
      <c r="J235" s="17">
        <f>AVERAGEIF(Продажи[Категория],Продажи[[#This Row],[Категория]],Продажи[цена за шт в рублях])</f>
        <v>255.11627906976744</v>
      </c>
      <c r="K235" s="16">
        <f>Продажи[[#This Row],[цена за шт в рублях]]/Продажи[[#This Row],[Средняя цена в категории за шт]]-1</f>
        <v>0.12889699179580671</v>
      </c>
      <c r="L235" t="str">
        <f>VLOOKUP(Продажи[[#This Row],[id товара]],Товары[],3,0)</f>
        <v>Мистраль</v>
      </c>
      <c r="M235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235" s="16">
        <f>Продажи[[#This Row],[цена за шт в рублях]]/Продажи[[#This Row],[Средняя цена в категории за шт по поставщику]]-1</f>
        <v>0.15058389674247064</v>
      </c>
      <c r="O235" s="48">
        <f>VLOOKUP(Продажи[[#This Row],[id клиента]],клиенты!$A$2:$E$435,5,0)</f>
        <v>44625</v>
      </c>
      <c r="P235">
        <f>Продажи[[#This Row],[дата создания чека]]-Продажи[[#This Row],[Дата регистрации]]</f>
        <v>371</v>
      </c>
      <c r="Q235" t="str">
        <f>VLOOKUP(Продажи[[#This Row],[id клиента]],клиенты!$A$2:$G$435,7,0)</f>
        <v>Таджикистан</v>
      </c>
      <c r="R235">
        <f>IF(COUNTIF($H$2:H235, H235)=1, 1, 0)</f>
        <v>1</v>
      </c>
      <c r="S235" t="str">
        <f>VLOOKUP(Продажи[[#This Row],[id клиента]],клиенты!$A$2:$D$435,4,0)</f>
        <v>да</v>
      </c>
      <c r="T235" s="54">
        <f>VLOOKUP(Продажи[[#This Row],[id клиента]],клиенты!$A$2:$I$435,9,0)</f>
        <v>12.188911704312115</v>
      </c>
    </row>
    <row r="236" spans="1:20" x14ac:dyDescent="0.25">
      <c r="A236">
        <v>235</v>
      </c>
      <c r="B236">
        <v>23</v>
      </c>
      <c r="C236">
        <v>174</v>
      </c>
      <c r="D236">
        <v>3</v>
      </c>
      <c r="E236" s="35">
        <v>2610</v>
      </c>
      <c r="F236" s="48">
        <v>45396</v>
      </c>
      <c r="G236" t="s">
        <v>21</v>
      </c>
      <c r="H236">
        <v>181</v>
      </c>
      <c r="I236" t="str">
        <f>VLOOKUP(Продажи[[#This Row],[id товара]],Товары[],2,0)</f>
        <v>Рыба</v>
      </c>
      <c r="J236" s="17">
        <f>AVERAGEIF(Продажи[Категория],Продажи[[#This Row],[Категория]],Продажи[цена за шт в рублях])</f>
        <v>258.5128205128205</v>
      </c>
      <c r="K236" s="16">
        <f>Продажи[[#This Row],[цена за шт в рублях]]/Продажи[[#This Row],[Средняя цена в категории за шт]]-1</f>
        <v>-0.32691926205118027</v>
      </c>
      <c r="L236" t="str">
        <f>VLOOKUP(Продажи[[#This Row],[id товара]],Товары[],3,0)</f>
        <v>Санта Бремор</v>
      </c>
      <c r="M236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236" s="16">
        <f>Продажи[[#This Row],[цена за шт в рублях]]/Продажи[[#This Row],[Средняя цена в категории за шт по поставщику]]-1</f>
        <v>-0.1959334565619224</v>
      </c>
      <c r="O236" s="48">
        <f>VLOOKUP(Продажи[[#This Row],[id клиента]],клиенты!$A$2:$E$435,5,0)</f>
        <v>44568</v>
      </c>
      <c r="P236">
        <f>Продажи[[#This Row],[дата создания чека]]-Продажи[[#This Row],[Дата регистрации]]</f>
        <v>828</v>
      </c>
      <c r="Q236" t="str">
        <f>VLOOKUP(Продажи[[#This Row],[id клиента]],клиенты!$A$2:$G$435,7,0)</f>
        <v>Украина</v>
      </c>
      <c r="R236">
        <f>IF(COUNTIF($H$2:H236, H236)=1, 1, 0)</f>
        <v>0</v>
      </c>
      <c r="S236" t="str">
        <f>VLOOKUP(Продажи[[#This Row],[id клиента]],клиенты!$A$2:$D$435,4,0)</f>
        <v>да</v>
      </c>
      <c r="T236" s="54">
        <f>VLOOKUP(Продажи[[#This Row],[id клиента]],клиенты!$A$2:$I$435,9,0)</f>
        <v>28.090349075975361</v>
      </c>
    </row>
    <row r="237" spans="1:20" x14ac:dyDescent="0.25">
      <c r="A237">
        <v>236</v>
      </c>
      <c r="B237">
        <v>49</v>
      </c>
      <c r="C237">
        <v>292</v>
      </c>
      <c r="D237">
        <v>3</v>
      </c>
      <c r="E237" s="35">
        <v>4380</v>
      </c>
      <c r="F237" s="48">
        <v>45059</v>
      </c>
      <c r="G237" t="s">
        <v>9</v>
      </c>
      <c r="H237">
        <v>431</v>
      </c>
      <c r="I237" t="str">
        <f>VLOOKUP(Продажи[[#This Row],[id товара]],Товары[],2,0)</f>
        <v>Рис</v>
      </c>
      <c r="J237" s="17">
        <f>AVERAGEIF(Продажи[Категория],Продажи[[#This Row],[Категория]],Продажи[цена за шт в рублях])</f>
        <v>258.375</v>
      </c>
      <c r="K237" s="16">
        <f>Продажи[[#This Row],[цена за шт в рублях]]/Продажи[[#This Row],[Средняя цена в категории за шт]]-1</f>
        <v>0.1301402999516208</v>
      </c>
      <c r="L237" t="str">
        <f>VLOOKUP(Продажи[[#This Row],[id товара]],Товары[],3,0)</f>
        <v>Агро-Альянс</v>
      </c>
      <c r="M237" s="32">
        <f>AVERAGEIFS(Продажи[цена за шт в рублях],Продажи[Категория],Продажи[[#This Row],[Категория]],Продажи[Поставщик],Продажи[[#This Row],[Поставщик]])</f>
        <v>317.85714285714283</v>
      </c>
      <c r="N237" s="16">
        <f>Продажи[[#This Row],[цена за шт в рублях]]/Продажи[[#This Row],[Средняя цена в категории за шт по поставщику]]-1</f>
        <v>-8.1348314606741523E-2</v>
      </c>
      <c r="O237" s="48">
        <f>VLOOKUP(Продажи[[#This Row],[id клиента]],клиенты!$A$2:$E$435,5,0)</f>
        <v>44623</v>
      </c>
      <c r="P237">
        <f>Продажи[[#This Row],[дата создания чека]]-Продажи[[#This Row],[Дата регистрации]]</f>
        <v>436</v>
      </c>
      <c r="Q237" t="str">
        <f>VLOOKUP(Продажи[[#This Row],[id клиента]],клиенты!$A$2:$G$435,7,0)</f>
        <v>Россия</v>
      </c>
      <c r="R237">
        <f>IF(COUNTIF($H$2:H237, H237)=1, 1, 0)</f>
        <v>1</v>
      </c>
      <c r="S237" t="str">
        <f>VLOOKUP(Продажи[[#This Row],[id клиента]],клиенты!$A$2:$D$435,4,0)</f>
        <v>нет</v>
      </c>
      <c r="T237" s="54">
        <f>VLOOKUP(Продажи[[#This Row],[id клиента]],клиенты!$A$2:$I$435,9,0)</f>
        <v>14.324435318275153</v>
      </c>
    </row>
    <row r="238" spans="1:20" x14ac:dyDescent="0.25">
      <c r="A238">
        <v>237</v>
      </c>
      <c r="B238">
        <v>485</v>
      </c>
      <c r="C238">
        <v>243</v>
      </c>
      <c r="D238">
        <v>3</v>
      </c>
      <c r="E238" s="35">
        <v>3645</v>
      </c>
      <c r="F238" s="48">
        <v>44987</v>
      </c>
      <c r="G238" t="s">
        <v>21</v>
      </c>
      <c r="H238">
        <v>34</v>
      </c>
      <c r="I238" t="str">
        <f>VLOOKUP(Продажи[[#This Row],[id товара]],Товары[],2,0)</f>
        <v>Макароны</v>
      </c>
      <c r="J238" s="17">
        <f>AVERAGEIF(Продажи[Категория],Продажи[[#This Row],[Категория]],Продажи[цена за шт в рублях])</f>
        <v>265.47674418604652</v>
      </c>
      <c r="K238" s="16">
        <f>Продажи[[#This Row],[цена за шт в рублях]]/Продажи[[#This Row],[Средняя цена в категории за шт]]-1</f>
        <v>-8.4665586264289772E-2</v>
      </c>
      <c r="L238" t="str">
        <f>VLOOKUP(Продажи[[#This Row],[id товара]],Товары[],3,0)</f>
        <v>Борилла</v>
      </c>
      <c r="M238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238" s="16">
        <f>Продажи[[#This Row],[цена за шт в рублях]]/Продажи[[#This Row],[Средняя цена в категории за шт по поставщику]]-1</f>
        <v>2.8458844133099737E-2</v>
      </c>
      <c r="O238" s="48">
        <f>VLOOKUP(Продажи[[#This Row],[id клиента]],клиенты!$A$2:$E$435,5,0)</f>
        <v>44654</v>
      </c>
      <c r="P238">
        <f>Продажи[[#This Row],[дата создания чека]]-Продажи[[#This Row],[Дата регистрации]]</f>
        <v>333</v>
      </c>
      <c r="Q238" t="str">
        <f>VLOOKUP(Продажи[[#This Row],[id клиента]],клиенты!$A$2:$G$435,7,0)</f>
        <v>Таджикистан</v>
      </c>
      <c r="R238">
        <f>IF(COUNTIF($H$2:H238, H238)=1, 1, 0)</f>
        <v>0</v>
      </c>
      <c r="S238" t="str">
        <f>VLOOKUP(Продажи[[#This Row],[id клиента]],клиенты!$A$2:$D$435,4,0)</f>
        <v>нет</v>
      </c>
      <c r="T238" s="54">
        <f>VLOOKUP(Продажи[[#This Row],[id клиента]],клиенты!$A$2:$I$435,9,0)</f>
        <v>19.909650924024639</v>
      </c>
    </row>
    <row r="239" spans="1:20" x14ac:dyDescent="0.25">
      <c r="A239">
        <v>238</v>
      </c>
      <c r="B239">
        <v>131</v>
      </c>
      <c r="C239">
        <v>382</v>
      </c>
      <c r="D239">
        <v>5</v>
      </c>
      <c r="E239" s="35">
        <v>9550</v>
      </c>
      <c r="F239" s="48">
        <v>45365</v>
      </c>
      <c r="G239" t="s">
        <v>13</v>
      </c>
      <c r="H239">
        <v>147</v>
      </c>
      <c r="I239" t="str">
        <f>VLOOKUP(Продажи[[#This Row],[id товара]],Товары[],2,0)</f>
        <v>Сок</v>
      </c>
      <c r="J239" s="17">
        <f>AVERAGEIF(Продажи[Категория],Продажи[[#This Row],[Категория]],Продажи[цена за шт в рублях])</f>
        <v>268.60344827586209</v>
      </c>
      <c r="K239" s="16">
        <f>Продажи[[#This Row],[цена за шт в рублях]]/Продажи[[#This Row],[Средняя цена в категории за шт]]-1</f>
        <v>0.42217087104435436</v>
      </c>
      <c r="L239" t="str">
        <f>VLOOKUP(Продажи[[#This Row],[id товара]],Товары[],3,0)</f>
        <v>Сады Придонья</v>
      </c>
      <c r="M239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239" s="16">
        <f>Продажи[[#This Row],[цена за шт в рублях]]/Продажи[[#This Row],[Средняя цена в категории за шт по поставщику]]-1</f>
        <v>0.5028612303290414</v>
      </c>
      <c r="O239" s="48">
        <f>VLOOKUP(Продажи[[#This Row],[id клиента]],клиенты!$A$2:$E$435,5,0)</f>
        <v>44827</v>
      </c>
      <c r="P239">
        <f>Продажи[[#This Row],[дата создания чека]]-Продажи[[#This Row],[Дата регистрации]]</f>
        <v>538</v>
      </c>
      <c r="Q239" t="str">
        <f>VLOOKUP(Продажи[[#This Row],[id клиента]],клиенты!$A$2:$G$435,7,0)</f>
        <v>Россия</v>
      </c>
      <c r="R239">
        <f>IF(COUNTIF($H$2:H239, H239)=1, 1, 0)</f>
        <v>1</v>
      </c>
      <c r="S239" t="str">
        <f>VLOOKUP(Продажи[[#This Row],[id клиента]],клиенты!$A$2:$D$435,4,0)</f>
        <v>да</v>
      </c>
      <c r="T239" s="54">
        <f>VLOOKUP(Продажи[[#This Row],[id клиента]],клиенты!$A$2:$I$435,9,0)</f>
        <v>19.318275154004105</v>
      </c>
    </row>
    <row r="240" spans="1:20" x14ac:dyDescent="0.25">
      <c r="A240">
        <v>239</v>
      </c>
      <c r="B240">
        <v>270</v>
      </c>
      <c r="C240">
        <v>308</v>
      </c>
      <c r="D240">
        <v>1</v>
      </c>
      <c r="E240" s="35">
        <v>1540</v>
      </c>
      <c r="F240" s="48">
        <v>45322</v>
      </c>
      <c r="G240" t="s">
        <v>9</v>
      </c>
      <c r="H240">
        <v>496</v>
      </c>
      <c r="I240" t="str">
        <f>VLOOKUP(Продажи[[#This Row],[id товара]],Товары[],2,0)</f>
        <v>Соль</v>
      </c>
      <c r="J240" s="17">
        <f>AVERAGEIF(Продажи[Категория],Продажи[[#This Row],[Категория]],Продажи[цена за шт в рублях])</f>
        <v>264.8679245283019</v>
      </c>
      <c r="K240" s="16">
        <f>Продажи[[#This Row],[цена за шт в рублях]]/Продажи[[#This Row],[Средняя цена в категории за шт]]-1</f>
        <v>0.16284370993018937</v>
      </c>
      <c r="L240" t="str">
        <f>VLOOKUP(Продажи[[#This Row],[id товара]],Товары[],3,0)</f>
        <v>Славянская</v>
      </c>
      <c r="M240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240" s="16">
        <f>Продажи[[#This Row],[цена за шт в рублях]]/Продажи[[#This Row],[Средняя цена в категории за шт по поставщику]]-1</f>
        <v>0.30003517411185365</v>
      </c>
      <c r="O240" s="48">
        <f>VLOOKUP(Продажи[[#This Row],[id клиента]],клиенты!$A$2:$E$435,5,0)</f>
        <v>44867</v>
      </c>
      <c r="P240">
        <f>Продажи[[#This Row],[дата создания чека]]-Продажи[[#This Row],[Дата регистрации]]</f>
        <v>455</v>
      </c>
      <c r="Q240" t="str">
        <f>VLOOKUP(Продажи[[#This Row],[id клиента]],клиенты!$A$2:$G$435,7,0)</f>
        <v>Украина</v>
      </c>
      <c r="R240">
        <f>IF(COUNTIF($H$2:H240, H240)=1, 1, 0)</f>
        <v>0</v>
      </c>
      <c r="S240" t="str">
        <f>VLOOKUP(Продажи[[#This Row],[id клиента]],клиенты!$A$2:$D$435,4,0)</f>
        <v>да</v>
      </c>
      <c r="T240" s="54">
        <f>VLOOKUP(Продажи[[#This Row],[id клиента]],клиенты!$A$2:$I$435,9,0)</f>
        <v>16.788501026694046</v>
      </c>
    </row>
    <row r="241" spans="1:20" x14ac:dyDescent="0.25">
      <c r="A241">
        <v>240</v>
      </c>
      <c r="B241">
        <v>345</v>
      </c>
      <c r="C241">
        <v>357</v>
      </c>
      <c r="D241">
        <v>4</v>
      </c>
      <c r="E241" s="35">
        <v>7140</v>
      </c>
      <c r="F241" s="48">
        <v>45057</v>
      </c>
      <c r="G241" t="s">
        <v>22</v>
      </c>
      <c r="H241">
        <v>202</v>
      </c>
      <c r="I241" t="str">
        <f>VLOOKUP(Продажи[[#This Row],[id товара]],Товары[],2,0)</f>
        <v>Конфеты</v>
      </c>
      <c r="J241" s="17">
        <f>AVERAGEIF(Продажи[Категория],Продажи[[#This Row],[Категория]],Продажи[цена за шт в рублях])</f>
        <v>267.85483870967744</v>
      </c>
      <c r="K241" s="16">
        <f>Продажи[[#This Row],[цена за шт в рублях]]/Продажи[[#This Row],[Средняя цена в категории за шт]]-1</f>
        <v>0.33281146504486059</v>
      </c>
      <c r="L241" t="str">
        <f>VLOOKUP(Продажи[[#This Row],[id товара]],Товары[],3,0)</f>
        <v>Рот Фронт</v>
      </c>
      <c r="M241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241" s="16">
        <f>Продажи[[#This Row],[цена за шт в рублях]]/Продажи[[#This Row],[Средняя цена в категории за шт по поставщику]]-1</f>
        <v>0.23855939203700638</v>
      </c>
      <c r="O241" s="48">
        <f>VLOOKUP(Продажи[[#This Row],[id клиента]],клиенты!$A$2:$E$435,5,0)</f>
        <v>44766</v>
      </c>
      <c r="P241">
        <f>Продажи[[#This Row],[дата создания чека]]-Продажи[[#This Row],[Дата регистрации]]</f>
        <v>291</v>
      </c>
      <c r="Q241" t="str">
        <f>VLOOKUP(Продажи[[#This Row],[id клиента]],клиенты!$A$2:$G$435,7,0)</f>
        <v>Беларусь</v>
      </c>
      <c r="R241">
        <f>IF(COUNTIF($H$2:H241, H241)=1, 1, 0)</f>
        <v>0</v>
      </c>
      <c r="S241" t="str">
        <f>VLOOKUP(Продажи[[#This Row],[id клиента]],клиенты!$A$2:$D$435,4,0)</f>
        <v>нет</v>
      </c>
      <c r="T241" s="54">
        <f>VLOOKUP(Продажи[[#This Row],[id клиента]],клиенты!$A$2:$I$435,9,0)</f>
        <v>19.383983572895279</v>
      </c>
    </row>
    <row r="242" spans="1:20" x14ac:dyDescent="0.25">
      <c r="A242">
        <v>241</v>
      </c>
      <c r="B242">
        <v>40</v>
      </c>
      <c r="C242">
        <v>82</v>
      </c>
      <c r="D242">
        <v>1</v>
      </c>
      <c r="E242" s="35">
        <v>410</v>
      </c>
      <c r="F242" s="48">
        <v>45011</v>
      </c>
      <c r="G242" t="s">
        <v>12</v>
      </c>
      <c r="H242">
        <v>312</v>
      </c>
      <c r="I242" t="str">
        <f>VLOOKUP(Продажи[[#This Row],[id товара]],Товары[],2,0)</f>
        <v>Колбаса</v>
      </c>
      <c r="J242" s="17">
        <f>AVERAGEIF(Продажи[Категория],Продажи[[#This Row],[Категория]],Продажи[цена за шт в рублях])</f>
        <v>286.92307692307691</v>
      </c>
      <c r="K242" s="16">
        <f>Продажи[[#This Row],[цена за шт в рублях]]/Продажи[[#This Row],[Средняя цена в категории за шт]]-1</f>
        <v>-0.71420911528150133</v>
      </c>
      <c r="L242" t="str">
        <f>VLOOKUP(Продажи[[#This Row],[id товара]],Товары[],3,0)</f>
        <v>Микоян</v>
      </c>
      <c r="M242" s="32">
        <f>AVERAGEIFS(Продажи[цена за шт в рублях],Продажи[Категория],Продажи[[#This Row],[Категория]],Продажи[Поставщик],Продажи[[#This Row],[Поставщик]])</f>
        <v>82</v>
      </c>
      <c r="N242" s="16">
        <f>Продажи[[#This Row],[цена за шт в рублях]]/Продажи[[#This Row],[Средняя цена в категории за шт по поставщику]]-1</f>
        <v>0</v>
      </c>
      <c r="O242" s="48">
        <f>VLOOKUP(Продажи[[#This Row],[id клиента]],клиенты!$A$2:$E$435,5,0)</f>
        <v>44886</v>
      </c>
      <c r="P242">
        <f>Продажи[[#This Row],[дата создания чека]]-Продажи[[#This Row],[Дата регистрации]]</f>
        <v>125</v>
      </c>
      <c r="Q242" t="str">
        <f>VLOOKUP(Продажи[[#This Row],[id клиента]],клиенты!$A$2:$G$435,7,0)</f>
        <v>Россия</v>
      </c>
      <c r="R242">
        <f>IF(COUNTIF($H$2:H242, H242)=1, 1, 0)</f>
        <v>1</v>
      </c>
      <c r="S242" t="str">
        <f>VLOOKUP(Продажи[[#This Row],[id клиента]],клиенты!$A$2:$D$435,4,0)</f>
        <v>да</v>
      </c>
      <c r="T242" s="54">
        <f>VLOOKUP(Продажи[[#This Row],[id клиента]],клиенты!$A$2:$I$435,9,0)</f>
        <v>4.1067761806981515</v>
      </c>
    </row>
    <row r="243" spans="1:20" x14ac:dyDescent="0.25">
      <c r="A243">
        <v>242</v>
      </c>
      <c r="B243">
        <v>275</v>
      </c>
      <c r="C243">
        <v>219</v>
      </c>
      <c r="D243">
        <v>1</v>
      </c>
      <c r="E243" s="35">
        <v>1095</v>
      </c>
      <c r="F243" s="48">
        <v>45028</v>
      </c>
      <c r="G243" t="s">
        <v>24</v>
      </c>
      <c r="H243">
        <v>41</v>
      </c>
      <c r="I243" t="str">
        <f>VLOOKUP(Продажи[[#This Row],[id товара]],Товары[],2,0)</f>
        <v>Сыр</v>
      </c>
      <c r="J243" s="17">
        <f>AVERAGEIF(Продажи[Категория],Продажи[[#This Row],[Категория]],Продажи[цена за шт в рублях])</f>
        <v>262.63492063492066</v>
      </c>
      <c r="K243" s="16">
        <f>Продажи[[#This Row],[цена за шт в рублях]]/Продажи[[#This Row],[Средняя цена в категории за шт]]-1</f>
        <v>-0.16614287441073383</v>
      </c>
      <c r="L243" t="str">
        <f>VLOOKUP(Продажи[[#This Row],[id товара]],Товары[],3,0)</f>
        <v>Сырная долина</v>
      </c>
      <c r="M243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243" s="16">
        <f>Продажи[[#This Row],[цена за шт в рублях]]/Продажи[[#This Row],[Средняя цена в категории за шт по поставщику]]-1</f>
        <v>-0.19188191881918815</v>
      </c>
      <c r="O243" s="48">
        <f>VLOOKUP(Продажи[[#This Row],[id клиента]],клиенты!$A$2:$E$435,5,0)</f>
        <v>44842</v>
      </c>
      <c r="P243">
        <f>Продажи[[#This Row],[дата создания чека]]-Продажи[[#This Row],[Дата регистрации]]</f>
        <v>186</v>
      </c>
      <c r="Q243" t="str">
        <f>VLOOKUP(Продажи[[#This Row],[id клиента]],клиенты!$A$2:$G$435,7,0)</f>
        <v>Россия</v>
      </c>
      <c r="R243">
        <f>IF(COUNTIF($H$2:H243, H243)=1, 1, 0)</f>
        <v>1</v>
      </c>
      <c r="S243" t="str">
        <f>VLOOKUP(Продажи[[#This Row],[id клиента]],клиенты!$A$2:$D$435,4,0)</f>
        <v>да</v>
      </c>
      <c r="T243" s="54">
        <f>VLOOKUP(Продажи[[#This Row],[id клиента]],клиенты!$A$2:$I$435,9,0)</f>
        <v>16.854209445585216</v>
      </c>
    </row>
    <row r="244" spans="1:20" x14ac:dyDescent="0.25">
      <c r="A244">
        <v>243</v>
      </c>
      <c r="B244">
        <v>205</v>
      </c>
      <c r="C244">
        <v>117</v>
      </c>
      <c r="D244">
        <v>5</v>
      </c>
      <c r="E244" s="35">
        <v>2925</v>
      </c>
      <c r="F244" s="48">
        <v>45006</v>
      </c>
      <c r="G244" t="s">
        <v>27</v>
      </c>
      <c r="H244">
        <v>389</v>
      </c>
      <c r="I244" t="str">
        <f>VLOOKUP(Продажи[[#This Row],[id товара]],Товары[],2,0)</f>
        <v>Макароны</v>
      </c>
      <c r="J244" s="17">
        <f>AVERAGEIF(Продажи[Категория],Продажи[[#This Row],[Категория]],Продажи[цена за шт в рублях])</f>
        <v>265.47674418604652</v>
      </c>
      <c r="K244" s="16">
        <f>Продажи[[#This Row],[цена за шт в рублях]]/Продажи[[#This Row],[Средняя цена в категории за шт]]-1</f>
        <v>-0.559283430423547</v>
      </c>
      <c r="L244" t="str">
        <f>VLOOKUP(Продажи[[#This Row],[id товара]],Товары[],3,0)</f>
        <v>Борилла</v>
      </c>
      <c r="M244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244" s="16">
        <f>Продажи[[#This Row],[цена за шт в рублях]]/Продажи[[#This Row],[Средняя цена в категории за шт по поставщику]]-1</f>
        <v>-0.50481611208406307</v>
      </c>
      <c r="O244" s="48">
        <f>VLOOKUP(Продажи[[#This Row],[id клиента]],клиенты!$A$2:$E$435,5,0)</f>
        <v>44876</v>
      </c>
      <c r="P244">
        <f>Продажи[[#This Row],[дата создания чека]]-Продажи[[#This Row],[Дата регистрации]]</f>
        <v>130</v>
      </c>
      <c r="Q244" t="str">
        <f>VLOOKUP(Продажи[[#This Row],[id клиента]],клиенты!$A$2:$G$435,7,0)</f>
        <v>Россия</v>
      </c>
      <c r="R244">
        <f>IF(COUNTIF($H$2:H244, H244)=1, 1, 0)</f>
        <v>1</v>
      </c>
      <c r="S244" t="str">
        <f>VLOOKUP(Продажи[[#This Row],[id клиента]],клиенты!$A$2:$D$435,4,0)</f>
        <v>да</v>
      </c>
      <c r="T244" s="54">
        <f>VLOOKUP(Продажи[[#This Row],[id клиента]],клиенты!$A$2:$I$435,9,0)</f>
        <v>4.2710472279260783</v>
      </c>
    </row>
    <row r="245" spans="1:20" x14ac:dyDescent="0.25">
      <c r="A245">
        <v>244</v>
      </c>
      <c r="B245">
        <v>219</v>
      </c>
      <c r="C245">
        <v>474</v>
      </c>
      <c r="D245">
        <v>5</v>
      </c>
      <c r="E245" s="35">
        <v>11850</v>
      </c>
      <c r="F245" s="48">
        <v>45300</v>
      </c>
      <c r="G245" t="s">
        <v>18</v>
      </c>
      <c r="H245">
        <v>24</v>
      </c>
      <c r="I245" t="str">
        <f>VLOOKUP(Продажи[[#This Row],[id товара]],Товары[],2,0)</f>
        <v>Йогурт</v>
      </c>
      <c r="J245" s="17">
        <f>AVERAGEIF(Продажи[Категория],Продажи[[#This Row],[Категория]],Продажи[цена за шт в рублях])</f>
        <v>263.25423728813558</v>
      </c>
      <c r="K245" s="16">
        <f>Продажи[[#This Row],[цена за шт в рублях]]/Продажи[[#This Row],[Средняя цена в категории за шт]]-1</f>
        <v>0.80054081895441676</v>
      </c>
      <c r="L245" t="str">
        <f>VLOOKUP(Продажи[[#This Row],[id товара]],Товары[],3,0)</f>
        <v>Чудо</v>
      </c>
      <c r="M245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245" s="16">
        <f>Продажи[[#This Row],[цена за шт в рублях]]/Продажи[[#This Row],[Средняя цена в категории за шт по поставщику]]-1</f>
        <v>0.65099268547544398</v>
      </c>
      <c r="O245" s="48">
        <f>VLOOKUP(Продажи[[#This Row],[id клиента]],клиенты!$A$2:$E$435,5,0)</f>
        <v>44609</v>
      </c>
      <c r="P245">
        <f>Продажи[[#This Row],[дата создания чека]]-Продажи[[#This Row],[Дата регистрации]]</f>
        <v>691</v>
      </c>
      <c r="Q245" t="str">
        <f>VLOOKUP(Продажи[[#This Row],[id клиента]],клиенты!$A$2:$G$435,7,0)</f>
        <v>Узбекистан</v>
      </c>
      <c r="R245">
        <f>IF(COUNTIF($H$2:H245, H245)=1, 1, 0)</f>
        <v>0</v>
      </c>
      <c r="S245" t="str">
        <f>VLOOKUP(Продажи[[#This Row],[id клиента]],клиенты!$A$2:$D$435,4,0)</f>
        <v>да</v>
      </c>
      <c r="T245" s="54">
        <f>VLOOKUP(Продажи[[#This Row],[id клиента]],клиенты!$A$2:$I$435,9,0)</f>
        <v>22.702258726899384</v>
      </c>
    </row>
    <row r="246" spans="1:20" x14ac:dyDescent="0.25">
      <c r="A246">
        <v>245</v>
      </c>
      <c r="B246">
        <v>425</v>
      </c>
      <c r="C246">
        <v>334</v>
      </c>
      <c r="D246">
        <v>2</v>
      </c>
      <c r="E246" s="35">
        <v>3340</v>
      </c>
      <c r="F246" s="48">
        <v>45187</v>
      </c>
      <c r="G246" t="s">
        <v>15</v>
      </c>
      <c r="H246">
        <v>25</v>
      </c>
      <c r="I246" t="str">
        <f>VLOOKUP(Продажи[[#This Row],[id товара]],Товары[],2,0)</f>
        <v>Соль</v>
      </c>
      <c r="J246" s="17">
        <f>AVERAGEIF(Продажи[Категория],Продажи[[#This Row],[Категория]],Продажи[цена за шт в рублях])</f>
        <v>264.8679245283019</v>
      </c>
      <c r="K246" s="16">
        <f>Продажи[[#This Row],[цена за шт в рублях]]/Продажи[[#This Row],[Средняя цена в категории за шт]]-1</f>
        <v>0.2610058412879328</v>
      </c>
      <c r="L246" t="str">
        <f>VLOOKUP(Продажи[[#This Row],[id товара]],Товары[],3,0)</f>
        <v>Экстра</v>
      </c>
      <c r="M246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246" s="16">
        <f>Продажи[[#This Row],[цена за шт в рублях]]/Продажи[[#This Row],[Средняя цена в категории за шт по поставщику]]-1</f>
        <v>4.0997362742747567E-2</v>
      </c>
      <c r="O246" s="48">
        <f>VLOOKUP(Продажи[[#This Row],[id клиента]],клиенты!$A$2:$E$435,5,0)</f>
        <v>44582</v>
      </c>
      <c r="P246">
        <f>Продажи[[#This Row],[дата создания чека]]-Продажи[[#This Row],[Дата регистрации]]</f>
        <v>605</v>
      </c>
      <c r="Q246" t="str">
        <f>VLOOKUP(Продажи[[#This Row],[id клиента]],клиенты!$A$2:$G$435,7,0)</f>
        <v>Таджикистан</v>
      </c>
      <c r="R246">
        <f>IF(COUNTIF($H$2:H246, H246)=1, 1, 0)</f>
        <v>0</v>
      </c>
      <c r="S246" t="str">
        <f>VLOOKUP(Продажи[[#This Row],[id клиента]],клиенты!$A$2:$D$435,4,0)</f>
        <v>да</v>
      </c>
      <c r="T246" s="54">
        <f>VLOOKUP(Продажи[[#This Row],[id клиента]],клиенты!$A$2:$I$435,9,0)</f>
        <v>24.114989733059549</v>
      </c>
    </row>
    <row r="247" spans="1:20" x14ac:dyDescent="0.25">
      <c r="A247">
        <v>246</v>
      </c>
      <c r="B247">
        <v>452</v>
      </c>
      <c r="C247">
        <v>220</v>
      </c>
      <c r="D247">
        <v>5</v>
      </c>
      <c r="E247" s="35">
        <v>5500</v>
      </c>
      <c r="F247" s="48">
        <v>44951</v>
      </c>
      <c r="G247" t="s">
        <v>12</v>
      </c>
      <c r="H247">
        <v>411</v>
      </c>
      <c r="I247" t="str">
        <f>VLOOKUP(Продажи[[#This Row],[id товара]],Товары[],2,0)</f>
        <v>Фрукты</v>
      </c>
      <c r="J247" s="17">
        <f>AVERAGEIF(Продажи[Категория],Продажи[[#This Row],[Категория]],Продажи[цена за шт в рублях])</f>
        <v>274.16279069767444</v>
      </c>
      <c r="K247" s="16">
        <f>Продажи[[#This Row],[цена за шт в рублях]]/Продажи[[#This Row],[Средняя цена в категории за шт]]-1</f>
        <v>-0.19755704470268898</v>
      </c>
      <c r="L247" t="str">
        <f>VLOOKUP(Продажи[[#This Row],[id товара]],Товары[],3,0)</f>
        <v>Экзотик</v>
      </c>
      <c r="M247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247" s="16">
        <f>Продажи[[#This Row],[цена за шт в рублях]]/Продажи[[#This Row],[Средняя цена в категории за шт по поставщику]]-1</f>
        <v>-0.13279132791327908</v>
      </c>
      <c r="O247" s="48">
        <f>VLOOKUP(Продажи[[#This Row],[id клиента]],клиенты!$A$2:$E$435,5,0)</f>
        <v>44673</v>
      </c>
      <c r="P247">
        <f>Продажи[[#This Row],[дата создания чека]]-Продажи[[#This Row],[Дата регистрации]]</f>
        <v>278</v>
      </c>
      <c r="Q247" t="str">
        <f>VLOOKUP(Продажи[[#This Row],[id клиента]],клиенты!$A$2:$G$435,7,0)</f>
        <v>Таджикистан</v>
      </c>
      <c r="R247">
        <f>IF(COUNTIF($H$2:H247, H247)=1, 1, 0)</f>
        <v>0</v>
      </c>
      <c r="S247" t="str">
        <f>VLOOKUP(Продажи[[#This Row],[id клиента]],клиенты!$A$2:$D$435,4,0)</f>
        <v>нет</v>
      </c>
      <c r="T247" s="54">
        <f>VLOOKUP(Продажи[[#This Row],[id клиента]],клиенты!$A$2:$I$435,9,0)</f>
        <v>22.603696098562629</v>
      </c>
    </row>
    <row r="248" spans="1:20" x14ac:dyDescent="0.25">
      <c r="A248">
        <v>247</v>
      </c>
      <c r="B248">
        <v>285</v>
      </c>
      <c r="C248">
        <v>282</v>
      </c>
      <c r="D248">
        <v>5</v>
      </c>
      <c r="E248" s="35">
        <v>7050</v>
      </c>
      <c r="F248" s="48">
        <v>45405</v>
      </c>
      <c r="G248" t="s">
        <v>24</v>
      </c>
      <c r="H248">
        <v>106</v>
      </c>
      <c r="I248" t="str">
        <f>VLOOKUP(Продажи[[#This Row],[id товара]],Товары[],2,0)</f>
        <v>Макароны</v>
      </c>
      <c r="J248" s="17">
        <f>AVERAGEIF(Продажи[Категория],Продажи[[#This Row],[Категория]],Продажи[цена за шт в рублях])</f>
        <v>265.47674418604652</v>
      </c>
      <c r="K248" s="16">
        <f>Продажи[[#This Row],[цена за шт в рублях]]/Продажи[[#This Row],[Средняя цена в категории за шт]]-1</f>
        <v>6.2239936927861228E-2</v>
      </c>
      <c r="L248" t="str">
        <f>VLOOKUP(Продажи[[#This Row],[id товара]],Товары[],3,0)</f>
        <v>Паста Зара</v>
      </c>
      <c r="M24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248" s="16">
        <f>Продажи[[#This Row],[цена за шт в рублях]]/Продажи[[#This Row],[Средняя цена в категории за шт по поставщику]]-1</f>
        <v>1.9243919116928687E-2</v>
      </c>
      <c r="O248" s="48">
        <f>VLOOKUP(Продажи[[#This Row],[id клиента]],клиенты!$A$2:$E$435,5,0)</f>
        <v>44858</v>
      </c>
      <c r="P248">
        <f>Продажи[[#This Row],[дата создания чека]]-Продажи[[#This Row],[Дата регистрации]]</f>
        <v>547</v>
      </c>
      <c r="Q248" t="str">
        <f>VLOOKUP(Продажи[[#This Row],[id клиента]],клиенты!$A$2:$G$435,7,0)</f>
        <v>Украина</v>
      </c>
      <c r="R248">
        <f>IF(COUNTIF($H$2:H248, H248)=1, 1, 0)</f>
        <v>0</v>
      </c>
      <c r="S248" t="str">
        <f>VLOOKUP(Продажи[[#This Row],[id клиента]],клиенты!$A$2:$D$435,4,0)</f>
        <v>да</v>
      </c>
      <c r="T248" s="54">
        <f>VLOOKUP(Продажи[[#This Row],[id клиента]],клиенты!$A$2:$I$435,9,0)</f>
        <v>18.168377823408623</v>
      </c>
    </row>
    <row r="249" spans="1:20" x14ac:dyDescent="0.25">
      <c r="A249">
        <v>248</v>
      </c>
      <c r="B249">
        <v>435</v>
      </c>
      <c r="C249">
        <v>499</v>
      </c>
      <c r="D249">
        <v>5</v>
      </c>
      <c r="E249" s="35">
        <v>12475</v>
      </c>
      <c r="F249" s="48">
        <v>44942</v>
      </c>
      <c r="G249" t="s">
        <v>12</v>
      </c>
      <c r="H249">
        <v>175</v>
      </c>
      <c r="I249" t="str">
        <f>VLOOKUP(Продажи[[#This Row],[id товара]],Товары[],2,0)</f>
        <v>Мясо</v>
      </c>
      <c r="J249" s="17">
        <f>AVERAGEIF(Продажи[Категория],Продажи[[#This Row],[Категория]],Продажи[цена за шт в рублях])</f>
        <v>271.74545454545455</v>
      </c>
      <c r="K249" s="16">
        <f>Продажи[[#This Row],[цена за шт в рублях]]/Продажи[[#This Row],[Средняя цена в категории за шт]]-1</f>
        <v>0.83627726482001874</v>
      </c>
      <c r="L249" t="str">
        <f>VLOOKUP(Продажи[[#This Row],[id товара]],Товары[],3,0)</f>
        <v>Снежана</v>
      </c>
      <c r="M249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249" s="16">
        <f>Продажи[[#This Row],[цена за шт в рублях]]/Продажи[[#This Row],[Средняя цена в категории за шт по поставщику]]-1</f>
        <v>0.83218142548596097</v>
      </c>
      <c r="O249" s="48">
        <f>VLOOKUP(Продажи[[#This Row],[id клиента]],клиенты!$A$2:$E$435,5,0)</f>
        <v>44565</v>
      </c>
      <c r="P249">
        <f>Продажи[[#This Row],[дата создания чека]]-Продажи[[#This Row],[Дата регистрации]]</f>
        <v>377</v>
      </c>
      <c r="Q249" t="str">
        <f>VLOOKUP(Продажи[[#This Row],[id клиента]],клиенты!$A$2:$G$435,7,0)</f>
        <v>Россия</v>
      </c>
      <c r="R249">
        <f>IF(COUNTIF($H$2:H249, H249)=1, 1, 0)</f>
        <v>0</v>
      </c>
      <c r="S249" t="str">
        <f>VLOOKUP(Продажи[[#This Row],[id клиента]],клиенты!$A$2:$D$435,4,0)</f>
        <v>нет</v>
      </c>
      <c r="T249" s="54">
        <f>VLOOKUP(Продажи[[#This Row],[id клиента]],клиенты!$A$2:$I$435,9,0)</f>
        <v>25.297741273100616</v>
      </c>
    </row>
    <row r="250" spans="1:20" x14ac:dyDescent="0.25">
      <c r="A250">
        <v>249</v>
      </c>
      <c r="B250">
        <v>26</v>
      </c>
      <c r="C250">
        <v>170</v>
      </c>
      <c r="D250">
        <v>1</v>
      </c>
      <c r="E250" s="35">
        <v>850</v>
      </c>
      <c r="F250" s="48">
        <v>45139</v>
      </c>
      <c r="G250" t="s">
        <v>25</v>
      </c>
      <c r="H250">
        <v>286</v>
      </c>
      <c r="I250" t="str">
        <f>VLOOKUP(Продажи[[#This Row],[id товара]],Товары[],2,0)</f>
        <v>Мясо</v>
      </c>
      <c r="J250" s="17">
        <f>AVERAGEIF(Продажи[Категория],Продажи[[#This Row],[Категория]],Продажи[цена за шт в рублях])</f>
        <v>271.74545454545455</v>
      </c>
      <c r="K250" s="16">
        <f>Продажи[[#This Row],[цена за шт в рублях]]/Продажи[[#This Row],[Средняя цена в категории за шт]]-1</f>
        <v>-0.37441455907935239</v>
      </c>
      <c r="L250" t="str">
        <f>VLOOKUP(Продажи[[#This Row],[id товара]],Товары[],3,0)</f>
        <v>Сава</v>
      </c>
      <c r="M250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250" s="16">
        <f>Продажи[[#This Row],[цена за шт в рублях]]/Продажи[[#This Row],[Средняя цена в категории за шт по поставщику]]-1</f>
        <v>-0.2011747430249633</v>
      </c>
      <c r="O250" s="48">
        <f>VLOOKUP(Продажи[[#This Row],[id клиента]],клиенты!$A$2:$E$435,5,0)</f>
        <v>44563</v>
      </c>
      <c r="P250">
        <f>Продажи[[#This Row],[дата создания чека]]-Продажи[[#This Row],[Дата регистрации]]</f>
        <v>576</v>
      </c>
      <c r="Q250" t="str">
        <f>VLOOKUP(Продажи[[#This Row],[id клиента]],клиенты!$A$2:$G$435,7,0)</f>
        <v>Таджикистан</v>
      </c>
      <c r="R250">
        <f>IF(COUNTIF($H$2:H250, H250)=1, 1, 0)</f>
        <v>0</v>
      </c>
      <c r="S250" t="str">
        <f>VLOOKUP(Продажи[[#This Row],[id клиента]],клиенты!$A$2:$D$435,4,0)</f>
        <v>нет</v>
      </c>
      <c r="T250" s="54">
        <f>VLOOKUP(Продажи[[#This Row],[id клиента]],клиенты!$A$2:$I$435,9,0)</f>
        <v>28.451745379876797</v>
      </c>
    </row>
    <row r="251" spans="1:20" x14ac:dyDescent="0.25">
      <c r="A251">
        <v>250</v>
      </c>
      <c r="B251">
        <v>157</v>
      </c>
      <c r="C251">
        <v>52</v>
      </c>
      <c r="D251">
        <v>1</v>
      </c>
      <c r="E251" s="35">
        <v>260</v>
      </c>
      <c r="F251" s="48">
        <v>44961</v>
      </c>
      <c r="G251" t="s">
        <v>8</v>
      </c>
      <c r="H251">
        <v>249</v>
      </c>
      <c r="I251" t="str">
        <f>VLOOKUP(Продажи[[#This Row],[id товара]],Товары[],2,0)</f>
        <v>Сыр</v>
      </c>
      <c r="J251" s="17">
        <f>AVERAGEIF(Продажи[Категория],Продажи[[#This Row],[Категория]],Продажи[цена за шт в рублях])</f>
        <v>262.63492063492066</v>
      </c>
      <c r="K251" s="16">
        <f>Продажи[[#This Row],[цена за шт в рублях]]/Продажи[[#This Row],[Средняя цена в категории за шт]]-1</f>
        <v>-0.80200652725734312</v>
      </c>
      <c r="L251" t="str">
        <f>VLOOKUP(Продажи[[#This Row],[id товара]],Товары[],3,0)</f>
        <v>President</v>
      </c>
      <c r="M251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251" s="16">
        <f>Продажи[[#This Row],[цена за шт в рублях]]/Продажи[[#This Row],[Средняя цена в категории за шт по поставщику]]-1</f>
        <v>-0.78217360949499648</v>
      </c>
      <c r="O251" s="48">
        <f>VLOOKUP(Продажи[[#This Row],[id клиента]],клиенты!$A$2:$E$435,5,0)</f>
        <v>44781</v>
      </c>
      <c r="P251">
        <f>Продажи[[#This Row],[дата создания чека]]-Продажи[[#This Row],[Дата регистрации]]</f>
        <v>180</v>
      </c>
      <c r="Q251" t="str">
        <f>VLOOKUP(Продажи[[#This Row],[id клиента]],клиенты!$A$2:$G$435,7,0)</f>
        <v>Россия</v>
      </c>
      <c r="R251">
        <f>IF(COUNTIF($H$2:H251, H251)=1, 1, 0)</f>
        <v>1</v>
      </c>
      <c r="S251" t="str">
        <f>VLOOKUP(Продажи[[#This Row],[id клиента]],клиенты!$A$2:$D$435,4,0)</f>
        <v>да</v>
      </c>
      <c r="T251" s="54">
        <f>VLOOKUP(Продажи[[#This Row],[id клиента]],клиенты!$A$2:$I$435,9,0)</f>
        <v>18.562628336755647</v>
      </c>
    </row>
    <row r="252" spans="1:20" x14ac:dyDescent="0.25">
      <c r="A252">
        <v>251</v>
      </c>
      <c r="B252">
        <v>273</v>
      </c>
      <c r="C252">
        <v>156</v>
      </c>
      <c r="D252">
        <v>5</v>
      </c>
      <c r="E252" s="35">
        <v>3900</v>
      </c>
      <c r="F252" s="48">
        <v>45029</v>
      </c>
      <c r="G252" t="s">
        <v>23</v>
      </c>
      <c r="H252">
        <v>168</v>
      </c>
      <c r="I252" t="str">
        <f>VLOOKUP(Продажи[[#This Row],[id товара]],Товары[],2,0)</f>
        <v>Конфеты</v>
      </c>
      <c r="J252" s="17">
        <f>AVERAGEIF(Продажи[Категория],Продажи[[#This Row],[Категория]],Продажи[цена за шт в рублях])</f>
        <v>267.85483870967744</v>
      </c>
      <c r="K252" s="16">
        <f>Продажи[[#This Row],[цена за шт в рублях]]/Продажи[[#This Row],[Средняя цена в категории за шт]]-1</f>
        <v>-0.41759499006443068</v>
      </c>
      <c r="L252" t="str">
        <f>VLOOKUP(Продажи[[#This Row],[id товара]],Товары[],3,0)</f>
        <v>Красный Октябрь</v>
      </c>
      <c r="M252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252" s="16">
        <f>Продажи[[#This Row],[цена за шт в рублях]]/Продажи[[#This Row],[Средняя цена в категории за шт по поставщику]]-1</f>
        <v>-0.42987665600730929</v>
      </c>
      <c r="O252" s="48">
        <f>VLOOKUP(Продажи[[#This Row],[id клиента]],клиенты!$A$2:$E$435,5,0)</f>
        <v>44706</v>
      </c>
      <c r="P252">
        <f>Продажи[[#This Row],[дата создания чека]]-Продажи[[#This Row],[Дата регистрации]]</f>
        <v>323</v>
      </c>
      <c r="Q252" t="str">
        <f>VLOOKUP(Продажи[[#This Row],[id клиента]],клиенты!$A$2:$G$435,7,0)</f>
        <v>Узбекистан</v>
      </c>
      <c r="R252">
        <f>IF(COUNTIF($H$2:H252, H252)=1, 1, 0)</f>
        <v>1</v>
      </c>
      <c r="S252" t="str">
        <f>VLOOKUP(Продажи[[#This Row],[id клиента]],клиенты!$A$2:$D$435,4,0)</f>
        <v>да</v>
      </c>
      <c r="T252" s="54">
        <f>VLOOKUP(Продажи[[#This Row],[id клиента]],клиенты!$A$2:$I$435,9,0)</f>
        <v>10.611909650924025</v>
      </c>
    </row>
    <row r="253" spans="1:20" x14ac:dyDescent="0.25">
      <c r="A253">
        <v>252</v>
      </c>
      <c r="B253">
        <v>340</v>
      </c>
      <c r="C253">
        <v>450</v>
      </c>
      <c r="D253">
        <v>3</v>
      </c>
      <c r="E253" s="35">
        <v>6750</v>
      </c>
      <c r="F253" s="48">
        <v>44933</v>
      </c>
      <c r="G253" t="s">
        <v>15</v>
      </c>
      <c r="H253">
        <v>121</v>
      </c>
      <c r="I253" t="str">
        <f>VLOOKUP(Продажи[[#This Row],[id товара]],Товары[],2,0)</f>
        <v>Сыр</v>
      </c>
      <c r="J253" s="17">
        <f>AVERAGEIF(Продажи[Категория],Продажи[[#This Row],[Категория]],Продажи[цена за шт в рублях])</f>
        <v>262.63492063492066</v>
      </c>
      <c r="K253" s="16">
        <f>Продажи[[#This Row],[цена за шт в рублях]]/Продажи[[#This Row],[Средняя цена в категории за шт]]-1</f>
        <v>0.71340505258068387</v>
      </c>
      <c r="L253" t="str">
        <f>VLOOKUP(Продажи[[#This Row],[id товара]],Товары[],3,0)</f>
        <v>Карат</v>
      </c>
      <c r="M253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253" s="16">
        <f>Продажи[[#This Row],[цена за шт в рублях]]/Продажи[[#This Row],[Средняя цена в категории за шт по поставщику]]-1</f>
        <v>0.4453961456102784</v>
      </c>
      <c r="O253" s="48">
        <f>VLOOKUP(Продажи[[#This Row],[id клиента]],клиенты!$A$2:$E$435,5,0)</f>
        <v>44763</v>
      </c>
      <c r="P253">
        <f>Продажи[[#This Row],[дата создания чека]]-Продажи[[#This Row],[Дата регистрации]]</f>
        <v>170</v>
      </c>
      <c r="Q253" t="str">
        <f>VLOOKUP(Продажи[[#This Row],[id клиента]],клиенты!$A$2:$G$435,7,0)</f>
        <v>Россия</v>
      </c>
      <c r="R253">
        <f>IF(COUNTIF($H$2:H253, H253)=1, 1, 0)</f>
        <v>1</v>
      </c>
      <c r="S253" t="str">
        <f>VLOOKUP(Продажи[[#This Row],[id клиента]],клиенты!$A$2:$D$435,4,0)</f>
        <v>да</v>
      </c>
      <c r="T253" s="54">
        <f>VLOOKUP(Продажи[[#This Row],[id клиента]],клиенты!$A$2:$I$435,9,0)</f>
        <v>9.8891170431211499</v>
      </c>
    </row>
    <row r="254" spans="1:20" x14ac:dyDescent="0.25">
      <c r="A254">
        <v>253</v>
      </c>
      <c r="B254">
        <v>34</v>
      </c>
      <c r="C254">
        <v>366</v>
      </c>
      <c r="D254">
        <v>4</v>
      </c>
      <c r="E254" s="35">
        <v>7320</v>
      </c>
      <c r="F254" s="48">
        <v>45264</v>
      </c>
      <c r="G254" t="s">
        <v>14</v>
      </c>
      <c r="H254">
        <v>259</v>
      </c>
      <c r="I254" t="str">
        <f>VLOOKUP(Продажи[[#This Row],[id товара]],Товары[],2,0)</f>
        <v>Крупа</v>
      </c>
      <c r="J254" s="17">
        <f>AVERAGEIF(Продажи[Категория],Продажи[[#This Row],[Категория]],Продажи[цена за шт в рублях])</f>
        <v>255.11627906976744</v>
      </c>
      <c r="K254" s="16">
        <f>Продажи[[#This Row],[цена за шт в рублях]]/Продажи[[#This Row],[Средняя цена в категории за шт]]-1</f>
        <v>0.4346399270738377</v>
      </c>
      <c r="L254" t="str">
        <f>VLOOKUP(Продажи[[#This Row],[id товара]],Товары[],3,0)</f>
        <v>Ярмарка</v>
      </c>
      <c r="M254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254" s="16">
        <f>Продажи[[#This Row],[цена за шт в рублях]]/Продажи[[#This Row],[Средняя цена в категории за шт по поставщику]]-1</f>
        <v>0.45185719437432392</v>
      </c>
      <c r="O254" s="48">
        <f>VLOOKUP(Продажи[[#This Row],[id клиента]],клиенты!$A$2:$E$435,5,0)</f>
        <v>44707</v>
      </c>
      <c r="P254">
        <f>Продажи[[#This Row],[дата создания чека]]-Продажи[[#This Row],[Дата регистрации]]</f>
        <v>557</v>
      </c>
      <c r="Q254" t="str">
        <f>VLOOKUP(Продажи[[#This Row],[id клиента]],клиенты!$A$2:$G$435,7,0)</f>
        <v>Беларусь</v>
      </c>
      <c r="R254">
        <f>IF(COUNTIF($H$2:H254, H254)=1, 1, 0)</f>
        <v>0</v>
      </c>
      <c r="S254" t="str">
        <f>VLOOKUP(Продажи[[#This Row],[id клиента]],клиенты!$A$2:$D$435,4,0)</f>
        <v>да</v>
      </c>
      <c r="T254" s="54">
        <f>VLOOKUP(Продажи[[#This Row],[id клиента]],клиенты!$A$2:$I$435,9,0)</f>
        <v>18.299794661190965</v>
      </c>
    </row>
    <row r="255" spans="1:20" x14ac:dyDescent="0.25">
      <c r="A255">
        <v>254</v>
      </c>
      <c r="B255">
        <v>296</v>
      </c>
      <c r="C255">
        <v>210</v>
      </c>
      <c r="D255">
        <v>1</v>
      </c>
      <c r="E255" s="35">
        <v>1050</v>
      </c>
      <c r="F255" s="48">
        <v>45010</v>
      </c>
      <c r="G255" t="s">
        <v>9</v>
      </c>
      <c r="H255">
        <v>255</v>
      </c>
      <c r="I255" t="str">
        <f>VLOOKUP(Продажи[[#This Row],[id товара]],Товары[],2,0)</f>
        <v>Крупа</v>
      </c>
      <c r="J255" s="17">
        <f>AVERAGEIF(Продажи[Категория],Продажи[[#This Row],[Категория]],Продажи[цена за шт в рублях])</f>
        <v>255.11627906976744</v>
      </c>
      <c r="K255" s="16">
        <f>Продажи[[#This Row],[цена за шт в рублях]]/Продажи[[#This Row],[Средняя цена в категории за шт]]-1</f>
        <v>-0.17684594348222427</v>
      </c>
      <c r="L255" t="str">
        <f>VLOOKUP(Продажи[[#This Row],[id товара]],Товары[],3,0)</f>
        <v>Мистраль</v>
      </c>
      <c r="M255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255" s="16">
        <f>Продажи[[#This Row],[цена за шт в рублях]]/Продажи[[#This Row],[Средняя цена в категории за шт по поставщику]]-1</f>
        <v>-0.16103257529194837</v>
      </c>
      <c r="O255" s="48">
        <f>VLOOKUP(Продажи[[#This Row],[id клиента]],клиенты!$A$2:$E$435,5,0)</f>
        <v>44793</v>
      </c>
      <c r="P255">
        <f>Продажи[[#This Row],[дата создания чека]]-Продажи[[#This Row],[Дата регистрации]]</f>
        <v>217</v>
      </c>
      <c r="Q255" t="str">
        <f>VLOOKUP(Продажи[[#This Row],[id клиента]],клиенты!$A$2:$G$435,7,0)</f>
        <v>Украина</v>
      </c>
      <c r="R255">
        <f>IF(COUNTIF($H$2:H255, H255)=1, 1, 0)</f>
        <v>0</v>
      </c>
      <c r="S255" t="str">
        <f>VLOOKUP(Продажи[[#This Row],[id клиента]],клиенты!$A$2:$D$435,4,0)</f>
        <v>да</v>
      </c>
      <c r="T255" s="54">
        <f>VLOOKUP(Продажи[[#This Row],[id клиента]],клиенты!$A$2:$I$435,9,0)</f>
        <v>19.219712525667351</v>
      </c>
    </row>
    <row r="256" spans="1:20" x14ac:dyDescent="0.25">
      <c r="A256">
        <v>255</v>
      </c>
      <c r="B256">
        <v>116</v>
      </c>
      <c r="C256">
        <v>379</v>
      </c>
      <c r="D256">
        <v>4</v>
      </c>
      <c r="E256" s="35">
        <v>7580</v>
      </c>
      <c r="F256" s="48">
        <v>45261</v>
      </c>
      <c r="G256" t="s">
        <v>22</v>
      </c>
      <c r="H256">
        <v>405</v>
      </c>
      <c r="I256" t="str">
        <f>VLOOKUP(Продажи[[#This Row],[id товара]],Товары[],2,0)</f>
        <v>Соль</v>
      </c>
      <c r="J256" s="17">
        <f>AVERAGEIF(Продажи[Категория],Продажи[[#This Row],[Категория]],Продажи[цена за шт в рублях])</f>
        <v>264.8679245283019</v>
      </c>
      <c r="K256" s="16">
        <f>Продажи[[#This Row],[цена за шт в рублях]]/Продажи[[#This Row],[Средняя цена в категории за шт]]-1</f>
        <v>0.43090183786864222</v>
      </c>
      <c r="L256" t="str">
        <f>VLOOKUP(Продажи[[#This Row],[id товара]],Товары[],3,0)</f>
        <v>Экстра</v>
      </c>
      <c r="M256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256" s="16">
        <f>Продажи[[#This Row],[цена за шт в рублях]]/Продажи[[#This Row],[Средняя цена в категории за шт по поставщику]]-1</f>
        <v>0.1812514984416207</v>
      </c>
      <c r="O256" s="48">
        <f>VLOOKUP(Продажи[[#This Row],[id клиента]],клиенты!$A$2:$E$435,5,0)</f>
        <v>44798</v>
      </c>
      <c r="P256">
        <f>Продажи[[#This Row],[дата создания чека]]-Продажи[[#This Row],[Дата регистрации]]</f>
        <v>463</v>
      </c>
      <c r="Q256" t="str">
        <f>VLOOKUP(Продажи[[#This Row],[id клиента]],клиенты!$A$2:$G$435,7,0)</f>
        <v>Украина</v>
      </c>
      <c r="R256">
        <f>IF(COUNTIF($H$2:H256, H256)=1, 1, 0)</f>
        <v>1</v>
      </c>
      <c r="S256" t="str">
        <f>VLOOKUP(Продажи[[#This Row],[id клиента]],клиенты!$A$2:$D$435,4,0)</f>
        <v>нет</v>
      </c>
      <c r="T256" s="54">
        <f>VLOOKUP(Продажи[[#This Row],[id клиента]],клиенты!$A$2:$I$435,9,0)</f>
        <v>15.211498973305956</v>
      </c>
    </row>
    <row r="257" spans="1:20" x14ac:dyDescent="0.25">
      <c r="A257">
        <v>256</v>
      </c>
      <c r="B257">
        <v>117</v>
      </c>
      <c r="C257">
        <v>102</v>
      </c>
      <c r="D257">
        <v>4</v>
      </c>
      <c r="E257" s="35">
        <v>2040</v>
      </c>
      <c r="F257" s="48">
        <v>45329</v>
      </c>
      <c r="G257" t="s">
        <v>24</v>
      </c>
      <c r="H257">
        <v>376</v>
      </c>
      <c r="I257" t="str">
        <f>VLOOKUP(Продажи[[#This Row],[id товара]],Товары[],2,0)</f>
        <v>Макароны</v>
      </c>
      <c r="J257" s="17">
        <f>AVERAGEIF(Продажи[Категория],Продажи[[#This Row],[Категория]],Продажи[цена за шт в рублях])</f>
        <v>265.47674418604652</v>
      </c>
      <c r="K257" s="16">
        <f>Продажи[[#This Row],[цена за шт в рублях]]/Продажи[[#This Row],[Средняя цена в категории за шт]]-1</f>
        <v>-0.61578555472822039</v>
      </c>
      <c r="L257" t="str">
        <f>VLOOKUP(Продажи[[#This Row],[id товара]],Товары[],3,0)</f>
        <v>Роллтон</v>
      </c>
      <c r="M257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257" s="16">
        <f>Продажи[[#This Row],[цена за шт в рублях]]/Продажи[[#This Row],[Средняя цена в категории за шт по поставщику]]-1</f>
        <v>-0.56698113207547163</v>
      </c>
      <c r="O257" s="48">
        <f>VLOOKUP(Продажи[[#This Row],[id клиента]],клиенты!$A$2:$E$435,5,0)</f>
        <v>44730</v>
      </c>
      <c r="P257">
        <f>Продажи[[#This Row],[дата создания чека]]-Продажи[[#This Row],[Дата регистрации]]</f>
        <v>599</v>
      </c>
      <c r="Q257" t="str">
        <f>VLOOKUP(Продажи[[#This Row],[id клиента]],клиенты!$A$2:$G$435,7,0)</f>
        <v>Беларусь</v>
      </c>
      <c r="R257">
        <f>IF(COUNTIF($H$2:H257, H257)=1, 1, 0)</f>
        <v>1</v>
      </c>
      <c r="S257" t="str">
        <f>VLOOKUP(Продажи[[#This Row],[id клиента]],клиенты!$A$2:$D$435,4,0)</f>
        <v>да</v>
      </c>
      <c r="T257" s="54">
        <f>VLOOKUP(Продажи[[#This Row],[id клиента]],клиенты!$A$2:$I$435,9,0)</f>
        <v>22.406570841889117</v>
      </c>
    </row>
    <row r="258" spans="1:20" x14ac:dyDescent="0.25">
      <c r="A258">
        <v>257</v>
      </c>
      <c r="B258">
        <v>239</v>
      </c>
      <c r="C258">
        <v>380</v>
      </c>
      <c r="D258">
        <v>5</v>
      </c>
      <c r="E258" s="35">
        <v>9500</v>
      </c>
      <c r="F258" s="48">
        <v>45129</v>
      </c>
      <c r="G258" t="s">
        <v>8</v>
      </c>
      <c r="H258">
        <v>489</v>
      </c>
      <c r="I258" t="str">
        <f>VLOOKUP(Продажи[[#This Row],[id товара]],Товары[],2,0)</f>
        <v>Йогурт</v>
      </c>
      <c r="J258" s="17">
        <f>AVERAGEIF(Продажи[Категория],Продажи[[#This Row],[Категория]],Продажи[цена за шт в рублях])</f>
        <v>263.25423728813558</v>
      </c>
      <c r="K258" s="16">
        <f>Продажи[[#This Row],[цена за шт в рублях]]/Продажи[[#This Row],[Средняя цена в категории за шт]]-1</f>
        <v>0.44347154262168442</v>
      </c>
      <c r="L258" t="str">
        <f>VLOOKUP(Продажи[[#This Row],[id товара]],Товары[],3,0)</f>
        <v>Эрманн</v>
      </c>
      <c r="M258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258" s="16">
        <f>Продажи[[#This Row],[цена за шт в рублях]]/Продажи[[#This Row],[Средняя цена в категории за шт по поставщику]]-1</f>
        <v>0.52917505030181089</v>
      </c>
      <c r="O258" s="48">
        <f>VLOOKUP(Продажи[[#This Row],[id клиента]],клиенты!$A$2:$E$435,5,0)</f>
        <v>44587</v>
      </c>
      <c r="P258">
        <f>Продажи[[#This Row],[дата создания чека]]-Продажи[[#This Row],[Дата регистрации]]</f>
        <v>542</v>
      </c>
      <c r="Q258" t="str">
        <f>VLOOKUP(Продажи[[#This Row],[id клиента]],клиенты!$A$2:$G$435,7,0)</f>
        <v>Россия</v>
      </c>
      <c r="R258">
        <f>IF(COUNTIF($H$2:H258, H258)=1, 1, 0)</f>
        <v>1</v>
      </c>
      <c r="S258" t="str">
        <f>VLOOKUP(Продажи[[#This Row],[id клиента]],клиенты!$A$2:$D$435,4,0)</f>
        <v>да</v>
      </c>
      <c r="T258" s="54">
        <f>VLOOKUP(Продажи[[#This Row],[id клиента]],клиенты!$A$2:$I$435,9,0)</f>
        <v>17.806981519507186</v>
      </c>
    </row>
    <row r="259" spans="1:20" x14ac:dyDescent="0.25">
      <c r="A259">
        <v>258</v>
      </c>
      <c r="B259">
        <v>201</v>
      </c>
      <c r="C259">
        <v>355</v>
      </c>
      <c r="D259">
        <v>5</v>
      </c>
      <c r="E259" s="35">
        <v>8875</v>
      </c>
      <c r="F259" s="48">
        <v>45343</v>
      </c>
      <c r="G259" t="s">
        <v>19</v>
      </c>
      <c r="H259">
        <v>483</v>
      </c>
      <c r="I259" t="str">
        <f>VLOOKUP(Продажи[[#This Row],[id товара]],Товары[],2,0)</f>
        <v>Печенье</v>
      </c>
      <c r="J259" s="17">
        <f>AVERAGEIF(Продажи[Категория],Продажи[[#This Row],[Категория]],Продажи[цена за шт в рублях])</f>
        <v>283.468085106383</v>
      </c>
      <c r="K259" s="16">
        <f>Продажи[[#This Row],[цена за шт в рублях]]/Продажи[[#This Row],[Средняя цена в категории за шт]]-1</f>
        <v>0.25234556781505657</v>
      </c>
      <c r="L259" t="str">
        <f>VLOOKUP(Продажи[[#This Row],[id товара]],Товары[],3,0)</f>
        <v>Белогорье</v>
      </c>
      <c r="M259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259" s="16">
        <f>Продажи[[#This Row],[цена за шт в рублях]]/Продажи[[#This Row],[Средняя цена в категории за шт по поставщику]]-1</f>
        <v>0.42284569138276562</v>
      </c>
      <c r="O259" s="48">
        <f>VLOOKUP(Продажи[[#This Row],[id клиента]],клиенты!$A$2:$E$435,5,0)</f>
        <v>44855</v>
      </c>
      <c r="P259">
        <f>Продажи[[#This Row],[дата создания чека]]-Продажи[[#This Row],[Дата регистрации]]</f>
        <v>488</v>
      </c>
      <c r="Q259" t="str">
        <f>VLOOKUP(Продажи[[#This Row],[id клиента]],клиенты!$A$2:$G$435,7,0)</f>
        <v>Россия</v>
      </c>
      <c r="R259">
        <f>IF(COUNTIF($H$2:H259, H259)=1, 1, 0)</f>
        <v>1</v>
      </c>
      <c r="S259" t="str">
        <f>VLOOKUP(Продажи[[#This Row],[id клиента]],клиенты!$A$2:$D$435,4,0)</f>
        <v>да</v>
      </c>
      <c r="T259" s="54">
        <f>VLOOKUP(Продажи[[#This Row],[id клиента]],клиенты!$A$2:$I$435,9,0)</f>
        <v>16.032854209445585</v>
      </c>
    </row>
    <row r="260" spans="1:20" x14ac:dyDescent="0.25">
      <c r="A260">
        <v>259</v>
      </c>
      <c r="B260">
        <v>377</v>
      </c>
      <c r="C260">
        <v>403</v>
      </c>
      <c r="D260">
        <v>4</v>
      </c>
      <c r="E260" s="35">
        <v>8060</v>
      </c>
      <c r="F260" s="48">
        <v>45337</v>
      </c>
      <c r="G260" t="s">
        <v>24</v>
      </c>
      <c r="H260">
        <v>107</v>
      </c>
      <c r="I260" t="str">
        <f>VLOOKUP(Продажи[[#This Row],[id товара]],Товары[],2,0)</f>
        <v>Колбаса</v>
      </c>
      <c r="J260" s="17">
        <f>AVERAGEIF(Продажи[Категория],Продажи[[#This Row],[Категория]],Продажи[цена за шт в рублях])</f>
        <v>286.92307692307691</v>
      </c>
      <c r="K260" s="16">
        <f>Продажи[[#This Row],[цена за шт в рублях]]/Продажи[[#This Row],[Средняя цена в категории за шт]]-1</f>
        <v>0.40455764075067036</v>
      </c>
      <c r="L260" t="str">
        <f>VLOOKUP(Продажи[[#This Row],[id товара]],Товары[],3,0)</f>
        <v>Окраина</v>
      </c>
      <c r="M260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260" s="16">
        <f>Продажи[[#This Row],[цена за шт в рублях]]/Продажи[[#This Row],[Средняя цена в категории за шт по поставщику]]-1</f>
        <v>0.4730429485226928</v>
      </c>
      <c r="O260" s="48">
        <f>VLOOKUP(Продажи[[#This Row],[id клиента]],клиенты!$A$2:$E$435,5,0)</f>
        <v>44744</v>
      </c>
      <c r="P260">
        <f>Продажи[[#This Row],[дата создания чека]]-Продажи[[#This Row],[Дата регистрации]]</f>
        <v>593</v>
      </c>
      <c r="Q260" t="str">
        <f>VLOOKUP(Продажи[[#This Row],[id клиента]],клиенты!$A$2:$G$435,7,0)</f>
        <v>Таджикистан</v>
      </c>
      <c r="R260">
        <f>IF(COUNTIF($H$2:H260, H260)=1, 1, 0)</f>
        <v>1</v>
      </c>
      <c r="S260" t="str">
        <f>VLOOKUP(Продажи[[#This Row],[id клиента]],клиенты!$A$2:$D$435,4,0)</f>
        <v>нет</v>
      </c>
      <c r="T260" s="54">
        <f>VLOOKUP(Продажи[[#This Row],[id клиента]],клиенты!$A$2:$I$435,9,0)</f>
        <v>19.482546201232033</v>
      </c>
    </row>
    <row r="261" spans="1:20" x14ac:dyDescent="0.25">
      <c r="A261">
        <v>260</v>
      </c>
      <c r="B261">
        <v>485</v>
      </c>
      <c r="C261">
        <v>101</v>
      </c>
      <c r="D261">
        <v>1</v>
      </c>
      <c r="E261" s="35">
        <v>505</v>
      </c>
      <c r="F261" s="48">
        <v>45331</v>
      </c>
      <c r="G261" t="s">
        <v>21</v>
      </c>
      <c r="H261">
        <v>51</v>
      </c>
      <c r="I261" t="str">
        <f>VLOOKUP(Продажи[[#This Row],[id товара]],Товары[],2,0)</f>
        <v>Макароны</v>
      </c>
      <c r="J261" s="17">
        <f>AVERAGEIF(Продажи[Категория],Продажи[[#This Row],[Категория]],Продажи[цена за шт в рублях])</f>
        <v>265.47674418604652</v>
      </c>
      <c r="K261" s="16">
        <f>Продажи[[#This Row],[цена за шт в рублях]]/Продажи[[#This Row],[Средняя цена в категории за шт]]-1</f>
        <v>-0.61955236301519867</v>
      </c>
      <c r="L261" t="str">
        <f>VLOOKUP(Продажи[[#This Row],[id товара]],Товары[],3,0)</f>
        <v>Борилла</v>
      </c>
      <c r="M261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261" s="16">
        <f>Продажи[[#This Row],[цена за шт в рублях]]/Продажи[[#This Row],[Средняя цена в категории за шт по поставщику]]-1</f>
        <v>-0.57253356684179801</v>
      </c>
      <c r="O261" s="48">
        <f>VLOOKUP(Продажи[[#This Row],[id клиента]],клиенты!$A$2:$E$435,5,0)</f>
        <v>44605</v>
      </c>
      <c r="P261">
        <f>Продажи[[#This Row],[дата создания чека]]-Продажи[[#This Row],[Дата регистрации]]</f>
        <v>726</v>
      </c>
      <c r="Q261" t="str">
        <f>VLOOKUP(Продажи[[#This Row],[id клиента]],клиенты!$A$2:$G$435,7,0)</f>
        <v>Узбекистан</v>
      </c>
      <c r="R261">
        <f>IF(COUNTIF($H$2:H261, H261)=1, 1, 0)</f>
        <v>1</v>
      </c>
      <c r="S261" t="str">
        <f>VLOOKUP(Продажи[[#This Row],[id клиента]],клиенты!$A$2:$D$435,4,0)</f>
        <v>нет</v>
      </c>
      <c r="T261" s="54">
        <f>VLOOKUP(Продажи[[#This Row],[id клиента]],клиенты!$A$2:$I$435,9,0)</f>
        <v>26.480492813141684</v>
      </c>
    </row>
    <row r="262" spans="1:20" x14ac:dyDescent="0.25">
      <c r="A262">
        <v>261</v>
      </c>
      <c r="B262">
        <v>251</v>
      </c>
      <c r="C262">
        <v>294</v>
      </c>
      <c r="D262">
        <v>1</v>
      </c>
      <c r="E262" s="35">
        <v>1470</v>
      </c>
      <c r="F262" s="48">
        <v>45082</v>
      </c>
      <c r="G262" t="s">
        <v>12</v>
      </c>
      <c r="H262">
        <v>47</v>
      </c>
      <c r="I262" t="str">
        <f>VLOOKUP(Продажи[[#This Row],[id товара]],Товары[],2,0)</f>
        <v>Овощи</v>
      </c>
      <c r="J262" s="17">
        <f>AVERAGEIF(Продажи[Категория],Продажи[[#This Row],[Категория]],Продажи[цена за шт в рублях])</f>
        <v>250.48780487804879</v>
      </c>
      <c r="K262" s="16">
        <f>Продажи[[#This Row],[цена за шт в рублях]]/Продажи[[#This Row],[Средняя цена в категории за шт]]-1</f>
        <v>0.17370983446932819</v>
      </c>
      <c r="L262" t="str">
        <f>VLOOKUP(Продажи[[#This Row],[id товара]],Товары[],3,0)</f>
        <v>Гавриш</v>
      </c>
      <c r="M262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262" s="16">
        <f>Продажи[[#This Row],[цена за шт в рублях]]/Продажи[[#This Row],[Средняя цена в категории за шт по поставщику]]-1</f>
        <v>0.18707940780619126</v>
      </c>
      <c r="O262" s="48">
        <f>VLOOKUP(Продажи[[#This Row],[id клиента]],клиенты!$A$2:$E$435,5,0)</f>
        <v>44693</v>
      </c>
      <c r="P262">
        <f>Продажи[[#This Row],[дата создания чека]]-Продажи[[#This Row],[Дата регистрации]]</f>
        <v>389</v>
      </c>
      <c r="Q262" t="str">
        <f>VLOOKUP(Продажи[[#This Row],[id клиента]],клиенты!$A$2:$G$435,7,0)</f>
        <v>Беларусь</v>
      </c>
      <c r="R262">
        <f>IF(COUNTIF($H$2:H262, H262)=1, 1, 0)</f>
        <v>0</v>
      </c>
      <c r="S262" t="str">
        <f>VLOOKUP(Продажи[[#This Row],[id клиента]],клиенты!$A$2:$D$435,4,0)</f>
        <v>нет</v>
      </c>
      <c r="T262" s="54">
        <f>VLOOKUP(Продажи[[#This Row],[id клиента]],клиенты!$A$2:$I$435,9,0)</f>
        <v>16.525667351129364</v>
      </c>
    </row>
    <row r="263" spans="1:20" x14ac:dyDescent="0.25">
      <c r="A263">
        <v>262</v>
      </c>
      <c r="B263">
        <v>409</v>
      </c>
      <c r="C263">
        <v>299</v>
      </c>
      <c r="D263">
        <v>1</v>
      </c>
      <c r="E263" s="35">
        <v>1495</v>
      </c>
      <c r="F263" s="48">
        <v>45361</v>
      </c>
      <c r="G263" t="s">
        <v>10</v>
      </c>
      <c r="H263">
        <v>411</v>
      </c>
      <c r="I263" t="str">
        <f>VLOOKUP(Продажи[[#This Row],[id товара]],Товары[],2,0)</f>
        <v>Фрукты</v>
      </c>
      <c r="J263" s="17">
        <f>AVERAGEIF(Продажи[Категория],Продажи[[#This Row],[Категория]],Продажи[цена за шт в рублях])</f>
        <v>274.16279069767444</v>
      </c>
      <c r="K263" s="16">
        <f>Продажи[[#This Row],[цена за шт в рублях]]/Продажи[[#This Row],[Средняя цена в категории за шт]]-1</f>
        <v>9.0592925608618202E-2</v>
      </c>
      <c r="L263" t="str">
        <f>VLOOKUP(Продажи[[#This Row],[id товара]],Товары[],3,0)</f>
        <v>Фруктовый Рай</v>
      </c>
      <c r="M263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263" s="16">
        <f>Продажи[[#This Row],[цена за шт в рублях]]/Продажи[[#This Row],[Средняя цена в категории за шт по поставщику]]-1</f>
        <v>0.15753424657534243</v>
      </c>
      <c r="O263" s="48">
        <f>VLOOKUP(Продажи[[#This Row],[id клиента]],клиенты!$A$2:$E$435,5,0)</f>
        <v>44673</v>
      </c>
      <c r="P263">
        <f>Продажи[[#This Row],[дата создания чека]]-Продажи[[#This Row],[Дата регистрации]]</f>
        <v>688</v>
      </c>
      <c r="Q263" t="str">
        <f>VLOOKUP(Продажи[[#This Row],[id клиента]],клиенты!$A$2:$G$435,7,0)</f>
        <v>Таджикистан</v>
      </c>
      <c r="R263">
        <f>IF(COUNTIF($H$2:H263, H263)=1, 1, 0)</f>
        <v>0</v>
      </c>
      <c r="S263" t="str">
        <f>VLOOKUP(Продажи[[#This Row],[id клиента]],клиенты!$A$2:$D$435,4,0)</f>
        <v>нет</v>
      </c>
      <c r="T263" s="54">
        <f>VLOOKUP(Продажи[[#This Row],[id клиента]],клиенты!$A$2:$I$435,9,0)</f>
        <v>22.603696098562629</v>
      </c>
    </row>
    <row r="264" spans="1:20" x14ac:dyDescent="0.25">
      <c r="A264">
        <v>263</v>
      </c>
      <c r="B264">
        <v>422</v>
      </c>
      <c r="C264">
        <v>349</v>
      </c>
      <c r="D264">
        <v>2</v>
      </c>
      <c r="E264" s="35">
        <v>3490</v>
      </c>
      <c r="F264" s="48">
        <v>45045</v>
      </c>
      <c r="G264" t="s">
        <v>18</v>
      </c>
      <c r="H264">
        <v>160</v>
      </c>
      <c r="I264" t="str">
        <f>VLOOKUP(Продажи[[#This Row],[id товара]],Товары[],2,0)</f>
        <v>Кофе</v>
      </c>
      <c r="J264" s="17">
        <f>AVERAGEIF(Продажи[Категория],Продажи[[#This Row],[Категория]],Продажи[цена за шт в рублях])</f>
        <v>249.02380952380952</v>
      </c>
      <c r="K264" s="16">
        <f>Продажи[[#This Row],[цена за шт в рублях]]/Продажи[[#This Row],[Средняя цена в категории за шт]]-1</f>
        <v>0.40147241610096573</v>
      </c>
      <c r="L264" t="str">
        <f>VLOOKUP(Продажи[[#This Row],[id товара]],Товары[],3,0)</f>
        <v>Nescafe</v>
      </c>
      <c r="M264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264" s="16">
        <f>Продажи[[#This Row],[цена за шт в рублях]]/Продажи[[#This Row],[Средняя цена в категории за шт по поставщику]]-1</f>
        <v>0.35850525496302077</v>
      </c>
      <c r="O264" s="48">
        <f>VLOOKUP(Продажи[[#This Row],[id клиента]],клиенты!$A$2:$E$435,5,0)</f>
        <v>44649</v>
      </c>
      <c r="P264">
        <f>Продажи[[#This Row],[дата создания чека]]-Продажи[[#This Row],[Дата регистрации]]</f>
        <v>396</v>
      </c>
      <c r="Q264" t="str">
        <f>VLOOKUP(Продажи[[#This Row],[id клиента]],клиенты!$A$2:$G$435,7,0)</f>
        <v>Узбекистан</v>
      </c>
      <c r="R264">
        <f>IF(COUNTIF($H$2:H264, H264)=1, 1, 0)</f>
        <v>0</v>
      </c>
      <c r="S264" t="str">
        <f>VLOOKUP(Продажи[[#This Row],[id клиента]],клиенты!$A$2:$D$435,4,0)</f>
        <v>да</v>
      </c>
      <c r="T264" s="54">
        <f>VLOOKUP(Продажи[[#This Row],[id клиента]],клиенты!$A$2:$I$435,9,0)</f>
        <v>15.638603696098563</v>
      </c>
    </row>
    <row r="265" spans="1:20" x14ac:dyDescent="0.25">
      <c r="A265">
        <v>264</v>
      </c>
      <c r="B265">
        <v>222</v>
      </c>
      <c r="C265">
        <v>500</v>
      </c>
      <c r="D265">
        <v>2</v>
      </c>
      <c r="E265" s="35">
        <v>5000</v>
      </c>
      <c r="F265" s="48">
        <v>45157</v>
      </c>
      <c r="G265" t="s">
        <v>26</v>
      </c>
      <c r="H265">
        <v>9</v>
      </c>
      <c r="I265" t="str">
        <f>VLOOKUP(Продажи[[#This Row],[id товара]],Товары[],2,0)</f>
        <v>Молоко</v>
      </c>
      <c r="J265" s="17">
        <f>AVERAGEIF(Продажи[Категория],Продажи[[#This Row],[Категория]],Продажи[цена за шт в рублях])</f>
        <v>294.95238095238096</v>
      </c>
      <c r="K265" s="16">
        <f>Продажи[[#This Row],[цена за шт в рублях]]/Продажи[[#This Row],[Средняя цена в категории за шт]]-1</f>
        <v>0.6951888924765901</v>
      </c>
      <c r="L265" t="str">
        <f>VLOOKUP(Продажи[[#This Row],[id товара]],Товары[],3,0)</f>
        <v>Простоквашино</v>
      </c>
      <c r="M265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265" s="16">
        <f>Продажи[[#This Row],[цена за шт в рублях]]/Продажи[[#This Row],[Средняя цена в категории за шт по поставщику]]-1</f>
        <v>0.56829198745366405</v>
      </c>
      <c r="O265" s="48">
        <f>VLOOKUP(Продажи[[#This Row],[id клиента]],клиенты!$A$2:$E$435,5,0)</f>
        <v>44900</v>
      </c>
      <c r="P265">
        <f>Продажи[[#This Row],[дата создания чека]]-Продажи[[#This Row],[Дата регистрации]]</f>
        <v>257</v>
      </c>
      <c r="Q265" t="str">
        <f>VLOOKUP(Продажи[[#This Row],[id клиента]],клиенты!$A$2:$G$435,7,0)</f>
        <v>Таджикистан</v>
      </c>
      <c r="R265">
        <f>IF(COUNTIF($H$2:H265, H265)=1, 1, 0)</f>
        <v>1</v>
      </c>
      <c r="S265" t="str">
        <f>VLOOKUP(Продажи[[#This Row],[id клиента]],клиенты!$A$2:$D$435,4,0)</f>
        <v>да</v>
      </c>
      <c r="T265" s="54">
        <f>VLOOKUP(Продажи[[#This Row],[id клиента]],клиенты!$A$2:$I$435,9,0)</f>
        <v>14.390143737166325</v>
      </c>
    </row>
    <row r="266" spans="1:20" x14ac:dyDescent="0.25">
      <c r="A266">
        <v>265</v>
      </c>
      <c r="B266">
        <v>497</v>
      </c>
      <c r="C266">
        <v>387</v>
      </c>
      <c r="D266">
        <v>2</v>
      </c>
      <c r="E266" s="35">
        <v>3870</v>
      </c>
      <c r="F266" s="48">
        <v>44945</v>
      </c>
      <c r="G266" t="s">
        <v>15</v>
      </c>
      <c r="H266">
        <v>456</v>
      </c>
      <c r="I266" t="str">
        <f>VLOOKUP(Продажи[[#This Row],[id товара]],Товары[],2,0)</f>
        <v>Конфеты</v>
      </c>
      <c r="J266" s="17">
        <f>AVERAGEIF(Продажи[Категория],Продажи[[#This Row],[Категория]],Продажи[цена за шт в рублях])</f>
        <v>267.85483870967744</v>
      </c>
      <c r="K266" s="16">
        <f>Продажи[[#This Row],[цена за шт в рублях]]/Продажи[[#This Row],[Средняя цена в категории за шт]]-1</f>
        <v>0.44481242849400848</v>
      </c>
      <c r="L266" t="str">
        <f>VLOOKUP(Продажи[[#This Row],[id товара]],Товары[],3,0)</f>
        <v>Бабаевский</v>
      </c>
      <c r="M266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266" s="16">
        <f>Продажи[[#This Row],[цена за шт в рублях]]/Продажи[[#This Row],[Средняя цена в категории за шт по поставщику]]-1</f>
        <v>0.5463963297321297</v>
      </c>
      <c r="O266" s="48">
        <f>VLOOKUP(Продажи[[#This Row],[id клиента]],клиенты!$A$2:$E$435,5,0)</f>
        <v>44618</v>
      </c>
      <c r="P266">
        <f>Продажи[[#This Row],[дата создания чека]]-Продажи[[#This Row],[Дата регистрации]]</f>
        <v>327</v>
      </c>
      <c r="Q266" t="str">
        <f>VLOOKUP(Продажи[[#This Row],[id клиента]],клиенты!$A$2:$G$435,7,0)</f>
        <v>Россия</v>
      </c>
      <c r="R266">
        <f>IF(COUNTIF($H$2:H266, H266)=1, 1, 0)</f>
        <v>1</v>
      </c>
      <c r="S266" t="str">
        <f>VLOOKUP(Продажи[[#This Row],[id клиента]],клиенты!$A$2:$D$435,4,0)</f>
        <v>да</v>
      </c>
      <c r="T266" s="54">
        <f>VLOOKUP(Продажи[[#This Row],[id клиента]],клиенты!$A$2:$I$435,9,0)</f>
        <v>20.139630390143736</v>
      </c>
    </row>
    <row r="267" spans="1:20" x14ac:dyDescent="0.25">
      <c r="A267">
        <v>266</v>
      </c>
      <c r="B267">
        <v>217</v>
      </c>
      <c r="C267">
        <v>412</v>
      </c>
      <c r="D267">
        <v>2</v>
      </c>
      <c r="E267" s="35">
        <v>4120</v>
      </c>
      <c r="F267" s="48">
        <v>45174</v>
      </c>
      <c r="G267" t="s">
        <v>19</v>
      </c>
      <c r="H267">
        <v>110</v>
      </c>
      <c r="I267" t="str">
        <f>VLOOKUP(Продажи[[#This Row],[id товара]],Товары[],2,0)</f>
        <v>Мясо</v>
      </c>
      <c r="J267" s="17">
        <f>AVERAGEIF(Продажи[Категория],Продажи[[#This Row],[Категория]],Продажи[цена за шт в рублях])</f>
        <v>271.74545454545455</v>
      </c>
      <c r="K267" s="16">
        <f>Продажи[[#This Row],[цена за шт в рублях]]/Продажи[[#This Row],[Средняя цена в категории за шт]]-1</f>
        <v>0.51612471564298135</v>
      </c>
      <c r="L267" t="str">
        <f>VLOOKUP(Продажи[[#This Row],[id товара]],Товары[],3,0)</f>
        <v>Агрокомплекс</v>
      </c>
      <c r="M267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267" s="16">
        <f>Продажи[[#This Row],[цена за шт в рублях]]/Продажи[[#This Row],[Средняя цена в категории за шт по поставщику]]-1</f>
        <v>0.32390745501285356</v>
      </c>
      <c r="O267" s="48">
        <f>VLOOKUP(Продажи[[#This Row],[id клиента]],клиенты!$A$2:$E$435,5,0)</f>
        <v>44580</v>
      </c>
      <c r="P267">
        <f>Продажи[[#This Row],[дата создания чека]]-Продажи[[#This Row],[Дата регистрации]]</f>
        <v>594</v>
      </c>
      <c r="Q267" t="str">
        <f>VLOOKUP(Продажи[[#This Row],[id клиента]],клиенты!$A$2:$G$435,7,0)</f>
        <v>Узбекистан</v>
      </c>
      <c r="R267">
        <f>IF(COUNTIF($H$2:H267, H267)=1, 1, 0)</f>
        <v>1</v>
      </c>
      <c r="S267" t="str">
        <f>VLOOKUP(Продажи[[#This Row],[id клиента]],клиенты!$A$2:$D$435,4,0)</f>
        <v>нет</v>
      </c>
      <c r="T267" s="54">
        <f>VLOOKUP(Продажи[[#This Row],[id клиента]],клиенты!$A$2:$I$435,9,0)</f>
        <v>21.782340862422998</v>
      </c>
    </row>
    <row r="268" spans="1:20" x14ac:dyDescent="0.25">
      <c r="A268">
        <v>267</v>
      </c>
      <c r="B268">
        <v>351</v>
      </c>
      <c r="C268">
        <v>155</v>
      </c>
      <c r="D268">
        <v>5</v>
      </c>
      <c r="E268" s="35">
        <v>3875</v>
      </c>
      <c r="F268" s="48">
        <v>45189</v>
      </c>
      <c r="G268" t="s">
        <v>17</v>
      </c>
      <c r="H268">
        <v>216</v>
      </c>
      <c r="I268" t="str">
        <f>VLOOKUP(Продажи[[#This Row],[id товара]],Товары[],2,0)</f>
        <v>Чипсы</v>
      </c>
      <c r="J268" s="17">
        <f>AVERAGEIF(Продажи[Категория],Продажи[[#This Row],[Категория]],Продажи[цена за шт в рублях])</f>
        <v>273.72549019607845</v>
      </c>
      <c r="K268" s="16">
        <f>Продажи[[#This Row],[цена за шт в рублях]]/Продажи[[#This Row],[Средняя цена в категории за шт]]-1</f>
        <v>-0.43373925501432664</v>
      </c>
      <c r="L268" t="str">
        <f>VLOOKUP(Продажи[[#This Row],[id товара]],Товары[],3,0)</f>
        <v>Русская картошка</v>
      </c>
      <c r="M268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268" s="16">
        <f>Продажи[[#This Row],[цена за шт в рублях]]/Продажи[[#This Row],[Средняя цена в категории за шт по поставщику]]-1</f>
        <v>-0.35906271536871126</v>
      </c>
      <c r="O268" s="48">
        <f>VLOOKUP(Продажи[[#This Row],[id клиента]],клиенты!$A$2:$E$435,5,0)</f>
        <v>44655</v>
      </c>
      <c r="P268">
        <f>Продажи[[#This Row],[дата создания чека]]-Продажи[[#This Row],[Дата регистрации]]</f>
        <v>534</v>
      </c>
      <c r="Q268" t="str">
        <f>VLOOKUP(Продажи[[#This Row],[id клиента]],клиенты!$A$2:$G$435,7,0)</f>
        <v>Таджикистан</v>
      </c>
      <c r="R268">
        <f>IF(COUNTIF($H$2:H268, H268)=1, 1, 0)</f>
        <v>1</v>
      </c>
      <c r="S268" t="str">
        <f>VLOOKUP(Продажи[[#This Row],[id клиента]],клиенты!$A$2:$D$435,4,0)</f>
        <v>нет</v>
      </c>
      <c r="T268" s="54">
        <f>VLOOKUP(Продажи[[#This Row],[id клиента]],клиенты!$A$2:$I$435,9,0)</f>
        <v>19.022587268993838</v>
      </c>
    </row>
    <row r="269" spans="1:20" x14ac:dyDescent="0.25">
      <c r="A269">
        <v>268</v>
      </c>
      <c r="B269">
        <v>494</v>
      </c>
      <c r="C269">
        <v>214</v>
      </c>
      <c r="D269">
        <v>1</v>
      </c>
      <c r="E269" s="35">
        <v>1070</v>
      </c>
      <c r="F269" s="48">
        <v>45029</v>
      </c>
      <c r="G269" t="s">
        <v>14</v>
      </c>
      <c r="H269">
        <v>424</v>
      </c>
      <c r="I269" t="str">
        <f>VLOOKUP(Продажи[[#This Row],[id товара]],Товары[],2,0)</f>
        <v>Сыр</v>
      </c>
      <c r="J269" s="17">
        <f>AVERAGEIF(Продажи[Категория],Продажи[[#This Row],[Категория]],Продажи[цена за шт в рублях])</f>
        <v>262.63492063492066</v>
      </c>
      <c r="K269" s="16">
        <f>Продажи[[#This Row],[цена за шт в рублях]]/Продажи[[#This Row],[Средняя цена в категории за шт]]-1</f>
        <v>-0.18518070832829692</v>
      </c>
      <c r="L269" t="str">
        <f>VLOOKUP(Продажи[[#This Row],[id товара]],Товары[],3,0)</f>
        <v>Сырная долина</v>
      </c>
      <c r="M269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269" s="16">
        <f>Продажи[[#This Row],[цена за шт в рублях]]/Продажи[[#This Row],[Средняя цена в категории за шт по поставщику]]-1</f>
        <v>-0.21033210332103325</v>
      </c>
      <c r="O269" s="48">
        <f>VLOOKUP(Продажи[[#This Row],[id клиента]],клиенты!$A$2:$E$435,5,0)</f>
        <v>44585</v>
      </c>
      <c r="P269">
        <f>Продажи[[#This Row],[дата создания чека]]-Продажи[[#This Row],[Дата регистрации]]</f>
        <v>444</v>
      </c>
      <c r="Q269" t="str">
        <f>VLOOKUP(Продажи[[#This Row],[id клиента]],клиенты!$A$2:$G$435,7,0)</f>
        <v>Россия</v>
      </c>
      <c r="R269">
        <f>IF(COUNTIF($H$2:H269, H269)=1, 1, 0)</f>
        <v>0</v>
      </c>
      <c r="S269" t="str">
        <f>VLOOKUP(Продажи[[#This Row],[id клиента]],клиенты!$A$2:$D$435,4,0)</f>
        <v>да</v>
      </c>
      <c r="T269" s="54">
        <f>VLOOKUP(Продажи[[#This Row],[id клиента]],клиенты!$A$2:$I$435,9,0)</f>
        <v>20.632443531827516</v>
      </c>
    </row>
    <row r="270" spans="1:20" x14ac:dyDescent="0.25">
      <c r="A270">
        <v>269</v>
      </c>
      <c r="B270">
        <v>464</v>
      </c>
      <c r="C270">
        <v>290</v>
      </c>
      <c r="D270">
        <v>3</v>
      </c>
      <c r="E270" s="35">
        <v>4350</v>
      </c>
      <c r="F270" s="48">
        <v>45185</v>
      </c>
      <c r="G270" t="s">
        <v>22</v>
      </c>
      <c r="H270">
        <v>77</v>
      </c>
      <c r="I270" t="str">
        <f>VLOOKUP(Продажи[[#This Row],[id товара]],Товары[],2,0)</f>
        <v>Сыр</v>
      </c>
      <c r="J270" s="17">
        <f>AVERAGEIF(Продажи[Категория],Продажи[[#This Row],[Категория]],Продажи[цена за шт в рублях])</f>
        <v>262.63492063492066</v>
      </c>
      <c r="K270" s="16">
        <f>Продажи[[#This Row],[цена за шт в рублях]]/Продажи[[#This Row],[Средняя цена в категории за шт]]-1</f>
        <v>0.10419436721866293</v>
      </c>
      <c r="L270" t="str">
        <f>VLOOKUP(Продажи[[#This Row],[id товара]],Товары[],3,0)</f>
        <v>Сырная долина</v>
      </c>
      <c r="M270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270" s="16">
        <f>Продажи[[#This Row],[цена за шт в рублях]]/Продажи[[#This Row],[Средняя цена в категории за шт по поставщику]]-1</f>
        <v>7.0110701107011009E-2</v>
      </c>
      <c r="O270" s="48">
        <f>VLOOKUP(Продажи[[#This Row],[id клиента]],клиенты!$A$2:$E$435,5,0)</f>
        <v>44644</v>
      </c>
      <c r="P270">
        <f>Продажи[[#This Row],[дата создания чека]]-Продажи[[#This Row],[Дата регистрации]]</f>
        <v>541</v>
      </c>
      <c r="Q270" t="str">
        <f>VLOOKUP(Продажи[[#This Row],[id клиента]],клиенты!$A$2:$G$435,7,0)</f>
        <v>Россия</v>
      </c>
      <c r="R270">
        <f>IF(COUNTIF($H$2:H270, H270)=1, 1, 0)</f>
        <v>1</v>
      </c>
      <c r="S270" t="str">
        <f>VLOOKUP(Продажи[[#This Row],[id клиента]],клиенты!$A$2:$D$435,4,0)</f>
        <v>нет</v>
      </c>
      <c r="T270" s="54">
        <f>VLOOKUP(Продажи[[#This Row],[id клиента]],клиенты!$A$2:$I$435,9,0)</f>
        <v>19.581108829568787</v>
      </c>
    </row>
    <row r="271" spans="1:20" x14ac:dyDescent="0.25">
      <c r="A271">
        <v>270</v>
      </c>
      <c r="B271">
        <v>462</v>
      </c>
      <c r="C271">
        <v>271</v>
      </c>
      <c r="D271">
        <v>2</v>
      </c>
      <c r="E271" s="35">
        <v>2710</v>
      </c>
      <c r="F271" s="48">
        <v>44976</v>
      </c>
      <c r="G271" t="s">
        <v>8</v>
      </c>
      <c r="H271">
        <v>192</v>
      </c>
      <c r="I271" t="str">
        <f>VLOOKUP(Продажи[[#This Row],[id товара]],Товары[],2,0)</f>
        <v>Рис</v>
      </c>
      <c r="J271" s="17">
        <f>AVERAGEIF(Продажи[Категория],Продажи[[#This Row],[Категория]],Продажи[цена за шт в рублях])</f>
        <v>258.375</v>
      </c>
      <c r="K271" s="16">
        <f>Продажи[[#This Row],[цена за шт в рублях]]/Продажи[[#This Row],[Средняя цена в категории за шт]]-1</f>
        <v>4.8863086598935679E-2</v>
      </c>
      <c r="L271" t="str">
        <f>VLOOKUP(Продажи[[#This Row],[id товара]],Товары[],3,0)</f>
        <v>Белый Злат</v>
      </c>
      <c r="M271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271" s="16">
        <f>Продажи[[#This Row],[цена за шт в рублях]]/Продажи[[#This Row],[Средняя цена в категории за шт по поставщику]]-1</f>
        <v>4.7982551799345963E-3</v>
      </c>
      <c r="O271" s="48">
        <f>VLOOKUP(Продажи[[#This Row],[id клиента]],клиенты!$A$2:$E$435,5,0)</f>
        <v>44572</v>
      </c>
      <c r="P271">
        <f>Продажи[[#This Row],[дата создания чека]]-Продажи[[#This Row],[Дата регистрации]]</f>
        <v>404</v>
      </c>
      <c r="Q271" t="str">
        <f>VLOOKUP(Продажи[[#This Row],[id клиента]],клиенты!$A$2:$G$435,7,0)</f>
        <v>Россия</v>
      </c>
      <c r="R271">
        <f>IF(COUNTIF($H$2:H271, H271)=1, 1, 0)</f>
        <v>1</v>
      </c>
      <c r="S271" t="str">
        <f>VLOOKUP(Продажи[[#This Row],[id клиента]],клиенты!$A$2:$D$435,4,0)</f>
        <v>да</v>
      </c>
      <c r="T271" s="54">
        <f>VLOOKUP(Продажи[[#This Row],[id клиента]],клиенты!$A$2:$I$435,9,0)</f>
        <v>13.273100616016427</v>
      </c>
    </row>
    <row r="272" spans="1:20" x14ac:dyDescent="0.25">
      <c r="A272">
        <v>271</v>
      </c>
      <c r="B272">
        <v>102</v>
      </c>
      <c r="C272">
        <v>326</v>
      </c>
      <c r="D272">
        <v>2</v>
      </c>
      <c r="E272" s="35">
        <v>3260</v>
      </c>
      <c r="F272" s="48">
        <v>45142</v>
      </c>
      <c r="G272" t="s">
        <v>24</v>
      </c>
      <c r="H272">
        <v>130</v>
      </c>
      <c r="I272" t="str">
        <f>VLOOKUP(Продажи[[#This Row],[id товара]],Товары[],2,0)</f>
        <v>Печенье</v>
      </c>
      <c r="J272" s="17">
        <f>AVERAGEIF(Продажи[Категория],Продажи[[#This Row],[Категория]],Продажи[цена за шт в рублях])</f>
        <v>283.468085106383</v>
      </c>
      <c r="K272" s="16">
        <f>Продажи[[#This Row],[цена за шт в рублях]]/Продажи[[#This Row],[Средняя цена в категории за шт]]-1</f>
        <v>0.15004128199354483</v>
      </c>
      <c r="L272" t="str">
        <f>VLOOKUP(Продажи[[#This Row],[id товара]],Товары[],3,0)</f>
        <v>Белогорье</v>
      </c>
      <c r="M272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272" s="16">
        <f>Продажи[[#This Row],[цена за шт в рублях]]/Продажи[[#This Row],[Средняя цена в категории за шт по поставщику]]-1</f>
        <v>0.30661322645290578</v>
      </c>
      <c r="O272" s="48">
        <f>VLOOKUP(Продажи[[#This Row],[id клиента]],клиенты!$A$2:$E$435,5,0)</f>
        <v>44863</v>
      </c>
      <c r="P272">
        <f>Продажи[[#This Row],[дата создания чека]]-Продажи[[#This Row],[Дата регистрации]]</f>
        <v>279</v>
      </c>
      <c r="Q272" t="str">
        <f>VLOOKUP(Продажи[[#This Row],[id клиента]],клиенты!$A$2:$G$435,7,0)</f>
        <v>Таджикистан</v>
      </c>
      <c r="R272">
        <f>IF(COUNTIF($H$2:H272, H272)=1, 1, 0)</f>
        <v>0</v>
      </c>
      <c r="S272" t="str">
        <f>VLOOKUP(Продажи[[#This Row],[id клиента]],клиенты!$A$2:$D$435,4,0)</f>
        <v>нет</v>
      </c>
      <c r="T272" s="54">
        <f>VLOOKUP(Продажи[[#This Row],[id клиента]],клиенты!$A$2:$I$435,9,0)</f>
        <v>10.809034907597535</v>
      </c>
    </row>
    <row r="273" spans="1:20" x14ac:dyDescent="0.25">
      <c r="A273">
        <v>272</v>
      </c>
      <c r="B273">
        <v>345</v>
      </c>
      <c r="C273">
        <v>420</v>
      </c>
      <c r="D273">
        <v>2</v>
      </c>
      <c r="E273" s="35">
        <v>4200</v>
      </c>
      <c r="F273" s="48">
        <v>45037</v>
      </c>
      <c r="G273" t="s">
        <v>19</v>
      </c>
      <c r="H273">
        <v>308</v>
      </c>
      <c r="I273" t="str">
        <f>VLOOKUP(Продажи[[#This Row],[id товара]],Товары[],2,0)</f>
        <v>Конфеты</v>
      </c>
      <c r="J273" s="17">
        <f>AVERAGEIF(Продажи[Категория],Продажи[[#This Row],[Категория]],Продажи[цена за шт в рублях])</f>
        <v>267.85483870967744</v>
      </c>
      <c r="K273" s="16">
        <f>Продажи[[#This Row],[цена за шт в рублях]]/Продажи[[#This Row],[Средняя цена в категории за шт]]-1</f>
        <v>0.56801348828807119</v>
      </c>
      <c r="L273" t="str">
        <f>VLOOKUP(Продажи[[#This Row],[id товара]],Товары[],3,0)</f>
        <v>Рот Фронт</v>
      </c>
      <c r="M273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273" s="16">
        <f>Продажи[[#This Row],[цена за шт в рублях]]/Продажи[[#This Row],[Средняя цена в категории за шт по поставщику]]-1</f>
        <v>0.45712869651412524</v>
      </c>
      <c r="O273" s="48">
        <f>VLOOKUP(Продажи[[#This Row],[id клиента]],клиенты!$A$2:$E$435,5,0)</f>
        <v>44562</v>
      </c>
      <c r="P273">
        <f>Продажи[[#This Row],[дата создания чека]]-Продажи[[#This Row],[Дата регистрации]]</f>
        <v>475</v>
      </c>
      <c r="Q273" t="str">
        <f>VLOOKUP(Продажи[[#This Row],[id клиента]],клиенты!$A$2:$G$435,7,0)</f>
        <v>Беларусь</v>
      </c>
      <c r="R273">
        <f>IF(COUNTIF($H$2:H273, H273)=1, 1, 0)</f>
        <v>1</v>
      </c>
      <c r="S273" t="str">
        <f>VLOOKUP(Продажи[[#This Row],[id клиента]],клиенты!$A$2:$D$435,4,0)</f>
        <v>да</v>
      </c>
      <c r="T273" s="54">
        <f>VLOOKUP(Продажи[[#This Row],[id клиента]],клиенты!$A$2:$I$435,9,0)</f>
        <v>15.605749486652977</v>
      </c>
    </row>
    <row r="274" spans="1:20" x14ac:dyDescent="0.25">
      <c r="A274">
        <v>273</v>
      </c>
      <c r="B274">
        <v>445</v>
      </c>
      <c r="C274">
        <v>71</v>
      </c>
      <c r="D274">
        <v>4</v>
      </c>
      <c r="E274" s="35">
        <v>1420</v>
      </c>
      <c r="F274" s="48">
        <v>45250</v>
      </c>
      <c r="G274" t="s">
        <v>25</v>
      </c>
      <c r="H274">
        <v>455</v>
      </c>
      <c r="I274" t="str">
        <f>VLOOKUP(Продажи[[#This Row],[id товара]],Товары[],2,0)</f>
        <v>Сахар</v>
      </c>
      <c r="J274" s="17">
        <f>AVERAGEIF(Продажи[Категория],Продажи[[#This Row],[Категория]],Продажи[цена за шт в рублях])</f>
        <v>252.76271186440678</v>
      </c>
      <c r="K274" s="16">
        <f>Продажи[[#This Row],[цена за шт в рублях]]/Продажи[[#This Row],[Средняя цена в категории за шт]]-1</f>
        <v>-0.71910413732984646</v>
      </c>
      <c r="L274" t="str">
        <f>VLOOKUP(Продажи[[#This Row],[id товара]],Товары[],3,0)</f>
        <v>Сладов</v>
      </c>
      <c r="M274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274" s="16">
        <f>Продажи[[#This Row],[цена за шт в рублях]]/Продажи[[#This Row],[Средняя цена в категории за шт по поставщику]]-1</f>
        <v>-0.7044950055493896</v>
      </c>
      <c r="O274" s="48">
        <f>VLOOKUP(Продажи[[#This Row],[id клиента]],клиенты!$A$2:$E$435,5,0)</f>
        <v>44820</v>
      </c>
      <c r="P274">
        <f>Продажи[[#This Row],[дата создания чека]]-Продажи[[#This Row],[Дата регистрации]]</f>
        <v>430</v>
      </c>
      <c r="Q274" t="str">
        <f>VLOOKUP(Продажи[[#This Row],[id клиента]],клиенты!$A$2:$G$435,7,0)</f>
        <v>Украина</v>
      </c>
      <c r="R274">
        <f>IF(COUNTIF($H$2:H274, H274)=1, 1, 0)</f>
        <v>1</v>
      </c>
      <c r="S274" t="str">
        <f>VLOOKUP(Продажи[[#This Row],[id клиента]],клиенты!$A$2:$D$435,4,0)</f>
        <v>да</v>
      </c>
      <c r="T274" s="54">
        <f>VLOOKUP(Продажи[[#This Row],[id клиента]],клиенты!$A$2:$I$435,9,0)</f>
        <v>14.127310061601642</v>
      </c>
    </row>
    <row r="275" spans="1:20" x14ac:dyDescent="0.25">
      <c r="A275">
        <v>274</v>
      </c>
      <c r="B275">
        <v>241</v>
      </c>
      <c r="C275">
        <v>400</v>
      </c>
      <c r="D275">
        <v>3</v>
      </c>
      <c r="E275" s="35">
        <v>6000</v>
      </c>
      <c r="F275" s="48">
        <v>45371</v>
      </c>
      <c r="G275" t="s">
        <v>25</v>
      </c>
      <c r="H275">
        <v>490</v>
      </c>
      <c r="I275" t="str">
        <f>VLOOKUP(Продажи[[#This Row],[id товара]],Товары[],2,0)</f>
        <v>Колбаса</v>
      </c>
      <c r="J275" s="17">
        <f>AVERAGEIF(Продажи[Категория],Продажи[[#This Row],[Категория]],Продажи[цена за шт в рублях])</f>
        <v>286.92307692307691</v>
      </c>
      <c r="K275" s="16">
        <f>Продажи[[#This Row],[цена за шт в рублях]]/Продажи[[#This Row],[Средняя цена в категории за шт]]-1</f>
        <v>0.39410187667560326</v>
      </c>
      <c r="L275" t="str">
        <f>VLOOKUP(Продажи[[#This Row],[id товара]],Товары[],3,0)</f>
        <v>Окраина</v>
      </c>
      <c r="M275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275" s="16">
        <f>Продажи[[#This Row],[цена за шт в рублях]]/Продажи[[#This Row],[Средняя цена в категории за шт по поставщику]]-1</f>
        <v>0.46207736826073731</v>
      </c>
      <c r="O275" s="48">
        <f>VLOOKUP(Продажи[[#This Row],[id клиента]],клиенты!$A$2:$E$435,5,0)</f>
        <v>44603</v>
      </c>
      <c r="P275">
        <f>Продажи[[#This Row],[дата создания чека]]-Продажи[[#This Row],[Дата регистрации]]</f>
        <v>768</v>
      </c>
      <c r="Q275" t="str">
        <f>VLOOKUP(Продажи[[#This Row],[id клиента]],клиенты!$A$2:$G$435,7,0)</f>
        <v>Россия</v>
      </c>
      <c r="R275">
        <f>IF(COUNTIF($H$2:H275, H275)=1, 1, 0)</f>
        <v>0</v>
      </c>
      <c r="S275" t="str">
        <f>VLOOKUP(Продажи[[#This Row],[id клиента]],клиенты!$A$2:$D$435,4,0)</f>
        <v>нет</v>
      </c>
      <c r="T275" s="54">
        <f>VLOOKUP(Продажи[[#This Row],[id клиента]],клиенты!$A$2:$I$435,9,0)</f>
        <v>25.232032854209447</v>
      </c>
    </row>
    <row r="276" spans="1:20" x14ac:dyDescent="0.25">
      <c r="A276">
        <v>275</v>
      </c>
      <c r="B276">
        <v>258</v>
      </c>
      <c r="C276">
        <v>109</v>
      </c>
      <c r="D276">
        <v>2</v>
      </c>
      <c r="E276" s="35">
        <v>1090</v>
      </c>
      <c r="F276" s="48">
        <v>45416</v>
      </c>
      <c r="G276" t="s">
        <v>10</v>
      </c>
      <c r="H276">
        <v>480</v>
      </c>
      <c r="I276" t="str">
        <f>VLOOKUP(Продажи[[#This Row],[id товара]],Товары[],2,0)</f>
        <v>Рыба</v>
      </c>
      <c r="J276" s="17">
        <f>AVERAGEIF(Продажи[Категория],Продажи[[#This Row],[Категория]],Продажи[цена за шт в рублях])</f>
        <v>258.5128205128205</v>
      </c>
      <c r="K276" s="16">
        <f>Продажи[[#This Row],[цена за шт в рублях]]/Продажи[[#This Row],[Средняя цена в категории за шт]]-1</f>
        <v>-0.5783574687561992</v>
      </c>
      <c r="L276" t="str">
        <f>VLOOKUP(Продажи[[#This Row],[id товара]],Товары[],3,0)</f>
        <v>Санта Бремор</v>
      </c>
      <c r="M276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276" s="16">
        <f>Продажи[[#This Row],[цена за шт в рублях]]/Продажи[[#This Row],[Средняя цена в категории за шт по поставщику]]-1</f>
        <v>-0.4963031423290204</v>
      </c>
      <c r="O276" s="48">
        <f>VLOOKUP(Продажи[[#This Row],[id клиента]],клиенты!$A$2:$E$435,5,0)</f>
        <v>44568</v>
      </c>
      <c r="P276">
        <f>Продажи[[#This Row],[дата создания чека]]-Продажи[[#This Row],[Дата регистрации]]</f>
        <v>848</v>
      </c>
      <c r="Q276" t="str">
        <f>VLOOKUP(Продажи[[#This Row],[id клиента]],клиенты!$A$2:$G$435,7,0)</f>
        <v>Узбекистан</v>
      </c>
      <c r="R276">
        <f>IF(COUNTIF($H$2:H276, H276)=1, 1, 0)</f>
        <v>1</v>
      </c>
      <c r="S276" t="str">
        <f>VLOOKUP(Продажи[[#This Row],[id клиента]],клиенты!$A$2:$D$435,4,0)</f>
        <v>да</v>
      </c>
      <c r="T276" s="54">
        <f>VLOOKUP(Продажи[[#This Row],[id клиента]],клиенты!$A$2:$I$435,9,0)</f>
        <v>27.860369609856264</v>
      </c>
    </row>
    <row r="277" spans="1:20" x14ac:dyDescent="0.25">
      <c r="A277">
        <v>276</v>
      </c>
      <c r="B277">
        <v>376</v>
      </c>
      <c r="C277">
        <v>217</v>
      </c>
      <c r="D277">
        <v>1</v>
      </c>
      <c r="E277" s="35">
        <v>1085</v>
      </c>
      <c r="F277" s="48">
        <v>45199</v>
      </c>
      <c r="G277" t="s">
        <v>12</v>
      </c>
      <c r="H277">
        <v>321</v>
      </c>
      <c r="I277" t="str">
        <f>VLOOKUP(Продажи[[#This Row],[id товара]],Товары[],2,0)</f>
        <v>Конфеты</v>
      </c>
      <c r="J277" s="17">
        <f>AVERAGEIF(Продажи[Категория],Продажи[[#This Row],[Категория]],Продажи[цена за шт в рублях])</f>
        <v>267.85483870967744</v>
      </c>
      <c r="K277" s="16">
        <f>Продажи[[#This Row],[цена за шт в рублях]]/Продажи[[#This Row],[Средняя цена в категории за шт]]-1</f>
        <v>-0.18985969771782985</v>
      </c>
      <c r="L277" t="str">
        <f>VLOOKUP(Продажи[[#This Row],[id товара]],Товары[],3,0)</f>
        <v>Красный Октябрь</v>
      </c>
      <c r="M277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277" s="16">
        <f>Продажи[[#This Row],[цена за шт в рублях]]/Продажи[[#This Row],[Средняя цена в категории за шт по поставщику]]-1</f>
        <v>-0.20694380995888528</v>
      </c>
      <c r="O277" s="48">
        <f>VLOOKUP(Продажи[[#This Row],[id клиента]],клиенты!$A$2:$E$435,5,0)</f>
        <v>44756</v>
      </c>
      <c r="P277">
        <f>Продажи[[#This Row],[дата создания чека]]-Продажи[[#This Row],[Дата регистрации]]</f>
        <v>443</v>
      </c>
      <c r="Q277" t="str">
        <f>VLOOKUP(Продажи[[#This Row],[id клиента]],клиенты!$A$2:$G$435,7,0)</f>
        <v>Таджикистан</v>
      </c>
      <c r="R277">
        <f>IF(COUNTIF($H$2:H277, H277)=1, 1, 0)</f>
        <v>0</v>
      </c>
      <c r="S277" t="str">
        <f>VLOOKUP(Продажи[[#This Row],[id клиента]],клиенты!$A$2:$D$435,4,0)</f>
        <v>нет</v>
      </c>
      <c r="T277" s="54">
        <f>VLOOKUP(Продажи[[#This Row],[id клиента]],клиенты!$A$2:$I$435,9,0)</f>
        <v>16.95277207392197</v>
      </c>
    </row>
    <row r="278" spans="1:20" x14ac:dyDescent="0.25">
      <c r="A278">
        <v>277</v>
      </c>
      <c r="B278">
        <v>7</v>
      </c>
      <c r="C278">
        <v>104</v>
      </c>
      <c r="D278">
        <v>1</v>
      </c>
      <c r="E278" s="35">
        <v>520</v>
      </c>
      <c r="F278" s="48">
        <v>44989</v>
      </c>
      <c r="G278" t="s">
        <v>15</v>
      </c>
      <c r="H278">
        <v>496</v>
      </c>
      <c r="I278" t="str">
        <f>VLOOKUP(Продажи[[#This Row],[id товара]],Товары[],2,0)</f>
        <v>Сыр</v>
      </c>
      <c r="J278" s="17">
        <f>AVERAGEIF(Продажи[Категория],Продажи[[#This Row],[Категория]],Продажи[цена за шт в рублях])</f>
        <v>262.63492063492066</v>
      </c>
      <c r="K278" s="16">
        <f>Продажи[[#This Row],[цена за шт в рублях]]/Продажи[[#This Row],[Средняя цена в категории за шт]]-1</f>
        <v>-0.60401305451468634</v>
      </c>
      <c r="L278" t="str">
        <f>VLOOKUP(Продажи[[#This Row],[id товара]],Товары[],3,0)</f>
        <v>President</v>
      </c>
      <c r="M278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278" s="16">
        <f>Продажи[[#This Row],[цена за шт в рублях]]/Продажи[[#This Row],[Средняя цена в категории за шт по поставщику]]-1</f>
        <v>-0.56434721898999296</v>
      </c>
      <c r="O278" s="48">
        <f>VLOOKUP(Продажи[[#This Row],[id клиента]],клиенты!$A$2:$E$435,5,0)</f>
        <v>44867</v>
      </c>
      <c r="P278">
        <f>Продажи[[#This Row],[дата создания чека]]-Продажи[[#This Row],[Дата регистрации]]</f>
        <v>122</v>
      </c>
      <c r="Q278" t="str">
        <f>VLOOKUP(Продажи[[#This Row],[id клиента]],клиенты!$A$2:$G$435,7,0)</f>
        <v>Украина</v>
      </c>
      <c r="R278">
        <f>IF(COUNTIF($H$2:H278, H278)=1, 1, 0)</f>
        <v>0</v>
      </c>
      <c r="S278" t="str">
        <f>VLOOKUP(Продажи[[#This Row],[id клиента]],клиенты!$A$2:$D$435,4,0)</f>
        <v>да</v>
      </c>
      <c r="T278" s="54">
        <f>VLOOKUP(Продажи[[#This Row],[id клиента]],клиенты!$A$2:$I$435,9,0)</f>
        <v>16.788501026694046</v>
      </c>
    </row>
    <row r="279" spans="1:20" x14ac:dyDescent="0.25">
      <c r="A279">
        <v>278</v>
      </c>
      <c r="B279">
        <v>428</v>
      </c>
      <c r="C279">
        <v>428</v>
      </c>
      <c r="D279">
        <v>4</v>
      </c>
      <c r="E279" s="35">
        <v>8560</v>
      </c>
      <c r="F279" s="48">
        <v>45123</v>
      </c>
      <c r="G279" t="s">
        <v>18</v>
      </c>
      <c r="H279">
        <v>203</v>
      </c>
      <c r="I279" t="str">
        <f>VLOOKUP(Продажи[[#This Row],[id товара]],Товары[],2,0)</f>
        <v>Конфеты</v>
      </c>
      <c r="J279" s="17">
        <f>AVERAGEIF(Продажи[Категория],Продажи[[#This Row],[Категория]],Продажи[цена за шт в рублях])</f>
        <v>267.85483870967744</v>
      </c>
      <c r="K279" s="16">
        <f>Продажи[[#This Row],[цена за шт в рублях]]/Продажи[[#This Row],[Средняя цена в категории за шт]]-1</f>
        <v>0.59788041187451069</v>
      </c>
      <c r="L279" t="str">
        <f>VLOOKUP(Продажи[[#This Row],[id товара]],Товары[],3,0)</f>
        <v>Бабаевский</v>
      </c>
      <c r="M279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279" s="16">
        <f>Продажи[[#This Row],[цена за шт в рублях]]/Продажи[[#This Row],[Средняя цена в категории за шт по поставщику]]-1</f>
        <v>0.71022643184845347</v>
      </c>
      <c r="O279" s="48">
        <f>VLOOKUP(Продажи[[#This Row],[id клиента]],клиенты!$A$2:$E$435,5,0)</f>
        <v>44685</v>
      </c>
      <c r="P279">
        <f>Продажи[[#This Row],[дата создания чека]]-Продажи[[#This Row],[Дата регистрации]]</f>
        <v>438</v>
      </c>
      <c r="Q279" t="str">
        <f>VLOOKUP(Продажи[[#This Row],[id клиента]],клиенты!$A$2:$G$435,7,0)</f>
        <v>Россия</v>
      </c>
      <c r="R279">
        <f>IF(COUNTIF($H$2:H279, H279)=1, 1, 0)</f>
        <v>1</v>
      </c>
      <c r="S279" t="str">
        <f>VLOOKUP(Продажи[[#This Row],[id клиента]],клиенты!$A$2:$D$435,4,0)</f>
        <v>нет</v>
      </c>
      <c r="T279" s="54">
        <f>VLOOKUP(Продажи[[#This Row],[id клиента]],клиенты!$A$2:$I$435,9,0)</f>
        <v>15.178644763860369</v>
      </c>
    </row>
    <row r="280" spans="1:20" x14ac:dyDescent="0.25">
      <c r="A280">
        <v>279</v>
      </c>
      <c r="B280">
        <v>216</v>
      </c>
      <c r="C280">
        <v>83</v>
      </c>
      <c r="D280">
        <v>3</v>
      </c>
      <c r="E280" s="35">
        <v>1245</v>
      </c>
      <c r="F280" s="48">
        <v>45033</v>
      </c>
      <c r="G280" t="s">
        <v>17</v>
      </c>
      <c r="H280">
        <v>457</v>
      </c>
      <c r="I280" t="str">
        <f>VLOOKUP(Продажи[[#This Row],[id товара]],Товары[],2,0)</f>
        <v>Кофе</v>
      </c>
      <c r="J280" s="17">
        <f>AVERAGEIF(Продажи[Категория],Продажи[[#This Row],[Категория]],Продажи[цена за шт в рублях])</f>
        <v>249.02380952380952</v>
      </c>
      <c r="K280" s="16">
        <f>Продажи[[#This Row],[цена за шт в рублях]]/Продажи[[#This Row],[Средняя цена в категории за шт]]-1</f>
        <v>-0.66669853714504246</v>
      </c>
      <c r="L280" t="str">
        <f>VLOOKUP(Продажи[[#This Row],[id товара]],Товары[],3,0)</f>
        <v>Черная Карта</v>
      </c>
      <c r="M280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280" s="16">
        <f>Продажи[[#This Row],[цена за шт в рублях]]/Продажи[[#This Row],[Средняя цена в категории за шт по поставщику]]-1</f>
        <v>-0.62646264626462644</v>
      </c>
      <c r="O280" s="48">
        <f>VLOOKUP(Продажи[[#This Row],[id клиента]],клиенты!$A$2:$E$435,5,0)</f>
        <v>44595</v>
      </c>
      <c r="P280">
        <f>Продажи[[#This Row],[дата создания чека]]-Продажи[[#This Row],[Дата регистрации]]</f>
        <v>438</v>
      </c>
      <c r="Q280" t="str">
        <f>VLOOKUP(Продажи[[#This Row],[id клиента]],клиенты!$A$2:$G$435,7,0)</f>
        <v>Таджикистан</v>
      </c>
      <c r="R280">
        <f>IF(COUNTIF($H$2:H280, H280)=1, 1, 0)</f>
        <v>0</v>
      </c>
      <c r="S280" t="str">
        <f>VLOOKUP(Продажи[[#This Row],[id клиента]],клиенты!$A$2:$D$435,4,0)</f>
        <v>нет</v>
      </c>
      <c r="T280" s="54">
        <f>VLOOKUP(Продажи[[#This Row],[id клиента]],клиенты!$A$2:$I$435,9,0)</f>
        <v>16.06570841889117</v>
      </c>
    </row>
    <row r="281" spans="1:20" x14ac:dyDescent="0.25">
      <c r="A281">
        <v>280</v>
      </c>
      <c r="B281">
        <v>272</v>
      </c>
      <c r="C281">
        <v>113</v>
      </c>
      <c r="D281">
        <v>3</v>
      </c>
      <c r="E281" s="35">
        <v>1695</v>
      </c>
      <c r="F281" s="48">
        <v>45019</v>
      </c>
      <c r="G281" t="s">
        <v>23</v>
      </c>
      <c r="H281">
        <v>21</v>
      </c>
      <c r="I281" t="str">
        <f>VLOOKUP(Продажи[[#This Row],[id товара]],Товары[],2,0)</f>
        <v>Крупа</v>
      </c>
      <c r="J281" s="17">
        <f>AVERAGEIF(Продажи[Категория],Продажи[[#This Row],[Категория]],Продажи[цена за шт в рублях])</f>
        <v>255.11627906976744</v>
      </c>
      <c r="K281" s="16">
        <f>Продажи[[#This Row],[цена за шт в рублях]]/Продажи[[#This Row],[Средняя цена в категории за шт]]-1</f>
        <v>-0.55706472196900636</v>
      </c>
      <c r="L281" t="str">
        <f>VLOOKUP(Продажи[[#This Row],[id товара]],Товары[],3,0)</f>
        <v>Ярмарка</v>
      </c>
      <c r="M281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281" s="16">
        <f>Продажи[[#This Row],[цена за шт в рублях]]/Продажи[[#This Row],[Средняя цена в категории за шт по поставщику]]-1</f>
        <v>-0.55174900829426621</v>
      </c>
      <c r="O281" s="48">
        <f>VLOOKUP(Продажи[[#This Row],[id клиента]],клиенты!$A$2:$E$435,5,0)</f>
        <v>44881</v>
      </c>
      <c r="P281">
        <f>Продажи[[#This Row],[дата создания чека]]-Продажи[[#This Row],[Дата регистрации]]</f>
        <v>138</v>
      </c>
      <c r="Q281" t="str">
        <f>VLOOKUP(Продажи[[#This Row],[id клиента]],клиенты!$A$2:$G$435,7,0)</f>
        <v>Беларусь</v>
      </c>
      <c r="R281">
        <f>IF(COUNTIF($H$2:H281, H281)=1, 1, 0)</f>
        <v>1</v>
      </c>
      <c r="S281" t="str">
        <f>VLOOKUP(Продажи[[#This Row],[id клиента]],клиенты!$A$2:$D$435,4,0)</f>
        <v>да</v>
      </c>
      <c r="T281" s="54">
        <f>VLOOKUP(Продажи[[#This Row],[id клиента]],клиенты!$A$2:$I$435,9,0)</f>
        <v>7.3593429158110881</v>
      </c>
    </row>
    <row r="282" spans="1:20" x14ac:dyDescent="0.25">
      <c r="A282">
        <v>281</v>
      </c>
      <c r="B282">
        <v>236</v>
      </c>
      <c r="C282">
        <v>221</v>
      </c>
      <c r="D282">
        <v>4</v>
      </c>
      <c r="E282" s="35">
        <v>4420</v>
      </c>
      <c r="F282" s="48">
        <v>45166</v>
      </c>
      <c r="G282" t="s">
        <v>19</v>
      </c>
      <c r="H282">
        <v>333</v>
      </c>
      <c r="I282" t="str">
        <f>VLOOKUP(Продажи[[#This Row],[id товара]],Товары[],2,0)</f>
        <v>Печенье</v>
      </c>
      <c r="J282" s="17">
        <f>AVERAGEIF(Продажи[Категория],Продажи[[#This Row],[Категория]],Продажи[цена за шт в рублях])</f>
        <v>283.468085106383</v>
      </c>
      <c r="K282" s="16">
        <f>Продажи[[#This Row],[цена за шт в рублях]]/Продажи[[#This Row],[Средняя цена в категории за шт]]-1</f>
        <v>-0.22037078736020421</v>
      </c>
      <c r="L282" t="str">
        <f>VLOOKUP(Продажи[[#This Row],[id товара]],Товары[],3,0)</f>
        <v>Посиделкино</v>
      </c>
      <c r="M282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282" s="16">
        <f>Продажи[[#This Row],[цена за шт в рублях]]/Продажи[[#This Row],[Средняя цена в категории за шт по поставщику]]-1</f>
        <v>-0.31288863764838892</v>
      </c>
      <c r="O282" s="48">
        <f>VLOOKUP(Продажи[[#This Row],[id клиента]],клиенты!$A$2:$E$435,5,0)</f>
        <v>44857</v>
      </c>
      <c r="P282">
        <f>Продажи[[#This Row],[дата создания чека]]-Продажи[[#This Row],[Дата регистрации]]</f>
        <v>309</v>
      </c>
      <c r="Q282" t="str">
        <f>VLOOKUP(Продажи[[#This Row],[id клиента]],клиенты!$A$2:$G$435,7,0)</f>
        <v>Россия</v>
      </c>
      <c r="R282">
        <f>IF(COUNTIF($H$2:H282, H282)=1, 1, 0)</f>
        <v>0</v>
      </c>
      <c r="S282" t="str">
        <f>VLOOKUP(Продажи[[#This Row],[id клиента]],клиенты!$A$2:$D$435,4,0)</f>
        <v>да</v>
      </c>
      <c r="T282" s="54">
        <f>VLOOKUP(Продажи[[#This Row],[id клиента]],клиенты!$A$2:$I$435,9,0)</f>
        <v>13.404517453798768</v>
      </c>
    </row>
    <row r="283" spans="1:20" x14ac:dyDescent="0.25">
      <c r="A283">
        <v>282</v>
      </c>
      <c r="B283">
        <v>225</v>
      </c>
      <c r="C283">
        <v>114</v>
      </c>
      <c r="D283">
        <v>3</v>
      </c>
      <c r="E283" s="35">
        <v>1710</v>
      </c>
      <c r="F283" s="48">
        <v>45126</v>
      </c>
      <c r="G283" t="s">
        <v>15</v>
      </c>
      <c r="H283">
        <v>405</v>
      </c>
      <c r="I283" t="str">
        <f>VLOOKUP(Продажи[[#This Row],[id товара]],Товары[],2,0)</f>
        <v>Соль</v>
      </c>
      <c r="J283" s="17">
        <f>AVERAGEIF(Продажи[Категория],Продажи[[#This Row],[Категория]],Продажи[цена за шт в рублях])</f>
        <v>264.8679245283019</v>
      </c>
      <c r="K283" s="16">
        <f>Продажи[[#This Row],[цена за шт в рублях]]/Продажи[[#This Row],[Средняя цена в категории за шт]]-1</f>
        <v>-0.56959680866220264</v>
      </c>
      <c r="L283" t="str">
        <f>VLOOKUP(Продажи[[#This Row],[id товара]],Товары[],3,0)</f>
        <v>Илецкая</v>
      </c>
      <c r="M283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283" s="16">
        <f>Продажи[[#This Row],[цена за шт в рублях]]/Продажи[[#This Row],[Средняя цена в категории за шт по поставщику]]-1</f>
        <v>-0.52134359692092369</v>
      </c>
      <c r="O283" s="48">
        <f>VLOOKUP(Продажи[[#This Row],[id клиента]],клиенты!$A$2:$E$435,5,0)</f>
        <v>44798</v>
      </c>
      <c r="P283">
        <f>Продажи[[#This Row],[дата создания чека]]-Продажи[[#This Row],[Дата регистрации]]</f>
        <v>328</v>
      </c>
      <c r="Q283" t="str">
        <f>VLOOKUP(Продажи[[#This Row],[id клиента]],клиенты!$A$2:$G$435,7,0)</f>
        <v>Украина</v>
      </c>
      <c r="R283">
        <f>IF(COUNTIF($H$2:H283, H283)=1, 1, 0)</f>
        <v>0</v>
      </c>
      <c r="S283" t="str">
        <f>VLOOKUP(Продажи[[#This Row],[id клиента]],клиенты!$A$2:$D$435,4,0)</f>
        <v>нет</v>
      </c>
      <c r="T283" s="54">
        <f>VLOOKUP(Продажи[[#This Row],[id клиента]],клиенты!$A$2:$I$435,9,0)</f>
        <v>15.211498973305956</v>
      </c>
    </row>
    <row r="284" spans="1:20" x14ac:dyDescent="0.25">
      <c r="A284">
        <v>283</v>
      </c>
      <c r="B284">
        <v>167</v>
      </c>
      <c r="C284">
        <v>488</v>
      </c>
      <c r="D284">
        <v>3</v>
      </c>
      <c r="E284" s="35">
        <v>7320</v>
      </c>
      <c r="F284" s="48">
        <v>45164</v>
      </c>
      <c r="G284" t="s">
        <v>8</v>
      </c>
      <c r="H284">
        <v>32</v>
      </c>
      <c r="I284" t="str">
        <f>VLOOKUP(Продажи[[#This Row],[id товара]],Товары[],2,0)</f>
        <v>Мясо</v>
      </c>
      <c r="J284" s="17">
        <f>AVERAGEIF(Продажи[Категория],Продажи[[#This Row],[Категория]],Продажи[цена за шт в рублях])</f>
        <v>271.74545454545455</v>
      </c>
      <c r="K284" s="16">
        <f>Продажи[[#This Row],[цена за шт в рублях]]/Продажи[[#This Row],[Средняя цена в категории за шт]]-1</f>
        <v>0.79579820687809444</v>
      </c>
      <c r="L284" t="str">
        <f>VLOOKUP(Продажи[[#This Row],[id товара]],Товары[],3,0)</f>
        <v>Сава</v>
      </c>
      <c r="M284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284" s="16">
        <f>Продажи[[#This Row],[цена за шт в рублях]]/Продажи[[#This Row],[Средняя цена в категории за шт по поставщику]]-1</f>
        <v>1.2930983847283408</v>
      </c>
      <c r="O284" s="48">
        <f>VLOOKUP(Продажи[[#This Row],[id клиента]],клиенты!$A$2:$E$435,5,0)</f>
        <v>44922</v>
      </c>
      <c r="P284">
        <f>Продажи[[#This Row],[дата создания чека]]-Продажи[[#This Row],[Дата регистрации]]</f>
        <v>242</v>
      </c>
      <c r="Q284" t="str">
        <f>VLOOKUP(Продажи[[#This Row],[id клиента]],клиенты!$A$2:$G$435,7,0)</f>
        <v>Узбекистан</v>
      </c>
      <c r="R284">
        <f>IF(COUNTIF($H$2:H284, H284)=1, 1, 0)</f>
        <v>0</v>
      </c>
      <c r="S284" t="str">
        <f>VLOOKUP(Продажи[[#This Row],[id клиента]],клиенты!$A$2:$D$435,4,0)</f>
        <v>да</v>
      </c>
      <c r="T284" s="54">
        <f>VLOOKUP(Продажи[[#This Row],[id клиента]],клиенты!$A$2:$I$435,9,0)</f>
        <v>8.5749486652977414</v>
      </c>
    </row>
    <row r="285" spans="1:20" x14ac:dyDescent="0.25">
      <c r="A285">
        <v>284</v>
      </c>
      <c r="B285">
        <v>467</v>
      </c>
      <c r="C285">
        <v>421</v>
      </c>
      <c r="D285">
        <v>5</v>
      </c>
      <c r="E285" s="35">
        <v>10525</v>
      </c>
      <c r="F285" s="48">
        <v>45070</v>
      </c>
      <c r="G285" t="s">
        <v>14</v>
      </c>
      <c r="H285">
        <v>334</v>
      </c>
      <c r="I285" t="str">
        <f>VLOOKUP(Продажи[[#This Row],[id товара]],Товары[],2,0)</f>
        <v>Макароны</v>
      </c>
      <c r="J285" s="17">
        <f>AVERAGEIF(Продажи[Категория],Продажи[[#This Row],[Категория]],Продажи[цена за шт в рублях])</f>
        <v>265.47674418604652</v>
      </c>
      <c r="K285" s="16">
        <f>Продажи[[#This Row],[цена за шт в рублях]]/Продажи[[#This Row],[Средняя цена в категории за шт]]-1</f>
        <v>0.58582628881783538</v>
      </c>
      <c r="L285" t="str">
        <f>VLOOKUP(Продажи[[#This Row],[id товара]],Товары[],3,0)</f>
        <v>Борилла</v>
      </c>
      <c r="M285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285" s="16">
        <f>Продажи[[#This Row],[цена за шт в рублях]]/Продажи[[#This Row],[Средняя цена в категории за шт по поставщику]]-1</f>
        <v>0.78181552831290135</v>
      </c>
      <c r="O285" s="48">
        <f>VLOOKUP(Продажи[[#This Row],[id клиента]],клиенты!$A$2:$E$435,5,0)</f>
        <v>44881</v>
      </c>
      <c r="P285">
        <f>Продажи[[#This Row],[дата создания чека]]-Продажи[[#This Row],[Дата регистрации]]</f>
        <v>189</v>
      </c>
      <c r="Q285" t="str">
        <f>VLOOKUP(Продажи[[#This Row],[id клиента]],клиенты!$A$2:$G$435,7,0)</f>
        <v>Украина</v>
      </c>
      <c r="R285">
        <f>IF(COUNTIF($H$2:H285, H285)=1, 1, 0)</f>
        <v>0</v>
      </c>
      <c r="S285" t="str">
        <f>VLOOKUP(Продажи[[#This Row],[id клиента]],клиенты!$A$2:$D$435,4,0)</f>
        <v>нет</v>
      </c>
      <c r="T285" s="54">
        <f>VLOOKUP(Продажи[[#This Row],[id клиента]],клиенты!$A$2:$I$435,9,0)</f>
        <v>10.381930184804927</v>
      </c>
    </row>
    <row r="286" spans="1:20" x14ac:dyDescent="0.25">
      <c r="A286">
        <v>285</v>
      </c>
      <c r="B286">
        <v>430</v>
      </c>
      <c r="C286">
        <v>380</v>
      </c>
      <c r="D286">
        <v>1</v>
      </c>
      <c r="E286" s="35">
        <v>1900</v>
      </c>
      <c r="F286" s="48">
        <v>45391</v>
      </c>
      <c r="G286" t="s">
        <v>27</v>
      </c>
      <c r="H286">
        <v>449</v>
      </c>
      <c r="I286" t="str">
        <f>VLOOKUP(Продажи[[#This Row],[id товара]],Товары[],2,0)</f>
        <v>Чай</v>
      </c>
      <c r="J286" s="17">
        <f>AVERAGEIF(Продажи[Категория],Продажи[[#This Row],[Категория]],Продажи[цена за шт в рублях])</f>
        <v>271.18181818181819</v>
      </c>
      <c r="K286" s="16">
        <f>Продажи[[#This Row],[цена за шт в рублях]]/Продажи[[#This Row],[Средняя цена в категории за шт]]-1</f>
        <v>0.40127388535031838</v>
      </c>
      <c r="L286" t="str">
        <f>VLOOKUP(Продажи[[#This Row],[id товара]],Товары[],3,0)</f>
        <v>Ахмад</v>
      </c>
      <c r="M286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286" s="16">
        <f>Продажи[[#This Row],[цена за шт в рублях]]/Продажи[[#This Row],[Средняя цена в категории за шт по поставщику]]-1</f>
        <v>0.56185778873818326</v>
      </c>
      <c r="O286" s="48">
        <f>VLOOKUP(Продажи[[#This Row],[id клиента]],клиенты!$A$2:$E$435,5,0)</f>
        <v>44645</v>
      </c>
      <c r="P286">
        <f>Продажи[[#This Row],[дата создания чека]]-Продажи[[#This Row],[Дата регистрации]]</f>
        <v>746</v>
      </c>
      <c r="Q286" t="str">
        <f>VLOOKUP(Продажи[[#This Row],[id клиента]],клиенты!$A$2:$G$435,7,0)</f>
        <v>Таджикистан</v>
      </c>
      <c r="R286">
        <f>IF(COUNTIF($H$2:H286, H286)=1, 1, 0)</f>
        <v>0</v>
      </c>
      <c r="S286" t="str">
        <f>VLOOKUP(Продажи[[#This Row],[id клиента]],клиенты!$A$2:$D$435,4,0)</f>
        <v>нет</v>
      </c>
      <c r="T286" s="54">
        <f>VLOOKUP(Продажи[[#This Row],[id клиента]],клиенты!$A$2:$I$435,9,0)</f>
        <v>24.50924024640657</v>
      </c>
    </row>
    <row r="287" spans="1:20" x14ac:dyDescent="0.25">
      <c r="A287">
        <v>286</v>
      </c>
      <c r="B287">
        <v>139</v>
      </c>
      <c r="C287">
        <v>232</v>
      </c>
      <c r="D287">
        <v>3</v>
      </c>
      <c r="E287" s="35">
        <v>3480</v>
      </c>
      <c r="F287" s="48">
        <v>45197</v>
      </c>
      <c r="G287" t="s">
        <v>26</v>
      </c>
      <c r="H287">
        <v>302</v>
      </c>
      <c r="I287" t="str">
        <f>VLOOKUP(Продажи[[#This Row],[id товара]],Товары[],2,0)</f>
        <v>Йогурт</v>
      </c>
      <c r="J287" s="17">
        <f>AVERAGEIF(Продажи[Категория],Продажи[[#This Row],[Категория]],Продажи[цена за шт в рублях])</f>
        <v>263.25423728813558</v>
      </c>
      <c r="K287" s="16">
        <f>Продажи[[#This Row],[цена за шт в рублях]]/Продажи[[#This Row],[Средняя цена в категории за шт]]-1</f>
        <v>-0.11872263713623488</v>
      </c>
      <c r="L287" t="str">
        <f>VLOOKUP(Продажи[[#This Row],[id товара]],Товары[],3,0)</f>
        <v>Ростагроэкспорт</v>
      </c>
      <c r="M287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287" s="16">
        <f>Продажи[[#This Row],[цена за шт в рублях]]/Продажи[[#This Row],[Средняя цена в категории за шт по поставщику]]-1</f>
        <v>-0.10001686625063255</v>
      </c>
      <c r="O287" s="48">
        <f>VLOOKUP(Продажи[[#This Row],[id клиента]],клиенты!$A$2:$E$435,5,0)</f>
        <v>44859</v>
      </c>
      <c r="P287">
        <f>Продажи[[#This Row],[дата создания чека]]-Продажи[[#This Row],[Дата регистрации]]</f>
        <v>338</v>
      </c>
      <c r="Q287" t="str">
        <f>VLOOKUP(Продажи[[#This Row],[id клиента]],клиенты!$A$2:$G$435,7,0)</f>
        <v>Россия</v>
      </c>
      <c r="R287">
        <f>IF(COUNTIF($H$2:H287, H287)=1, 1, 0)</f>
        <v>1</v>
      </c>
      <c r="S287" t="str">
        <f>VLOOKUP(Продажи[[#This Row],[id клиента]],клиенты!$A$2:$D$435,4,0)</f>
        <v>нет</v>
      </c>
      <c r="T287" s="54">
        <f>VLOOKUP(Продажи[[#This Row],[id клиента]],клиенты!$A$2:$I$435,9,0)</f>
        <v>12.878850102669405</v>
      </c>
    </row>
    <row r="288" spans="1:20" x14ac:dyDescent="0.25">
      <c r="A288">
        <v>287</v>
      </c>
      <c r="B288">
        <v>351</v>
      </c>
      <c r="C288">
        <v>93</v>
      </c>
      <c r="D288">
        <v>3</v>
      </c>
      <c r="E288" s="35">
        <v>1395</v>
      </c>
      <c r="F288" s="48">
        <v>45392</v>
      </c>
      <c r="G288" t="s">
        <v>20</v>
      </c>
      <c r="H288">
        <v>341</v>
      </c>
      <c r="I288" t="str">
        <f>VLOOKUP(Продажи[[#This Row],[id товара]],Товары[],2,0)</f>
        <v>Чипсы</v>
      </c>
      <c r="J288" s="17">
        <f>AVERAGEIF(Продажи[Категория],Продажи[[#This Row],[Категория]],Продажи[цена за шт в рублях])</f>
        <v>273.72549019607845</v>
      </c>
      <c r="K288" s="16">
        <f>Продажи[[#This Row],[цена за шт в рублях]]/Продажи[[#This Row],[Средняя цена в категории за шт]]-1</f>
        <v>-0.66024355300859594</v>
      </c>
      <c r="L288" t="str">
        <f>VLOOKUP(Продажи[[#This Row],[id товара]],Товары[],3,0)</f>
        <v>Русская картошка</v>
      </c>
      <c r="M288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288" s="16">
        <f>Продажи[[#This Row],[цена за шт в рублях]]/Продажи[[#This Row],[Средняя цена в категории за шт по поставщику]]-1</f>
        <v>-0.61543762922122669</v>
      </c>
      <c r="O288" s="48">
        <f>VLOOKUP(Продажи[[#This Row],[id клиента]],клиенты!$A$2:$E$435,5,0)</f>
        <v>44724</v>
      </c>
      <c r="P288">
        <f>Продажи[[#This Row],[дата создания чека]]-Продажи[[#This Row],[Дата регистрации]]</f>
        <v>668</v>
      </c>
      <c r="Q288" t="str">
        <f>VLOOKUP(Продажи[[#This Row],[id клиента]],клиенты!$A$2:$G$435,7,0)</f>
        <v>Россия</v>
      </c>
      <c r="R288">
        <f>IF(COUNTIF($H$2:H288, H288)=1, 1, 0)</f>
        <v>1</v>
      </c>
      <c r="S288" t="str">
        <f>VLOOKUP(Продажи[[#This Row],[id клиента]],клиенты!$A$2:$D$435,4,0)</f>
        <v>нет</v>
      </c>
      <c r="T288" s="54">
        <f>VLOOKUP(Продажи[[#This Row],[id клиента]],клиенты!$A$2:$I$435,9,0)</f>
        <v>21.946611909650922</v>
      </c>
    </row>
    <row r="289" spans="1:20" x14ac:dyDescent="0.25">
      <c r="A289">
        <v>288</v>
      </c>
      <c r="B289">
        <v>404</v>
      </c>
      <c r="C289">
        <v>136</v>
      </c>
      <c r="D289">
        <v>2</v>
      </c>
      <c r="E289" s="35">
        <v>1360</v>
      </c>
      <c r="F289" s="48">
        <v>45287</v>
      </c>
      <c r="G289" t="s">
        <v>11</v>
      </c>
      <c r="H289">
        <v>62</v>
      </c>
      <c r="I289" t="str">
        <f>VLOOKUP(Продажи[[#This Row],[id товара]],Товары[],2,0)</f>
        <v>Йогурт</v>
      </c>
      <c r="J289" s="17">
        <f>AVERAGEIF(Продажи[Категория],Продажи[[#This Row],[Категория]],Продажи[цена за шт в рублях])</f>
        <v>263.25423728813558</v>
      </c>
      <c r="K289" s="16">
        <f>Продажи[[#This Row],[цена за шт в рублях]]/Продажи[[#This Row],[Средняя цена в категории за шт]]-1</f>
        <v>-0.48338913211434453</v>
      </c>
      <c r="L289" t="str">
        <f>VLOOKUP(Продажи[[#This Row],[id товара]],Товары[],3,0)</f>
        <v>Ростагроэкспорт</v>
      </c>
      <c r="M289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289" s="16">
        <f>Продажи[[#This Row],[цена за шт в рублях]]/Продажи[[#This Row],[Средняя цена в категории за шт по поставщику]]-1</f>
        <v>-0.47242368021588799</v>
      </c>
      <c r="O289" s="48">
        <f>VLOOKUP(Продажи[[#This Row],[id клиента]],клиенты!$A$2:$E$435,5,0)</f>
        <v>44671</v>
      </c>
      <c r="P289">
        <f>Продажи[[#This Row],[дата создания чека]]-Продажи[[#This Row],[Дата регистрации]]</f>
        <v>616</v>
      </c>
      <c r="Q289" t="str">
        <f>VLOOKUP(Продажи[[#This Row],[id клиента]],клиенты!$A$2:$G$435,7,0)</f>
        <v>Россия</v>
      </c>
      <c r="R289">
        <f>IF(COUNTIF($H$2:H289, H289)=1, 1, 0)</f>
        <v>0</v>
      </c>
      <c r="S289" t="str">
        <f>VLOOKUP(Продажи[[#This Row],[id клиента]],клиенты!$A$2:$D$435,4,0)</f>
        <v>нет</v>
      </c>
      <c r="T289" s="54">
        <f>VLOOKUP(Продажи[[#This Row],[id клиента]],клиенты!$A$2:$I$435,9,0)</f>
        <v>22.275154004106778</v>
      </c>
    </row>
    <row r="290" spans="1:20" x14ac:dyDescent="0.25">
      <c r="A290">
        <v>289</v>
      </c>
      <c r="B290">
        <v>237</v>
      </c>
      <c r="C290">
        <v>157</v>
      </c>
      <c r="D290">
        <v>5</v>
      </c>
      <c r="E290" s="35">
        <v>3925</v>
      </c>
      <c r="F290" s="48">
        <v>44946</v>
      </c>
      <c r="G290" t="s">
        <v>24</v>
      </c>
      <c r="H290">
        <v>366</v>
      </c>
      <c r="I290" t="str">
        <f>VLOOKUP(Продажи[[#This Row],[id товара]],Товары[],2,0)</f>
        <v>Конфеты</v>
      </c>
      <c r="J290" s="17">
        <f>AVERAGEIF(Продажи[Категория],Продажи[[#This Row],[Категория]],Продажи[цена за шт в рублях])</f>
        <v>267.85483870967744</v>
      </c>
      <c r="K290" s="16">
        <f>Продажи[[#This Row],[цена за шт в рублях]]/Продажи[[#This Row],[Средняя цена в категории за шт]]-1</f>
        <v>-0.41386162461612575</v>
      </c>
      <c r="L290" t="str">
        <f>VLOOKUP(Продажи[[#This Row],[id товара]],Товары[],3,0)</f>
        <v>Рот Фронт</v>
      </c>
      <c r="M290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290" s="16">
        <f>Продажи[[#This Row],[цена за шт в рублях]]/Продажи[[#This Row],[Средняя цена в категории за шт по поставщику]]-1</f>
        <v>-0.45531141582686274</v>
      </c>
      <c r="O290" s="48">
        <f>VLOOKUP(Продажи[[#This Row],[id клиента]],клиенты!$A$2:$E$435,5,0)</f>
        <v>44827</v>
      </c>
      <c r="P290">
        <f>Продажи[[#This Row],[дата создания чека]]-Продажи[[#This Row],[Дата регистрации]]</f>
        <v>119</v>
      </c>
      <c r="Q290" t="str">
        <f>VLOOKUP(Продажи[[#This Row],[id клиента]],клиенты!$A$2:$G$435,7,0)</f>
        <v>Узбекистан</v>
      </c>
      <c r="R290">
        <f>IF(COUNTIF($H$2:H290, H290)=1, 1, 0)</f>
        <v>0</v>
      </c>
      <c r="S290" t="str">
        <f>VLOOKUP(Продажи[[#This Row],[id клиента]],клиенты!$A$2:$D$435,4,0)</f>
        <v>нет</v>
      </c>
      <c r="T290" s="54">
        <f>VLOOKUP(Продажи[[#This Row],[id клиента]],клиенты!$A$2:$I$435,9,0)</f>
        <v>15.178644763860369</v>
      </c>
    </row>
    <row r="291" spans="1:20" x14ac:dyDescent="0.25">
      <c r="A291">
        <v>290</v>
      </c>
      <c r="B291">
        <v>323</v>
      </c>
      <c r="C291">
        <v>363</v>
      </c>
      <c r="D291">
        <v>4</v>
      </c>
      <c r="E291" s="35">
        <v>7260</v>
      </c>
      <c r="F291" s="48">
        <v>45362</v>
      </c>
      <c r="G291" t="s">
        <v>15</v>
      </c>
      <c r="H291">
        <v>463</v>
      </c>
      <c r="I291" t="str">
        <f>VLOOKUP(Продажи[[#This Row],[id товара]],Товары[],2,0)</f>
        <v>Рыба</v>
      </c>
      <c r="J291" s="17">
        <f>AVERAGEIF(Продажи[Категория],Продажи[[#This Row],[Категория]],Продажи[цена за шт в рублях])</f>
        <v>258.5128205128205</v>
      </c>
      <c r="K291" s="16">
        <f>Продажи[[#This Row],[цена за шт в рублях]]/Продажи[[#This Row],[Средняя цена в категории за шт]]-1</f>
        <v>0.40418567744495149</v>
      </c>
      <c r="L291" t="str">
        <f>VLOOKUP(Продажи[[#This Row],[id товара]],Товары[],3,0)</f>
        <v>Меридиан</v>
      </c>
      <c r="M291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291" s="16">
        <f>Продажи[[#This Row],[цена за шт в рублях]]/Продажи[[#This Row],[Средняя цена в категории за шт по поставщику]]-1</f>
        <v>0.39268788083953976</v>
      </c>
      <c r="O291" s="48">
        <f>VLOOKUP(Продажи[[#This Row],[id клиента]],клиенты!$A$2:$E$435,5,0)</f>
        <v>44869</v>
      </c>
      <c r="P291">
        <f>Продажи[[#This Row],[дата создания чека]]-Продажи[[#This Row],[Дата регистрации]]</f>
        <v>493</v>
      </c>
      <c r="Q291" t="str">
        <f>VLOOKUP(Продажи[[#This Row],[id клиента]],клиенты!$A$2:$G$435,7,0)</f>
        <v>Украина</v>
      </c>
      <c r="R291">
        <f>IF(COUNTIF($H$2:H291, H291)=1, 1, 0)</f>
        <v>1</v>
      </c>
      <c r="S291" t="str">
        <f>VLOOKUP(Продажи[[#This Row],[id клиента]],клиенты!$A$2:$D$435,4,0)</f>
        <v>нет</v>
      </c>
      <c r="T291" s="54">
        <f>VLOOKUP(Продажи[[#This Row],[id клиента]],клиенты!$A$2:$I$435,9,0)</f>
        <v>16.197125256673512</v>
      </c>
    </row>
    <row r="292" spans="1:20" x14ac:dyDescent="0.25">
      <c r="A292">
        <v>291</v>
      </c>
      <c r="B292">
        <v>457</v>
      </c>
      <c r="C292">
        <v>289</v>
      </c>
      <c r="D292">
        <v>5</v>
      </c>
      <c r="E292" s="35">
        <v>7225</v>
      </c>
      <c r="F292" s="48">
        <v>45167</v>
      </c>
      <c r="G292" t="s">
        <v>24</v>
      </c>
      <c r="H292">
        <v>421</v>
      </c>
      <c r="I292" t="str">
        <f>VLOOKUP(Продажи[[#This Row],[id товара]],Товары[],2,0)</f>
        <v>Сок</v>
      </c>
      <c r="J292" s="17">
        <f>AVERAGEIF(Продажи[Категория],Продажи[[#This Row],[Категория]],Продажи[цена за шт в рублях])</f>
        <v>268.60344827586209</v>
      </c>
      <c r="K292" s="16">
        <f>Продажи[[#This Row],[цена за шт в рублях]]/Продажи[[#This Row],[Средняя цена в категории за шт]]-1</f>
        <v>7.5935554271776118E-2</v>
      </c>
      <c r="L292" t="str">
        <f>VLOOKUP(Продажи[[#This Row],[id товара]],Товары[],3,0)</f>
        <v>Rich</v>
      </c>
      <c r="M292" s="32">
        <f>AVERAGEIFS(Продажи[цена за шт в рублях],Продажи[Категория],Продажи[[#This Row],[Категория]],Продажи[Поставщик],Продажи[[#This Row],[Поставщик]])</f>
        <v>272.25</v>
      </c>
      <c r="N292" s="16">
        <f>Продажи[[#This Row],[цена за шт в рублях]]/Продажи[[#This Row],[Средняя цена в категории за шт по поставщику]]-1</f>
        <v>6.1524334251606971E-2</v>
      </c>
      <c r="O292" s="48">
        <f>VLOOKUP(Продажи[[#This Row],[id клиента]],клиенты!$A$2:$E$435,5,0)</f>
        <v>44620</v>
      </c>
      <c r="P292">
        <f>Продажи[[#This Row],[дата создания чека]]-Продажи[[#This Row],[Дата регистрации]]</f>
        <v>547</v>
      </c>
      <c r="Q292" t="str">
        <f>VLOOKUP(Продажи[[#This Row],[id клиента]],клиенты!$A$2:$G$435,7,0)</f>
        <v>Россия</v>
      </c>
      <c r="R292">
        <f>IF(COUNTIF($H$2:H292, H292)=1, 1, 0)</f>
        <v>1</v>
      </c>
      <c r="S292" t="str">
        <f>VLOOKUP(Продажи[[#This Row],[id клиента]],клиенты!$A$2:$D$435,4,0)</f>
        <v>нет</v>
      </c>
      <c r="T292" s="54">
        <f>VLOOKUP(Продажи[[#This Row],[id клиента]],клиенты!$A$2:$I$435,9,0)</f>
        <v>19.811088295687885</v>
      </c>
    </row>
    <row r="293" spans="1:20" x14ac:dyDescent="0.25">
      <c r="A293">
        <v>292</v>
      </c>
      <c r="B293">
        <v>328</v>
      </c>
      <c r="C293">
        <v>448</v>
      </c>
      <c r="D293">
        <v>4</v>
      </c>
      <c r="E293" s="35">
        <v>8960</v>
      </c>
      <c r="F293" s="48">
        <v>45166</v>
      </c>
      <c r="G293" t="s">
        <v>18</v>
      </c>
      <c r="H293">
        <v>86</v>
      </c>
      <c r="I293" t="str">
        <f>VLOOKUP(Продажи[[#This Row],[id товара]],Товары[],2,0)</f>
        <v>Чипсы</v>
      </c>
      <c r="J293" s="17">
        <f>AVERAGEIF(Продажи[Категория],Продажи[[#This Row],[Категория]],Продажи[цена за шт в рублях])</f>
        <v>273.72549019607845</v>
      </c>
      <c r="K293" s="16">
        <f>Продажи[[#This Row],[цена за шт в рублях]]/Продажи[[#This Row],[Средняя цена в категории за шт]]-1</f>
        <v>0.63667621776504291</v>
      </c>
      <c r="L293" t="str">
        <f>VLOOKUP(Продажи[[#This Row],[id товара]],Товары[],3,0)</f>
        <v>Русская картошка</v>
      </c>
      <c r="M293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293" s="16">
        <f>Продажи[[#This Row],[цена за шт в рублях]]/Продажи[[#This Row],[Средняя цена в категории за шт по поставщику]]-1</f>
        <v>0.85251550654720876</v>
      </c>
      <c r="O293" s="48">
        <f>VLOOKUP(Продажи[[#This Row],[id клиента]],клиенты!$A$2:$E$435,5,0)</f>
        <v>44692</v>
      </c>
      <c r="P293">
        <f>Продажи[[#This Row],[дата создания чека]]-Продажи[[#This Row],[Дата регистрации]]</f>
        <v>474</v>
      </c>
      <c r="Q293" t="str">
        <f>VLOOKUP(Продажи[[#This Row],[id клиента]],клиенты!$A$2:$G$435,7,0)</f>
        <v>Узбекистан</v>
      </c>
      <c r="R293">
        <f>IF(COUNTIF($H$2:H293, H293)=1, 1, 0)</f>
        <v>1</v>
      </c>
      <c r="S293" t="str">
        <f>VLOOKUP(Продажи[[#This Row],[id клиента]],клиенты!$A$2:$D$435,4,0)</f>
        <v>да</v>
      </c>
      <c r="T293" s="54">
        <f>VLOOKUP(Продажи[[#This Row],[id клиента]],клиенты!$A$2:$I$435,9,0)</f>
        <v>15.572895277207392</v>
      </c>
    </row>
    <row r="294" spans="1:20" x14ac:dyDescent="0.25">
      <c r="A294">
        <v>293</v>
      </c>
      <c r="B294">
        <v>424</v>
      </c>
      <c r="C294">
        <v>226</v>
      </c>
      <c r="D294">
        <v>2</v>
      </c>
      <c r="E294" s="35">
        <v>2260</v>
      </c>
      <c r="F294" s="48">
        <v>45108</v>
      </c>
      <c r="G294" t="s">
        <v>17</v>
      </c>
      <c r="H294">
        <v>397</v>
      </c>
      <c r="I294" t="str">
        <f>VLOOKUP(Продажи[[#This Row],[id товара]],Товары[],2,0)</f>
        <v>Печенье</v>
      </c>
      <c r="J294" s="17">
        <f>AVERAGEIF(Продажи[Категория],Продажи[[#This Row],[Категория]],Продажи[цена за шт в рублях])</f>
        <v>283.468085106383</v>
      </c>
      <c r="K294" s="16">
        <f>Продажи[[#This Row],[цена за шт в рублях]]/Продажи[[#This Row],[Средняя цена в категории за шт]]-1</f>
        <v>-0.20273211739097807</v>
      </c>
      <c r="L294" t="str">
        <f>VLOOKUP(Продажи[[#This Row],[id товара]],Товары[],3,0)</f>
        <v>КДВ</v>
      </c>
      <c r="M294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294" s="16">
        <f>Продажи[[#This Row],[цена за шт в рублях]]/Продажи[[#This Row],[Средняя цена в категории за шт по поставщику]]-1</f>
        <v>-0.30047619047619056</v>
      </c>
      <c r="O294" s="48">
        <f>VLOOKUP(Продажи[[#This Row],[id клиента]],клиенты!$A$2:$E$435,5,0)</f>
        <v>44728</v>
      </c>
      <c r="P294">
        <f>Продажи[[#This Row],[дата создания чека]]-Продажи[[#This Row],[Дата регистрации]]</f>
        <v>380</v>
      </c>
      <c r="Q294" t="str">
        <f>VLOOKUP(Продажи[[#This Row],[id клиента]],клиенты!$A$2:$G$435,7,0)</f>
        <v>Беларусь</v>
      </c>
      <c r="R294">
        <f>IF(COUNTIF($H$2:H294, H294)=1, 1, 0)</f>
        <v>0</v>
      </c>
      <c r="S294" t="str">
        <f>VLOOKUP(Продажи[[#This Row],[id клиента]],клиенты!$A$2:$D$435,4,0)</f>
        <v>нет</v>
      </c>
      <c r="T294" s="54">
        <f>VLOOKUP(Продажи[[#This Row],[id клиента]],клиенты!$A$2:$I$435,9,0)</f>
        <v>12.97741273100616</v>
      </c>
    </row>
    <row r="295" spans="1:20" x14ac:dyDescent="0.25">
      <c r="A295">
        <v>294</v>
      </c>
      <c r="B295">
        <v>86</v>
      </c>
      <c r="C295">
        <v>261</v>
      </c>
      <c r="D295">
        <v>5</v>
      </c>
      <c r="E295" s="35">
        <v>6525</v>
      </c>
      <c r="F295" s="48">
        <v>45001</v>
      </c>
      <c r="G295" t="s">
        <v>10</v>
      </c>
      <c r="H295">
        <v>319</v>
      </c>
      <c r="I295" t="str">
        <f>VLOOKUP(Продажи[[#This Row],[id товара]],Товары[],2,0)</f>
        <v>Сахар</v>
      </c>
      <c r="J295" s="17">
        <f>AVERAGEIF(Продажи[Категория],Продажи[[#This Row],[Категория]],Продажи[цена за шт в рублях])</f>
        <v>252.76271186440678</v>
      </c>
      <c r="K295" s="16">
        <f>Продажи[[#This Row],[цена за шт в рублях]]/Продажи[[#This Row],[Средняя цена в категории за шт]]-1</f>
        <v>3.2589016294508166E-2</v>
      </c>
      <c r="L295" t="str">
        <f>VLOOKUP(Продажи[[#This Row],[id товара]],Товары[],3,0)</f>
        <v>Русский сахар</v>
      </c>
      <c r="M295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295" s="16">
        <f>Продажи[[#This Row],[цена за шт в рублях]]/Продажи[[#This Row],[Средняя цена в категории за шт по поставщику]]-1</f>
        <v>-0.11046511627906985</v>
      </c>
      <c r="O295" s="48">
        <f>VLOOKUP(Продажи[[#This Row],[id клиента]],клиенты!$A$2:$E$435,5,0)</f>
        <v>44674</v>
      </c>
      <c r="P295">
        <f>Продажи[[#This Row],[дата создания чека]]-Продажи[[#This Row],[Дата регистрации]]</f>
        <v>327</v>
      </c>
      <c r="Q295" t="str">
        <f>VLOOKUP(Продажи[[#This Row],[id клиента]],клиенты!$A$2:$G$435,7,0)</f>
        <v>Узбекистан</v>
      </c>
      <c r="R295">
        <f>IF(COUNTIF($H$2:H295, H295)=1, 1, 0)</f>
        <v>1</v>
      </c>
      <c r="S295" t="str">
        <f>VLOOKUP(Продажи[[#This Row],[id клиента]],клиенты!$A$2:$D$435,4,0)</f>
        <v>да</v>
      </c>
      <c r="T295" s="54">
        <f>VLOOKUP(Продажи[[#This Row],[id клиента]],клиенты!$A$2:$I$435,9,0)</f>
        <v>21.716632443531829</v>
      </c>
    </row>
    <row r="296" spans="1:20" x14ac:dyDescent="0.25">
      <c r="A296">
        <v>295</v>
      </c>
      <c r="B296">
        <v>17</v>
      </c>
      <c r="C296">
        <v>253</v>
      </c>
      <c r="D296">
        <v>3</v>
      </c>
      <c r="E296" s="35">
        <v>3795</v>
      </c>
      <c r="F296" s="48">
        <v>45369</v>
      </c>
      <c r="G296" t="s">
        <v>23</v>
      </c>
      <c r="H296">
        <v>290</v>
      </c>
      <c r="I296" t="str">
        <f>VLOOKUP(Продажи[[#This Row],[id товара]],Товары[],2,0)</f>
        <v>Кофе</v>
      </c>
      <c r="J296" s="17">
        <f>AVERAGEIF(Продажи[Категория],Продажи[[#This Row],[Категория]],Продажи[цена за шт в рублях])</f>
        <v>249.02380952380952</v>
      </c>
      <c r="K296" s="16">
        <f>Продажи[[#This Row],[цена за шт в рублях]]/Продажи[[#This Row],[Средняя цена в категории за шт]]-1</f>
        <v>1.5967109666316093E-2</v>
      </c>
      <c r="L296" t="str">
        <f>VLOOKUP(Продажи[[#This Row],[id товара]],Товары[],3,0)</f>
        <v>Jacobs</v>
      </c>
      <c r="M296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296" s="16">
        <f>Продажи[[#This Row],[цена за шт в рублях]]/Продажи[[#This Row],[Средняя цена в категории за шт по поставщику]]-1</f>
        <v>-8.4032012195122019E-2</v>
      </c>
      <c r="O296" s="48">
        <f>VLOOKUP(Продажи[[#This Row],[id клиента]],клиенты!$A$2:$E$435,5,0)</f>
        <v>44777</v>
      </c>
      <c r="P296">
        <f>Продажи[[#This Row],[дата создания чека]]-Продажи[[#This Row],[Дата регистрации]]</f>
        <v>592</v>
      </c>
      <c r="Q296" t="str">
        <f>VLOOKUP(Продажи[[#This Row],[id клиента]],клиенты!$A$2:$G$435,7,0)</f>
        <v>Россия</v>
      </c>
      <c r="R296">
        <f>IF(COUNTIF($H$2:H296, H296)=1, 1, 0)</f>
        <v>1</v>
      </c>
      <c r="S296" t="str">
        <f>VLOOKUP(Продажи[[#This Row],[id клиента]],клиенты!$A$2:$D$435,4,0)</f>
        <v>да</v>
      </c>
      <c r="T296" s="54">
        <f>VLOOKUP(Продажи[[#This Row],[id клиента]],клиенты!$A$2:$I$435,9,0)</f>
        <v>19.449691991786448</v>
      </c>
    </row>
    <row r="297" spans="1:20" x14ac:dyDescent="0.25">
      <c r="A297">
        <v>296</v>
      </c>
      <c r="B297">
        <v>43</v>
      </c>
      <c r="C297">
        <v>457</v>
      </c>
      <c r="D297">
        <v>3</v>
      </c>
      <c r="E297" s="35">
        <v>6855</v>
      </c>
      <c r="F297" s="48">
        <v>44943</v>
      </c>
      <c r="G297" t="s">
        <v>16</v>
      </c>
      <c r="H297">
        <v>13</v>
      </c>
      <c r="I297" t="str">
        <f>VLOOKUP(Продажи[[#This Row],[id товара]],Товары[],2,0)</f>
        <v>Печенье</v>
      </c>
      <c r="J297" s="17">
        <f>AVERAGEIF(Продажи[Категория],Продажи[[#This Row],[Категория]],Продажи[цена за шт в рублях])</f>
        <v>283.468085106383</v>
      </c>
      <c r="K297" s="16">
        <f>Продажи[[#This Row],[цена за шт в рублях]]/Продажи[[#This Row],[Средняя цена в категории за шт]]-1</f>
        <v>0.61217443518726999</v>
      </c>
      <c r="L297" t="str">
        <f>VLOOKUP(Продажи[[#This Row],[id товара]],Товары[],3,0)</f>
        <v>КДВ</v>
      </c>
      <c r="M297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297" s="16">
        <f>Продажи[[#This Row],[цена за шт в рублях]]/Продажи[[#This Row],[Средняя цена в категории за шт по поставщику]]-1</f>
        <v>0.41452380952380952</v>
      </c>
      <c r="O297" s="48">
        <f>VLOOKUP(Продажи[[#This Row],[id клиента]],клиенты!$A$2:$E$435,5,0)</f>
        <v>44724</v>
      </c>
      <c r="P297">
        <f>Продажи[[#This Row],[дата создания чека]]-Продажи[[#This Row],[Дата регистрации]]</f>
        <v>219</v>
      </c>
      <c r="Q297" t="str">
        <f>VLOOKUP(Продажи[[#This Row],[id клиента]],клиенты!$A$2:$G$435,7,0)</f>
        <v>Россия</v>
      </c>
      <c r="R297">
        <f>IF(COUNTIF($H$2:H297, H297)=1, 1, 0)</f>
        <v>1</v>
      </c>
      <c r="S297" t="str">
        <f>VLOOKUP(Продажи[[#This Row],[id клиента]],клиенты!$A$2:$D$435,4,0)</f>
        <v>нет</v>
      </c>
      <c r="T297" s="54">
        <f>VLOOKUP(Продажи[[#This Row],[id клиента]],клиенты!$A$2:$I$435,9,0)</f>
        <v>18.759753593429156</v>
      </c>
    </row>
    <row r="298" spans="1:20" x14ac:dyDescent="0.25">
      <c r="A298">
        <v>297</v>
      </c>
      <c r="B298">
        <v>5</v>
      </c>
      <c r="C298">
        <v>65</v>
      </c>
      <c r="D298">
        <v>5</v>
      </c>
      <c r="E298" s="35">
        <v>1625</v>
      </c>
      <c r="F298" s="48">
        <v>45251</v>
      </c>
      <c r="G298" t="s">
        <v>22</v>
      </c>
      <c r="H298">
        <v>302</v>
      </c>
      <c r="I298" t="str">
        <f>VLOOKUP(Продажи[[#This Row],[id товара]],Товары[],2,0)</f>
        <v>Макароны</v>
      </c>
      <c r="J298" s="17">
        <f>AVERAGEIF(Продажи[Категория],Продажи[[#This Row],[Категория]],Продажи[цена за шт в рублях])</f>
        <v>265.47674418604652</v>
      </c>
      <c r="K298" s="16">
        <f>Продажи[[#This Row],[цена за шт в рублях]]/Продажи[[#This Row],[Средняя цена в категории за шт]]-1</f>
        <v>-0.75515746134641493</v>
      </c>
      <c r="L298" t="str">
        <f>VLOOKUP(Продажи[[#This Row],[id товара]],Товары[],3,0)</f>
        <v>Роллтон</v>
      </c>
      <c r="M298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298" s="16">
        <f>Продажи[[#This Row],[цена за шт в рублях]]/Продажи[[#This Row],[Средняя цена в категории за шт по поставщику]]-1</f>
        <v>-0.72405660377358494</v>
      </c>
      <c r="O298" s="48">
        <f>VLOOKUP(Продажи[[#This Row],[id клиента]],клиенты!$A$2:$E$435,5,0)</f>
        <v>44859</v>
      </c>
      <c r="P298">
        <f>Продажи[[#This Row],[дата создания чека]]-Продажи[[#This Row],[Дата регистрации]]</f>
        <v>392</v>
      </c>
      <c r="Q298" t="str">
        <f>VLOOKUP(Продажи[[#This Row],[id клиента]],клиенты!$A$2:$G$435,7,0)</f>
        <v>Россия</v>
      </c>
      <c r="R298">
        <f>IF(COUNTIF($H$2:H298, H298)=1, 1, 0)</f>
        <v>0</v>
      </c>
      <c r="S298" t="str">
        <f>VLOOKUP(Продажи[[#This Row],[id клиента]],клиенты!$A$2:$D$435,4,0)</f>
        <v>нет</v>
      </c>
      <c r="T298" s="54">
        <f>VLOOKUP(Продажи[[#This Row],[id клиента]],клиенты!$A$2:$I$435,9,0)</f>
        <v>12.878850102669405</v>
      </c>
    </row>
    <row r="299" spans="1:20" x14ac:dyDescent="0.25">
      <c r="A299">
        <v>298</v>
      </c>
      <c r="B299">
        <v>298</v>
      </c>
      <c r="C299">
        <v>65</v>
      </c>
      <c r="D299">
        <v>1</v>
      </c>
      <c r="E299" s="35">
        <v>325</v>
      </c>
      <c r="F299" s="48">
        <v>44985</v>
      </c>
      <c r="G299" t="s">
        <v>27</v>
      </c>
      <c r="H299">
        <v>453</v>
      </c>
      <c r="I299" t="str">
        <f>VLOOKUP(Продажи[[#This Row],[id товара]],Товары[],2,0)</f>
        <v>Крупа</v>
      </c>
      <c r="J299" s="17">
        <f>AVERAGEIF(Продажи[Категория],Продажи[[#This Row],[Категория]],Продажи[цена за шт в рублях])</f>
        <v>255.11627906976744</v>
      </c>
      <c r="K299" s="16">
        <f>Продажи[[#This Row],[цена за шт в рублях]]/Продажи[[#This Row],[Средняя цена в категории за шт]]-1</f>
        <v>-0.74521422060164078</v>
      </c>
      <c r="L299" t="str">
        <f>VLOOKUP(Продажи[[#This Row],[id товара]],Товары[],3,0)</f>
        <v>Увелка</v>
      </c>
      <c r="M299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299" s="16">
        <f>Продажи[[#This Row],[цена за шт в рублях]]/Продажи[[#This Row],[Средняя цена в категории за шт по поставщику]]-1</f>
        <v>-0.74197816738339395</v>
      </c>
      <c r="O299" s="48">
        <f>VLOOKUP(Продажи[[#This Row],[id клиента]],клиенты!$A$2:$E$435,5,0)</f>
        <v>44635</v>
      </c>
      <c r="P299">
        <f>Продажи[[#This Row],[дата создания чека]]-Продажи[[#This Row],[Дата регистрации]]</f>
        <v>350</v>
      </c>
      <c r="Q299" t="str">
        <f>VLOOKUP(Продажи[[#This Row],[id клиента]],клиенты!$A$2:$G$435,7,0)</f>
        <v>Россия</v>
      </c>
      <c r="R299">
        <f>IF(COUNTIF($H$2:H299, H299)=1, 1, 0)</f>
        <v>1</v>
      </c>
      <c r="S299" t="str">
        <f>VLOOKUP(Продажи[[#This Row],[id клиента]],клиенты!$A$2:$D$435,4,0)</f>
        <v>да</v>
      </c>
      <c r="T299" s="54">
        <f>VLOOKUP(Продажи[[#This Row],[id клиента]],клиенты!$A$2:$I$435,9,0)</f>
        <v>14.652977412731007</v>
      </c>
    </row>
    <row r="300" spans="1:20" x14ac:dyDescent="0.25">
      <c r="A300">
        <v>299</v>
      </c>
      <c r="B300">
        <v>436</v>
      </c>
      <c r="C300">
        <v>320</v>
      </c>
      <c r="D300">
        <v>3</v>
      </c>
      <c r="E300" s="35">
        <v>4800</v>
      </c>
      <c r="F300" s="48">
        <v>45388</v>
      </c>
      <c r="G300" t="s">
        <v>21</v>
      </c>
      <c r="H300">
        <v>16</v>
      </c>
      <c r="I300" t="str">
        <f>VLOOKUP(Продажи[[#This Row],[id товара]],Товары[],2,0)</f>
        <v>Овощи</v>
      </c>
      <c r="J300" s="17">
        <f>AVERAGEIF(Продажи[Категория],Продажи[[#This Row],[Категория]],Продажи[цена за шт в рублях])</f>
        <v>250.48780487804879</v>
      </c>
      <c r="K300" s="16">
        <f>Продажи[[#This Row],[цена за шт в рублях]]/Продажи[[#This Row],[Средняя цена в категории за шт]]-1</f>
        <v>0.27750730282375846</v>
      </c>
      <c r="L300" t="str">
        <f>VLOOKUP(Продажи[[#This Row],[id товара]],Товары[],3,0)</f>
        <v>Гавриш</v>
      </c>
      <c r="M300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300" s="16">
        <f>Продажи[[#This Row],[цена за шт в рублях]]/Продажи[[#This Row],[Средняя цена в категории за шт по поставщику]]-1</f>
        <v>0.29205921938088841</v>
      </c>
      <c r="O300" s="48">
        <f>VLOOKUP(Продажи[[#This Row],[id клиента]],клиенты!$A$2:$E$435,5,0)</f>
        <v>44713</v>
      </c>
      <c r="P300">
        <f>Продажи[[#This Row],[дата создания чека]]-Продажи[[#This Row],[Дата регистрации]]</f>
        <v>675</v>
      </c>
      <c r="Q300" t="str">
        <f>VLOOKUP(Продажи[[#This Row],[id клиента]],клиенты!$A$2:$G$435,7,0)</f>
        <v>Украина</v>
      </c>
      <c r="R300">
        <f>IF(COUNTIF($H$2:H300, H300)=1, 1, 0)</f>
        <v>0</v>
      </c>
      <c r="S300" t="str">
        <f>VLOOKUP(Продажи[[#This Row],[id клиента]],клиенты!$A$2:$D$435,4,0)</f>
        <v>нет</v>
      </c>
      <c r="T300" s="54">
        <f>VLOOKUP(Продажи[[#This Row],[id клиента]],клиенты!$A$2:$I$435,9,0)</f>
        <v>22.17659137577002</v>
      </c>
    </row>
    <row r="301" spans="1:20" x14ac:dyDescent="0.25">
      <c r="A301">
        <v>300</v>
      </c>
      <c r="B301">
        <v>421</v>
      </c>
      <c r="C301">
        <v>145</v>
      </c>
      <c r="D301">
        <v>4</v>
      </c>
      <c r="E301" s="35">
        <v>2900</v>
      </c>
      <c r="F301" s="48">
        <v>45323</v>
      </c>
      <c r="G301" t="s">
        <v>21</v>
      </c>
      <c r="H301">
        <v>120</v>
      </c>
      <c r="I301" t="str">
        <f>VLOOKUP(Продажи[[#This Row],[id товара]],Товары[],2,0)</f>
        <v>Чай</v>
      </c>
      <c r="J301" s="17">
        <f>AVERAGEIF(Продажи[Категория],Продажи[[#This Row],[Категория]],Продажи[цена за шт в рублях])</f>
        <v>271.18181818181819</v>
      </c>
      <c r="K301" s="16">
        <f>Продажи[[#This Row],[цена за шт в рублях]]/Продажи[[#This Row],[Средняя цена в категории за шт]]-1</f>
        <v>-0.46530338585316799</v>
      </c>
      <c r="L301" t="str">
        <f>VLOOKUP(Продажи[[#This Row],[id товара]],Товары[],3,0)</f>
        <v>Greenfield</v>
      </c>
      <c r="M301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301" s="16">
        <f>Продажи[[#This Row],[цена за шт в рублях]]/Продажи[[#This Row],[Средняя цена в категории за шт по поставщику]]-1</f>
        <v>-0.50249532127261376</v>
      </c>
      <c r="O301" s="48">
        <f>VLOOKUP(Продажи[[#This Row],[id клиента]],клиенты!$A$2:$E$435,5,0)</f>
        <v>44691</v>
      </c>
      <c r="P301">
        <f>Продажи[[#This Row],[дата создания чека]]-Продажи[[#This Row],[Дата регистрации]]</f>
        <v>632</v>
      </c>
      <c r="Q301" t="str">
        <f>VLOOKUP(Продажи[[#This Row],[id клиента]],клиенты!$A$2:$G$435,7,0)</f>
        <v>Россия</v>
      </c>
      <c r="R301">
        <f>IF(COUNTIF($H$2:H301, H301)=1, 1, 0)</f>
        <v>1</v>
      </c>
      <c r="S301" t="str">
        <f>VLOOKUP(Продажи[[#This Row],[id клиента]],клиенты!$A$2:$D$435,4,0)</f>
        <v>да</v>
      </c>
      <c r="T301" s="54">
        <f>VLOOKUP(Продажи[[#This Row],[id клиента]],клиенты!$A$2:$I$435,9,0)</f>
        <v>20.763860369609855</v>
      </c>
    </row>
    <row r="302" spans="1:20" x14ac:dyDescent="0.25">
      <c r="A302">
        <v>301</v>
      </c>
      <c r="B302">
        <v>223</v>
      </c>
      <c r="C302">
        <v>467</v>
      </c>
      <c r="D302">
        <v>5</v>
      </c>
      <c r="E302" s="35">
        <v>11675</v>
      </c>
      <c r="F302" s="48">
        <v>45310</v>
      </c>
      <c r="G302" t="s">
        <v>12</v>
      </c>
      <c r="H302">
        <v>295</v>
      </c>
      <c r="I302" t="str">
        <f>VLOOKUP(Продажи[[#This Row],[id товара]],Товары[],2,0)</f>
        <v>Чай</v>
      </c>
      <c r="J302" s="17">
        <f>AVERAGEIF(Продажи[Категория],Продажи[[#This Row],[Категория]],Продажи[цена за шт в рублях])</f>
        <v>271.18181818181819</v>
      </c>
      <c r="K302" s="16">
        <f>Продажи[[#This Row],[цена за шт в рублях]]/Продажи[[#This Row],[Средняя цена в категории за шт]]-1</f>
        <v>0.72209185383841756</v>
      </c>
      <c r="L302" t="str">
        <f>VLOOKUP(Продажи[[#This Row],[id товара]],Товары[],3,0)</f>
        <v>Greenfield</v>
      </c>
      <c r="M302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302" s="16">
        <f>Продажи[[#This Row],[цена за шт в рублях]]/Продажи[[#This Row],[Средняя цена в категории за шт по поставщику]]-1</f>
        <v>0.60230817217716792</v>
      </c>
      <c r="O302" s="48">
        <f>VLOOKUP(Продажи[[#This Row],[id клиента]],клиенты!$A$2:$E$435,5,0)</f>
        <v>44588</v>
      </c>
      <c r="P302">
        <f>Продажи[[#This Row],[дата создания чека]]-Продажи[[#This Row],[Дата регистрации]]</f>
        <v>722</v>
      </c>
      <c r="Q302" t="str">
        <f>VLOOKUP(Продажи[[#This Row],[id клиента]],клиенты!$A$2:$G$435,7,0)</f>
        <v>Россия</v>
      </c>
      <c r="R302">
        <f>IF(COUNTIF($H$2:H302, H302)=1, 1, 0)</f>
        <v>0</v>
      </c>
      <c r="S302" t="str">
        <f>VLOOKUP(Продажи[[#This Row],[id клиента]],клиенты!$A$2:$D$435,4,0)</f>
        <v>нет</v>
      </c>
      <c r="T302" s="54">
        <f>VLOOKUP(Продажи[[#This Row],[id клиента]],клиенты!$A$2:$I$435,9,0)</f>
        <v>23.720739219712527</v>
      </c>
    </row>
    <row r="303" spans="1:20" x14ac:dyDescent="0.25">
      <c r="A303">
        <v>302</v>
      </c>
      <c r="B303">
        <v>483</v>
      </c>
      <c r="C303">
        <v>124</v>
      </c>
      <c r="D303">
        <v>4</v>
      </c>
      <c r="E303" s="35">
        <v>2480</v>
      </c>
      <c r="F303" s="48">
        <v>45299</v>
      </c>
      <c r="G303" t="s">
        <v>14</v>
      </c>
      <c r="H303">
        <v>381</v>
      </c>
      <c r="I303" t="str">
        <f>VLOOKUP(Продажи[[#This Row],[id товара]],Товары[],2,0)</f>
        <v>Колбаса</v>
      </c>
      <c r="J303" s="17">
        <f>AVERAGEIF(Продажи[Категория],Продажи[[#This Row],[Категория]],Продажи[цена за шт в рублях])</f>
        <v>286.92307692307691</v>
      </c>
      <c r="K303" s="16">
        <f>Продажи[[#This Row],[цена за шт в рублях]]/Продажи[[#This Row],[Средняя цена в категории за шт]]-1</f>
        <v>-0.56782841823056296</v>
      </c>
      <c r="L303" t="str">
        <f>VLOOKUP(Продажи[[#This Row],[id товара]],Товары[],3,0)</f>
        <v>Дымов</v>
      </c>
      <c r="M303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303" s="16">
        <f>Продажи[[#This Row],[цена за шт в рублях]]/Продажи[[#This Row],[Средняя цена в категории за шт по поставщику]]-1</f>
        <v>-0.60341151385927505</v>
      </c>
      <c r="O303" s="48">
        <f>VLOOKUP(Продажи[[#This Row],[id клиента]],клиенты!$A$2:$E$435,5,0)</f>
        <v>44714</v>
      </c>
      <c r="P303">
        <f>Продажи[[#This Row],[дата создания чека]]-Продажи[[#This Row],[Дата регистрации]]</f>
        <v>585</v>
      </c>
      <c r="Q303" t="str">
        <f>VLOOKUP(Продажи[[#This Row],[id клиента]],клиенты!$A$2:$G$435,7,0)</f>
        <v>Узбекистан</v>
      </c>
      <c r="R303">
        <f>IF(COUNTIF($H$2:H303, H303)=1, 1, 0)</f>
        <v>0</v>
      </c>
      <c r="S303" t="str">
        <f>VLOOKUP(Продажи[[#This Row],[id клиента]],клиенты!$A$2:$D$435,4,0)</f>
        <v>нет</v>
      </c>
      <c r="T303" s="54">
        <f>VLOOKUP(Продажи[[#This Row],[id клиента]],клиенты!$A$2:$I$435,9,0)</f>
        <v>21.848049281314168</v>
      </c>
    </row>
    <row r="304" spans="1:20" x14ac:dyDescent="0.25">
      <c r="A304">
        <v>303</v>
      </c>
      <c r="B304">
        <v>414</v>
      </c>
      <c r="C304">
        <v>406</v>
      </c>
      <c r="D304">
        <v>3</v>
      </c>
      <c r="E304" s="35">
        <v>6090</v>
      </c>
      <c r="F304" s="48">
        <v>45246</v>
      </c>
      <c r="G304" t="s">
        <v>11</v>
      </c>
      <c r="H304">
        <v>287</v>
      </c>
      <c r="I304" t="str">
        <f>VLOOKUP(Продажи[[#This Row],[id товара]],Товары[],2,0)</f>
        <v>Фрукты</v>
      </c>
      <c r="J304" s="17">
        <f>AVERAGEIF(Продажи[Категория],Продажи[[#This Row],[Категория]],Продажи[цена за шт в рублях])</f>
        <v>274.16279069767444</v>
      </c>
      <c r="K304" s="16">
        <f>Продажи[[#This Row],[цена за шт в рублях]]/Продажи[[#This Row],[Средняя цена в категории за шт]]-1</f>
        <v>0.48087199932140123</v>
      </c>
      <c r="L304" t="str">
        <f>VLOOKUP(Продажи[[#This Row],[id товара]],Товары[],3,0)</f>
        <v>Экзотик</v>
      </c>
      <c r="M304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304" s="16">
        <f>Продажи[[#This Row],[цена за шт в рублях]]/Продажи[[#This Row],[Средняя цена в категории за шт по поставщику]]-1</f>
        <v>0.60039418576003944</v>
      </c>
      <c r="O304" s="48">
        <f>VLOOKUP(Продажи[[#This Row],[id клиента]],клиенты!$A$2:$E$435,5,0)</f>
        <v>44608</v>
      </c>
      <c r="P304">
        <f>Продажи[[#This Row],[дата создания чека]]-Продажи[[#This Row],[Дата регистрации]]</f>
        <v>638</v>
      </c>
      <c r="Q304" t="str">
        <f>VLOOKUP(Продажи[[#This Row],[id клиента]],клиенты!$A$2:$G$435,7,0)</f>
        <v>Россия</v>
      </c>
      <c r="R304">
        <f>IF(COUNTIF($H$2:H304, H304)=1, 1, 0)</f>
        <v>0</v>
      </c>
      <c r="S304" t="str">
        <f>VLOOKUP(Продажи[[#This Row],[id клиента]],клиенты!$A$2:$D$435,4,0)</f>
        <v>да</v>
      </c>
      <c r="T304" s="54">
        <f>VLOOKUP(Продажи[[#This Row],[id клиента]],клиенты!$A$2:$I$435,9,0)</f>
        <v>20.960985626283367</v>
      </c>
    </row>
    <row r="305" spans="1:20" x14ac:dyDescent="0.25">
      <c r="A305">
        <v>304</v>
      </c>
      <c r="B305">
        <v>389</v>
      </c>
      <c r="C305">
        <v>76</v>
      </c>
      <c r="D305">
        <v>4</v>
      </c>
      <c r="E305" s="35">
        <v>1520</v>
      </c>
      <c r="F305" s="48">
        <v>45067</v>
      </c>
      <c r="G305" t="s">
        <v>18</v>
      </c>
      <c r="H305">
        <v>415</v>
      </c>
      <c r="I305" t="str">
        <f>VLOOKUP(Продажи[[#This Row],[id товара]],Товары[],2,0)</f>
        <v>Чай</v>
      </c>
      <c r="J305" s="17">
        <f>AVERAGEIF(Продажи[Категория],Продажи[[#This Row],[Категория]],Продажи[цена за шт в рублях])</f>
        <v>271.18181818181819</v>
      </c>
      <c r="K305" s="16">
        <f>Продажи[[#This Row],[цена за шт в рублях]]/Продажи[[#This Row],[Средняя цена в категории за шт]]-1</f>
        <v>-0.71974522292993637</v>
      </c>
      <c r="L305" t="str">
        <f>VLOOKUP(Продажи[[#This Row],[id товара]],Товары[],3,0)</f>
        <v>Ахмад</v>
      </c>
      <c r="M305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305" s="16">
        <f>Продажи[[#This Row],[цена за шт в рублях]]/Продажи[[#This Row],[Средняя цена в категории за шт по поставщику]]-1</f>
        <v>-0.6876284422523633</v>
      </c>
      <c r="O305" s="48">
        <f>VLOOKUP(Продажи[[#This Row],[id клиента]],клиенты!$A$2:$E$435,5,0)</f>
        <v>44661</v>
      </c>
      <c r="P305">
        <f>Продажи[[#This Row],[дата создания чека]]-Продажи[[#This Row],[Дата регистрации]]</f>
        <v>406</v>
      </c>
      <c r="Q305" t="str">
        <f>VLOOKUP(Продажи[[#This Row],[id клиента]],клиенты!$A$2:$G$435,7,0)</f>
        <v>Украина</v>
      </c>
      <c r="R305">
        <f>IF(COUNTIF($H$2:H305, H305)=1, 1, 0)</f>
        <v>0</v>
      </c>
      <c r="S305" t="str">
        <f>VLOOKUP(Продажи[[#This Row],[id клиента]],клиенты!$A$2:$D$435,4,0)</f>
        <v>да</v>
      </c>
      <c r="T305" s="54">
        <f>VLOOKUP(Продажи[[#This Row],[id клиента]],клиенты!$A$2:$I$435,9,0)</f>
        <v>20.566735112936346</v>
      </c>
    </row>
    <row r="306" spans="1:20" x14ac:dyDescent="0.25">
      <c r="A306">
        <v>305</v>
      </c>
      <c r="B306">
        <v>367</v>
      </c>
      <c r="C306">
        <v>79</v>
      </c>
      <c r="D306">
        <v>5</v>
      </c>
      <c r="E306" s="35">
        <v>1975</v>
      </c>
      <c r="F306" s="48">
        <v>45107</v>
      </c>
      <c r="G306" t="s">
        <v>26</v>
      </c>
      <c r="H306">
        <v>292</v>
      </c>
      <c r="I306" t="str">
        <f>VLOOKUP(Продажи[[#This Row],[id товара]],Товары[],2,0)</f>
        <v>Колбаса</v>
      </c>
      <c r="J306" s="17">
        <f>AVERAGEIF(Продажи[Категория],Продажи[[#This Row],[Категория]],Продажи[цена за шт в рублях])</f>
        <v>286.92307692307691</v>
      </c>
      <c r="K306" s="16">
        <f>Продажи[[#This Row],[цена за шт в рублях]]/Продажи[[#This Row],[Средняя цена в категории за шт]]-1</f>
        <v>-0.72466487935656843</v>
      </c>
      <c r="L306" t="str">
        <f>VLOOKUP(Продажи[[#This Row],[id товара]],Товары[],3,0)</f>
        <v>Окраина</v>
      </c>
      <c r="M306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306" s="16">
        <f>Продажи[[#This Row],[цена за шт в рублях]]/Продажи[[#This Row],[Средняя цена в категории за шт по поставщику]]-1</f>
        <v>-0.71123971976850442</v>
      </c>
      <c r="O306" s="48">
        <f>VLOOKUP(Продажи[[#This Row],[id клиента]],клиенты!$A$2:$E$435,5,0)</f>
        <v>44608</v>
      </c>
      <c r="P306">
        <f>Продажи[[#This Row],[дата создания чека]]-Продажи[[#This Row],[Дата регистрации]]</f>
        <v>499</v>
      </c>
      <c r="Q306" t="str">
        <f>VLOOKUP(Продажи[[#This Row],[id клиента]],клиенты!$A$2:$G$435,7,0)</f>
        <v>Россия</v>
      </c>
      <c r="R306">
        <f>IF(COUNTIF($H$2:H306, H306)=1, 1, 0)</f>
        <v>1</v>
      </c>
      <c r="S306" t="str">
        <f>VLOOKUP(Продажи[[#This Row],[id клиента]],клиенты!$A$2:$D$435,4,0)</f>
        <v>нет</v>
      </c>
      <c r="T306" s="54">
        <f>VLOOKUP(Продажи[[#This Row],[id клиента]],клиенты!$A$2:$I$435,9,0)</f>
        <v>25.396303901437371</v>
      </c>
    </row>
    <row r="307" spans="1:20" x14ac:dyDescent="0.25">
      <c r="A307">
        <v>306</v>
      </c>
      <c r="B307">
        <v>128</v>
      </c>
      <c r="C307">
        <v>466</v>
      </c>
      <c r="D307">
        <v>1</v>
      </c>
      <c r="E307" s="35">
        <v>2330</v>
      </c>
      <c r="F307" s="48">
        <v>44984</v>
      </c>
      <c r="G307" t="s">
        <v>27</v>
      </c>
      <c r="H307">
        <v>389</v>
      </c>
      <c r="I307" t="str">
        <f>VLOOKUP(Продажи[[#This Row],[id товара]],Товары[],2,0)</f>
        <v>Мясо</v>
      </c>
      <c r="J307" s="17">
        <f>AVERAGEIF(Продажи[Категория],Продажи[[#This Row],[Категория]],Продажи[цена за шт в рублях])</f>
        <v>271.74545454545455</v>
      </c>
      <c r="K307" s="16">
        <f>Продажи[[#This Row],[цена за шт в рублях]]/Продажи[[#This Row],[Средняя цена в категории за шт]]-1</f>
        <v>0.71484009099424584</v>
      </c>
      <c r="L307" t="str">
        <f>VLOOKUP(Продажи[[#This Row],[id товара]],Товары[],3,0)</f>
        <v>Мираторг</v>
      </c>
      <c r="M307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307" s="16">
        <f>Продажи[[#This Row],[цена за шт в рублях]]/Продажи[[#This Row],[Средняя цена в категории за шт по поставщику]]-1</f>
        <v>0.47196630692287456</v>
      </c>
      <c r="O307" s="48">
        <f>VLOOKUP(Продажи[[#This Row],[id клиента]],клиенты!$A$2:$E$435,5,0)</f>
        <v>44876</v>
      </c>
      <c r="P307">
        <f>Продажи[[#This Row],[дата создания чека]]-Продажи[[#This Row],[Дата регистрации]]</f>
        <v>108</v>
      </c>
      <c r="Q307" t="str">
        <f>VLOOKUP(Продажи[[#This Row],[id клиента]],клиенты!$A$2:$G$435,7,0)</f>
        <v>Россия</v>
      </c>
      <c r="R307">
        <f>IF(COUNTIF($H$2:H307, H307)=1, 1, 0)</f>
        <v>0</v>
      </c>
      <c r="S307" t="str">
        <f>VLOOKUP(Продажи[[#This Row],[id клиента]],клиенты!$A$2:$D$435,4,0)</f>
        <v>да</v>
      </c>
      <c r="T307" s="54">
        <f>VLOOKUP(Продажи[[#This Row],[id клиента]],клиенты!$A$2:$I$435,9,0)</f>
        <v>4.2710472279260783</v>
      </c>
    </row>
    <row r="308" spans="1:20" x14ac:dyDescent="0.25">
      <c r="A308">
        <v>307</v>
      </c>
      <c r="B308">
        <v>368</v>
      </c>
      <c r="C308">
        <v>265</v>
      </c>
      <c r="D308">
        <v>5</v>
      </c>
      <c r="E308" s="35">
        <v>6625</v>
      </c>
      <c r="F308" s="48">
        <v>45192</v>
      </c>
      <c r="G308" t="s">
        <v>15</v>
      </c>
      <c r="H308">
        <v>106</v>
      </c>
      <c r="I308" t="str">
        <f>VLOOKUP(Продажи[[#This Row],[id товара]],Товары[],2,0)</f>
        <v>Сыр</v>
      </c>
      <c r="J308" s="17">
        <f>AVERAGEIF(Продажи[Категория],Продажи[[#This Row],[Категория]],Продажи[цена за шт в рублях])</f>
        <v>262.63492063492066</v>
      </c>
      <c r="K308" s="16">
        <f>Продажи[[#This Row],[цена за шт в рублях]]/Продажи[[#This Row],[Средняя цена в категории за шт]]-1</f>
        <v>9.0051976308471726E-3</v>
      </c>
      <c r="L308" t="str">
        <f>VLOOKUP(Продажи[[#This Row],[id товара]],Товары[],3,0)</f>
        <v>Сырная долина</v>
      </c>
      <c r="M308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308" s="16">
        <f>Продажи[[#This Row],[цена за шт в рублях]]/Продажи[[#This Row],[Средняя цена в категории за шт по поставщику]]-1</f>
        <v>-2.2140221402214055E-2</v>
      </c>
      <c r="O308" s="48">
        <f>VLOOKUP(Продажи[[#This Row],[id клиента]],клиенты!$A$2:$E$435,5,0)</f>
        <v>44858</v>
      </c>
      <c r="P308">
        <f>Продажи[[#This Row],[дата создания чека]]-Продажи[[#This Row],[Дата регистрации]]</f>
        <v>334</v>
      </c>
      <c r="Q308" t="str">
        <f>VLOOKUP(Продажи[[#This Row],[id клиента]],клиенты!$A$2:$G$435,7,0)</f>
        <v>Украина</v>
      </c>
      <c r="R308">
        <f>IF(COUNTIF($H$2:H308, H308)=1, 1, 0)</f>
        <v>0</v>
      </c>
      <c r="S308" t="str">
        <f>VLOOKUP(Продажи[[#This Row],[id клиента]],клиенты!$A$2:$D$435,4,0)</f>
        <v>да</v>
      </c>
      <c r="T308" s="54">
        <f>VLOOKUP(Продажи[[#This Row],[id клиента]],клиенты!$A$2:$I$435,9,0)</f>
        <v>18.168377823408623</v>
      </c>
    </row>
    <row r="309" spans="1:20" x14ac:dyDescent="0.25">
      <c r="A309">
        <v>308</v>
      </c>
      <c r="B309">
        <v>74</v>
      </c>
      <c r="C309">
        <v>397</v>
      </c>
      <c r="D309">
        <v>2</v>
      </c>
      <c r="E309" s="35">
        <v>3970</v>
      </c>
      <c r="F309" s="48">
        <v>45178</v>
      </c>
      <c r="G309" t="s">
        <v>19</v>
      </c>
      <c r="H309">
        <v>458</v>
      </c>
      <c r="I309" t="str">
        <f>VLOOKUP(Продажи[[#This Row],[id товара]],Товары[],2,0)</f>
        <v>Колбаса</v>
      </c>
      <c r="J309" s="17">
        <f>AVERAGEIF(Продажи[Категория],Продажи[[#This Row],[Категория]],Продажи[цена за шт в рублях])</f>
        <v>286.92307692307691</v>
      </c>
      <c r="K309" s="16">
        <f>Продажи[[#This Row],[цена за шт в рублях]]/Продажи[[#This Row],[Средняя цена в категории за шт]]-1</f>
        <v>0.38364611260053638</v>
      </c>
      <c r="L309" t="str">
        <f>VLOOKUP(Продажи[[#This Row],[id товара]],Товары[],3,0)</f>
        <v>Черкизово</v>
      </c>
      <c r="M309" s="32">
        <f>AVERAGEIFS(Продажи[цена за шт в рублях],Продажи[Категория],Продажи[[#This Row],[Категория]],Продажи[Поставщик],Продажи[[#This Row],[Поставщик]])</f>
        <v>320.25</v>
      </c>
      <c r="N309" s="16">
        <f>Продажи[[#This Row],[цена за шт в рублях]]/Продажи[[#This Row],[Средняя цена в категории за шт по поставщику]]-1</f>
        <v>0.23965651834504298</v>
      </c>
      <c r="O309" s="48">
        <f>VLOOKUP(Продажи[[#This Row],[id клиента]],клиенты!$A$2:$E$435,5,0)</f>
        <v>44694</v>
      </c>
      <c r="P309">
        <f>Продажи[[#This Row],[дата создания чека]]-Продажи[[#This Row],[Дата регистрации]]</f>
        <v>484</v>
      </c>
      <c r="Q309" t="str">
        <f>VLOOKUP(Продажи[[#This Row],[id клиента]],клиенты!$A$2:$G$435,7,0)</f>
        <v>Россия</v>
      </c>
      <c r="R309">
        <f>IF(COUNTIF($H$2:H309, H309)=1, 1, 0)</f>
        <v>0</v>
      </c>
      <c r="S309" t="str">
        <f>VLOOKUP(Продажи[[#This Row],[id клиента]],клиенты!$A$2:$D$435,4,0)</f>
        <v>да</v>
      </c>
      <c r="T309" s="54">
        <f>VLOOKUP(Продажи[[#This Row],[id клиента]],клиенты!$A$2:$I$435,9,0)</f>
        <v>18.989733059548254</v>
      </c>
    </row>
    <row r="310" spans="1:20" x14ac:dyDescent="0.25">
      <c r="A310">
        <v>309</v>
      </c>
      <c r="B310">
        <v>276</v>
      </c>
      <c r="C310">
        <v>359</v>
      </c>
      <c r="D310">
        <v>2</v>
      </c>
      <c r="E310" s="35">
        <v>3590</v>
      </c>
      <c r="F310" s="48">
        <v>45147</v>
      </c>
      <c r="G310" t="s">
        <v>13</v>
      </c>
      <c r="H310">
        <v>203</v>
      </c>
      <c r="I310" t="str">
        <f>VLOOKUP(Продажи[[#This Row],[id товара]],Товары[],2,0)</f>
        <v>Колбаса</v>
      </c>
      <c r="J310" s="17">
        <f>AVERAGEIF(Продажи[Категория],Продажи[[#This Row],[Категория]],Продажи[цена за шт в рублях])</f>
        <v>286.92307692307691</v>
      </c>
      <c r="K310" s="16">
        <f>Продажи[[#This Row],[цена за шт в рублях]]/Продажи[[#This Row],[Средняя цена в категории за шт]]-1</f>
        <v>0.25120643431635403</v>
      </c>
      <c r="L310" t="str">
        <f>VLOOKUP(Продажи[[#This Row],[id товара]],Товары[],3,0)</f>
        <v>Дымов</v>
      </c>
      <c r="M310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310" s="16">
        <f>Продажи[[#This Row],[цена за шт в рублях]]/Продажи[[#This Row],[Средняя цена в категории за шт по поставщику]]-1</f>
        <v>0.14818763326226003</v>
      </c>
      <c r="O310" s="48">
        <f>VLOOKUP(Продажи[[#This Row],[id клиента]],клиенты!$A$2:$E$435,5,0)</f>
        <v>44685</v>
      </c>
      <c r="P310">
        <f>Продажи[[#This Row],[дата создания чека]]-Продажи[[#This Row],[Дата регистрации]]</f>
        <v>462</v>
      </c>
      <c r="Q310" t="str">
        <f>VLOOKUP(Продажи[[#This Row],[id клиента]],клиенты!$A$2:$G$435,7,0)</f>
        <v>Россия</v>
      </c>
      <c r="R310">
        <f>IF(COUNTIF($H$2:H310, H310)=1, 1, 0)</f>
        <v>0</v>
      </c>
      <c r="S310" t="str">
        <f>VLOOKUP(Продажи[[#This Row],[id клиента]],клиенты!$A$2:$D$435,4,0)</f>
        <v>нет</v>
      </c>
      <c r="T310" s="54">
        <f>VLOOKUP(Продажи[[#This Row],[id клиента]],клиенты!$A$2:$I$435,9,0)</f>
        <v>15.178644763860369</v>
      </c>
    </row>
    <row r="311" spans="1:20" x14ac:dyDescent="0.25">
      <c r="A311">
        <v>310</v>
      </c>
      <c r="B311">
        <v>149</v>
      </c>
      <c r="C311">
        <v>168</v>
      </c>
      <c r="D311">
        <v>4</v>
      </c>
      <c r="E311" s="35">
        <v>3360</v>
      </c>
      <c r="F311" s="48">
        <v>44936</v>
      </c>
      <c r="G311" t="s">
        <v>9</v>
      </c>
      <c r="H311">
        <v>1</v>
      </c>
      <c r="I311" t="str">
        <f>VLOOKUP(Продажи[[#This Row],[id товара]],Товары[],2,0)</f>
        <v>Конфеты</v>
      </c>
      <c r="J311" s="17">
        <f>AVERAGEIF(Продажи[Категория],Продажи[[#This Row],[Категория]],Продажи[цена за шт в рублях])</f>
        <v>267.85483870967744</v>
      </c>
      <c r="K311" s="16">
        <f>Продажи[[#This Row],[цена за шт в рублях]]/Продажи[[#This Row],[Средняя цена в категории за шт]]-1</f>
        <v>-0.37279460468477155</v>
      </c>
      <c r="L311" t="str">
        <f>VLOOKUP(Продажи[[#This Row],[id товара]],Товары[],3,0)</f>
        <v>Бабаевский</v>
      </c>
      <c r="M311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311" s="16">
        <f>Продажи[[#This Row],[цена за шт в рублях]]/Продажи[[#This Row],[Средняя цена в категории за шт по поставщику]]-1</f>
        <v>-0.3286961669379902</v>
      </c>
      <c r="O311" s="48">
        <f>VLOOKUP(Продажи[[#This Row],[id клиента]],клиенты!$A$2:$E$435,5,0)</f>
        <v>44585</v>
      </c>
      <c r="P311">
        <f>Продажи[[#This Row],[дата создания чека]]-Продажи[[#This Row],[Дата регистрации]]</f>
        <v>351</v>
      </c>
      <c r="Q311" t="str">
        <f>VLOOKUP(Продажи[[#This Row],[id клиента]],клиенты!$A$2:$G$435,7,0)</f>
        <v>Россия</v>
      </c>
      <c r="R311">
        <f>IF(COUNTIF($H$2:H311, H311)=1, 1, 0)</f>
        <v>1</v>
      </c>
      <c r="S311" t="str">
        <f>VLOOKUP(Продажи[[#This Row],[id клиента]],клиенты!$A$2:$D$435,4,0)</f>
        <v>да</v>
      </c>
      <c r="T311" s="54">
        <f>VLOOKUP(Продажи[[#This Row],[id клиента]],клиенты!$A$2:$I$435,9,0)</f>
        <v>12.320328542094456</v>
      </c>
    </row>
    <row r="312" spans="1:20" x14ac:dyDescent="0.25">
      <c r="A312">
        <v>311</v>
      </c>
      <c r="B312">
        <v>229</v>
      </c>
      <c r="C312">
        <v>156</v>
      </c>
      <c r="D312">
        <v>4</v>
      </c>
      <c r="E312" s="35">
        <v>3120</v>
      </c>
      <c r="F312" s="48">
        <v>45168</v>
      </c>
      <c r="G312" t="s">
        <v>22</v>
      </c>
      <c r="H312">
        <v>204</v>
      </c>
      <c r="I312" t="str">
        <f>VLOOKUP(Продажи[[#This Row],[id товара]],Товары[],2,0)</f>
        <v>Мясо</v>
      </c>
      <c r="J312" s="17">
        <f>AVERAGEIF(Продажи[Категория],Продажи[[#This Row],[Категория]],Продажи[цена за шт в рублях])</f>
        <v>271.74545454545455</v>
      </c>
      <c r="K312" s="16">
        <f>Продажи[[#This Row],[цена за шт в рублях]]/Продажи[[#This Row],[Средняя цена в категории за шт]]-1</f>
        <v>-0.42593336009634686</v>
      </c>
      <c r="L312" t="str">
        <f>VLOOKUP(Продажи[[#This Row],[id товара]],Товары[],3,0)</f>
        <v>Сава</v>
      </c>
      <c r="M312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312" s="16">
        <f>Продажи[[#This Row],[цена за шт в рублях]]/Продажи[[#This Row],[Средняя цена в категории за шт по поставщику]]-1</f>
        <v>-0.2669603524229075</v>
      </c>
      <c r="O312" s="48">
        <f>VLOOKUP(Продажи[[#This Row],[id клиента]],клиенты!$A$2:$E$435,5,0)</f>
        <v>44867</v>
      </c>
      <c r="P312">
        <f>Продажи[[#This Row],[дата создания чека]]-Продажи[[#This Row],[Дата регистрации]]</f>
        <v>301</v>
      </c>
      <c r="Q312" t="str">
        <f>VLOOKUP(Продажи[[#This Row],[id клиента]],клиенты!$A$2:$G$435,7,0)</f>
        <v>Россия</v>
      </c>
      <c r="R312">
        <f>IF(COUNTIF($H$2:H312, H312)=1, 1, 0)</f>
        <v>0</v>
      </c>
      <c r="S312" t="str">
        <f>VLOOKUP(Продажи[[#This Row],[id клиента]],клиенты!$A$2:$D$435,4,0)</f>
        <v>да</v>
      </c>
      <c r="T312" s="54">
        <f>VLOOKUP(Продажи[[#This Row],[id клиента]],клиенты!$A$2:$I$435,9,0)</f>
        <v>9.8891170431211499</v>
      </c>
    </row>
    <row r="313" spans="1:20" x14ac:dyDescent="0.25">
      <c r="A313">
        <v>312</v>
      </c>
      <c r="B313">
        <v>28</v>
      </c>
      <c r="C313">
        <v>78</v>
      </c>
      <c r="D313">
        <v>4</v>
      </c>
      <c r="E313" s="35">
        <v>1560</v>
      </c>
      <c r="F313" s="48">
        <v>44955</v>
      </c>
      <c r="G313" t="s">
        <v>22</v>
      </c>
      <c r="H313">
        <v>490</v>
      </c>
      <c r="I313" t="str">
        <f>VLOOKUP(Продажи[[#This Row],[id товара]],Товары[],2,0)</f>
        <v>Крупа</v>
      </c>
      <c r="J313" s="17">
        <f>AVERAGEIF(Продажи[Категория],Продажи[[#This Row],[Категория]],Продажи[цена за шт в рублях])</f>
        <v>255.11627906976744</v>
      </c>
      <c r="K313" s="16">
        <f>Продажи[[#This Row],[цена за шт в рублях]]/Продажи[[#This Row],[Средняя цена в категории за шт]]-1</f>
        <v>-0.69425706472196902</v>
      </c>
      <c r="L313" t="str">
        <f>VLOOKUP(Продажи[[#This Row],[id товара]],Товары[],3,0)</f>
        <v>Националь</v>
      </c>
      <c r="M313" s="32">
        <f>AVERAGEIFS(Продажи[цена за шт в рублях],Продажи[Категория],Продажи[[#This Row],[Категория]],Продажи[Поставщик],Продажи[[#This Row],[Поставщик]])</f>
        <v>274.28571428571428</v>
      </c>
      <c r="N313" s="16">
        <f>Продажи[[#This Row],[цена за шт в рублях]]/Продажи[[#This Row],[Средняя цена в категории за шт по поставщику]]-1</f>
        <v>-0.71562499999999996</v>
      </c>
      <c r="O313" s="48">
        <f>VLOOKUP(Продажи[[#This Row],[id клиента]],клиенты!$A$2:$E$435,5,0)</f>
        <v>44603</v>
      </c>
      <c r="P313">
        <f>Продажи[[#This Row],[дата создания чека]]-Продажи[[#This Row],[Дата регистрации]]</f>
        <v>352</v>
      </c>
      <c r="Q313" t="str">
        <f>VLOOKUP(Продажи[[#This Row],[id клиента]],клиенты!$A$2:$G$435,7,0)</f>
        <v>Россия</v>
      </c>
      <c r="R313">
        <f>IF(COUNTIF($H$2:H313, H313)=1, 1, 0)</f>
        <v>0</v>
      </c>
      <c r="S313" t="str">
        <f>VLOOKUP(Продажи[[#This Row],[id клиента]],клиенты!$A$2:$D$435,4,0)</f>
        <v>нет</v>
      </c>
      <c r="T313" s="54">
        <f>VLOOKUP(Продажи[[#This Row],[id клиента]],клиенты!$A$2:$I$435,9,0)</f>
        <v>25.232032854209447</v>
      </c>
    </row>
    <row r="314" spans="1:20" x14ac:dyDescent="0.25">
      <c r="A314">
        <v>313</v>
      </c>
      <c r="B314">
        <v>260</v>
      </c>
      <c r="C314">
        <v>489</v>
      </c>
      <c r="D314">
        <v>3</v>
      </c>
      <c r="E314" s="35">
        <v>7335</v>
      </c>
      <c r="F314" s="48">
        <v>45297</v>
      </c>
      <c r="G314" t="s">
        <v>25</v>
      </c>
      <c r="H314">
        <v>98</v>
      </c>
      <c r="I314" t="str">
        <f>VLOOKUP(Продажи[[#This Row],[id товара]],Товары[],2,0)</f>
        <v>Соль</v>
      </c>
      <c r="J314" s="17">
        <f>AVERAGEIF(Продажи[Категория],Продажи[[#This Row],[Категория]],Продажи[цена за шт в рублях])</f>
        <v>264.8679245283019</v>
      </c>
      <c r="K314" s="16">
        <f>Продажи[[#This Row],[цена за шт в рублях]]/Продажи[[#This Row],[Средняя цена в категории за шт]]-1</f>
        <v>0.84620316284370989</v>
      </c>
      <c r="L314" t="str">
        <f>VLOOKUP(Продажи[[#This Row],[id товара]],Товары[],3,0)</f>
        <v>Экстра</v>
      </c>
      <c r="M314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314" s="16">
        <f>Продажи[[#This Row],[цена за шт в рублях]]/Продажи[[#This Row],[Средняя цена в категории за шт по поставщику]]-1</f>
        <v>0.52409494126108847</v>
      </c>
      <c r="O314" s="48">
        <f>VLOOKUP(Продажи[[#This Row],[id клиента]],клиенты!$A$2:$E$435,5,0)</f>
        <v>44637</v>
      </c>
      <c r="P314">
        <f>Продажи[[#This Row],[дата создания чека]]-Продажи[[#This Row],[Дата регистрации]]</f>
        <v>660</v>
      </c>
      <c r="Q314" t="str">
        <f>VLOOKUP(Продажи[[#This Row],[id клиента]],клиенты!$A$2:$G$435,7,0)</f>
        <v>Россия</v>
      </c>
      <c r="R314">
        <f>IF(COUNTIF($H$2:H314, H314)=1, 1, 0)</f>
        <v>1</v>
      </c>
      <c r="S314" t="str">
        <f>VLOOKUP(Продажи[[#This Row],[id клиента]],клиенты!$A$2:$D$435,4,0)</f>
        <v>да</v>
      </c>
      <c r="T314" s="54">
        <f>VLOOKUP(Продажи[[#This Row],[id клиента]],клиенты!$A$2:$I$435,9,0)</f>
        <v>21.683778234086244</v>
      </c>
    </row>
    <row r="315" spans="1:20" x14ac:dyDescent="0.25">
      <c r="A315">
        <v>314</v>
      </c>
      <c r="B315">
        <v>140</v>
      </c>
      <c r="C315">
        <v>106</v>
      </c>
      <c r="D315">
        <v>3</v>
      </c>
      <c r="E315" s="35">
        <v>1590</v>
      </c>
      <c r="F315" s="48">
        <v>44949</v>
      </c>
      <c r="G315" t="s">
        <v>11</v>
      </c>
      <c r="H315">
        <v>181</v>
      </c>
      <c r="I315" t="str">
        <f>VLOOKUP(Продажи[[#This Row],[id товара]],Товары[],2,0)</f>
        <v>Рис</v>
      </c>
      <c r="J315" s="17">
        <f>AVERAGEIF(Продажи[Категория],Продажи[[#This Row],[Категория]],Продажи[цена за шт в рублях])</f>
        <v>258.375</v>
      </c>
      <c r="K315" s="16">
        <f>Продажи[[#This Row],[цена за шт в рублях]]/Продажи[[#This Row],[Средняя цена в категории за шт]]-1</f>
        <v>-0.58974358974358976</v>
      </c>
      <c r="L315" t="str">
        <f>VLOOKUP(Продажи[[#This Row],[id товара]],Товары[],3,0)</f>
        <v>Белый Злат</v>
      </c>
      <c r="M315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315" s="16">
        <f>Продажи[[#This Row],[цена за шт в рублях]]/Продажи[[#This Row],[Средняя цена в категории за шт по поставщику]]-1</f>
        <v>-0.60697928026172299</v>
      </c>
      <c r="O315" s="48">
        <f>VLOOKUP(Продажи[[#This Row],[id клиента]],клиенты!$A$2:$E$435,5,0)</f>
        <v>44568</v>
      </c>
      <c r="P315">
        <f>Продажи[[#This Row],[дата создания чека]]-Продажи[[#This Row],[Дата регистрации]]</f>
        <v>381</v>
      </c>
      <c r="Q315" t="str">
        <f>VLOOKUP(Продажи[[#This Row],[id клиента]],клиенты!$A$2:$G$435,7,0)</f>
        <v>Украина</v>
      </c>
      <c r="R315">
        <f>IF(COUNTIF($H$2:H315, H315)=1, 1, 0)</f>
        <v>0</v>
      </c>
      <c r="S315" t="str">
        <f>VLOOKUP(Продажи[[#This Row],[id клиента]],клиенты!$A$2:$D$435,4,0)</f>
        <v>да</v>
      </c>
      <c r="T315" s="54">
        <f>VLOOKUP(Продажи[[#This Row],[id клиента]],клиенты!$A$2:$I$435,9,0)</f>
        <v>28.090349075975361</v>
      </c>
    </row>
    <row r="316" spans="1:20" x14ac:dyDescent="0.25">
      <c r="A316">
        <v>315</v>
      </c>
      <c r="B316">
        <v>270</v>
      </c>
      <c r="C316">
        <v>204</v>
      </c>
      <c r="D316">
        <v>3</v>
      </c>
      <c r="E316" s="35">
        <v>3060</v>
      </c>
      <c r="F316" s="48">
        <v>45009</v>
      </c>
      <c r="G316" t="s">
        <v>21</v>
      </c>
      <c r="H316">
        <v>226</v>
      </c>
      <c r="I316" t="str">
        <f>VLOOKUP(Продажи[[#This Row],[id товара]],Товары[],2,0)</f>
        <v>Соль</v>
      </c>
      <c r="J316" s="17">
        <f>AVERAGEIF(Продажи[Категория],Продажи[[#This Row],[Категория]],Продажи[цена за шт в рублях])</f>
        <v>264.8679245283019</v>
      </c>
      <c r="K316" s="16">
        <f>Продажи[[#This Row],[цена за шт в рублях]]/Продажи[[#This Row],[Средняя цена в категории за шт]]-1</f>
        <v>-0.22980481550078358</v>
      </c>
      <c r="L316" t="str">
        <f>VLOOKUP(Продажи[[#This Row],[id товара]],Товары[],3,0)</f>
        <v>Славянская</v>
      </c>
      <c r="M316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316" s="16">
        <f>Продажи[[#This Row],[цена за шт в рублях]]/Продажи[[#This Row],[Средняя цена в категории за шт по поставщику]]-1</f>
        <v>-0.13893774182201901</v>
      </c>
      <c r="O316" s="48">
        <f>VLOOKUP(Продажи[[#This Row],[id клиента]],клиенты!$A$2:$E$435,5,0)</f>
        <v>44702</v>
      </c>
      <c r="P316">
        <f>Продажи[[#This Row],[дата создания чека]]-Продажи[[#This Row],[Дата регистрации]]</f>
        <v>307</v>
      </c>
      <c r="Q316" t="str">
        <f>VLOOKUP(Продажи[[#This Row],[id клиента]],клиенты!$A$2:$G$435,7,0)</f>
        <v>Россия</v>
      </c>
      <c r="R316">
        <f>IF(COUNTIF($H$2:H316, H316)=1, 1, 0)</f>
        <v>1</v>
      </c>
      <c r="S316" t="str">
        <f>VLOOKUP(Продажи[[#This Row],[id клиента]],клиенты!$A$2:$D$435,4,0)</f>
        <v>да</v>
      </c>
      <c r="T316" s="54">
        <f>VLOOKUP(Продажи[[#This Row],[id клиента]],клиенты!$A$2:$I$435,9,0)</f>
        <v>10.086242299794661</v>
      </c>
    </row>
    <row r="317" spans="1:20" x14ac:dyDescent="0.25">
      <c r="A317">
        <v>316</v>
      </c>
      <c r="B317">
        <v>67</v>
      </c>
      <c r="C317">
        <v>317</v>
      </c>
      <c r="D317">
        <v>4</v>
      </c>
      <c r="E317" s="35">
        <v>6340</v>
      </c>
      <c r="F317" s="48">
        <v>45222</v>
      </c>
      <c r="G317" t="s">
        <v>12</v>
      </c>
      <c r="H317">
        <v>322</v>
      </c>
      <c r="I317" t="str">
        <f>VLOOKUP(Продажи[[#This Row],[id товара]],Товары[],2,0)</f>
        <v>Йогурт</v>
      </c>
      <c r="J317" s="17">
        <f>AVERAGEIF(Продажи[Категория],Продажи[[#This Row],[Категория]],Продажи[цена за шт в рублях])</f>
        <v>263.25423728813558</v>
      </c>
      <c r="K317" s="16">
        <f>Продажи[[#This Row],[цена за шт в рублях]]/Продажи[[#This Row],[Средняя цена в категории за шт]]-1</f>
        <v>0.20415915529229989</v>
      </c>
      <c r="L317" t="str">
        <f>VLOOKUP(Продажи[[#This Row],[id товара]],Товары[],3,0)</f>
        <v>Чудо</v>
      </c>
      <c r="M317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317" s="16">
        <f>Продажи[[#This Row],[цена за шт в рублях]]/Продажи[[#This Row],[Средняя цена в категории за шт по поставщику]]-1</f>
        <v>0.10414489724834541</v>
      </c>
      <c r="O317" s="48">
        <f>VLOOKUP(Продажи[[#This Row],[id клиента]],клиенты!$A$2:$E$435,5,0)</f>
        <v>44886</v>
      </c>
      <c r="P317">
        <f>Продажи[[#This Row],[дата создания чека]]-Продажи[[#This Row],[Дата регистрации]]</f>
        <v>336</v>
      </c>
      <c r="Q317" t="str">
        <f>VLOOKUP(Продажи[[#This Row],[id клиента]],клиенты!$A$2:$G$435,7,0)</f>
        <v>Украина</v>
      </c>
      <c r="R317">
        <f>IF(COUNTIF($H$2:H317, H317)=1, 1, 0)</f>
        <v>0</v>
      </c>
      <c r="S317" t="str">
        <f>VLOOKUP(Продажи[[#This Row],[id клиента]],клиенты!$A$2:$D$435,4,0)</f>
        <v>да</v>
      </c>
      <c r="T317" s="54">
        <f>VLOOKUP(Продажи[[#This Row],[id клиента]],клиенты!$A$2:$I$435,9,0)</f>
        <v>11.039014373716633</v>
      </c>
    </row>
    <row r="318" spans="1:20" x14ac:dyDescent="0.25">
      <c r="A318">
        <v>317</v>
      </c>
      <c r="B318">
        <v>448</v>
      </c>
      <c r="C318">
        <v>442</v>
      </c>
      <c r="D318">
        <v>1</v>
      </c>
      <c r="E318" s="35">
        <v>2210</v>
      </c>
      <c r="F318" s="48">
        <v>45040</v>
      </c>
      <c r="G318" t="s">
        <v>23</v>
      </c>
      <c r="H318">
        <v>296</v>
      </c>
      <c r="I318" t="str">
        <f>VLOOKUP(Продажи[[#This Row],[id товара]],Товары[],2,0)</f>
        <v>Йогурт</v>
      </c>
      <c r="J318" s="17">
        <f>AVERAGEIF(Продажи[Категория],Продажи[[#This Row],[Категория]],Продажи[цена за шт в рублях])</f>
        <v>263.25423728813558</v>
      </c>
      <c r="K318" s="16">
        <f>Продажи[[#This Row],[цена за шт в рублях]]/Продажи[[#This Row],[Средняя цена в категории за шт]]-1</f>
        <v>0.67898532062838024</v>
      </c>
      <c r="L318" t="str">
        <f>VLOOKUP(Продажи[[#This Row],[id товара]],Товары[],3,0)</f>
        <v>Ростагроэкспорт</v>
      </c>
      <c r="M318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18" s="16">
        <f>Продажи[[#This Row],[цена за шт в рублях]]/Продажи[[#This Row],[Средняя цена в категории за шт по поставщику]]-1</f>
        <v>0.7146230392983639</v>
      </c>
      <c r="O318" s="48">
        <f>VLOOKUP(Продажи[[#This Row],[id клиента]],клиенты!$A$2:$E$435,5,0)</f>
        <v>44758</v>
      </c>
      <c r="P318">
        <f>Продажи[[#This Row],[дата создания чека]]-Продажи[[#This Row],[Дата регистрации]]</f>
        <v>282</v>
      </c>
      <c r="Q318" t="str">
        <f>VLOOKUP(Продажи[[#This Row],[id клиента]],клиенты!$A$2:$G$435,7,0)</f>
        <v>Узбекистан</v>
      </c>
      <c r="R318">
        <f>IF(COUNTIF($H$2:H318, H318)=1, 1, 0)</f>
        <v>1</v>
      </c>
      <c r="S318" t="str">
        <f>VLOOKUP(Продажи[[#This Row],[id клиента]],клиенты!$A$2:$D$435,4,0)</f>
        <v>нет</v>
      </c>
      <c r="T318" s="54">
        <f>VLOOKUP(Продажи[[#This Row],[id клиента]],клиенты!$A$2:$I$435,9,0)</f>
        <v>20.238193018480494</v>
      </c>
    </row>
    <row r="319" spans="1:20" x14ac:dyDescent="0.25">
      <c r="A319">
        <v>318</v>
      </c>
      <c r="B319">
        <v>331</v>
      </c>
      <c r="C319">
        <v>88</v>
      </c>
      <c r="D319">
        <v>3</v>
      </c>
      <c r="E319" s="35">
        <v>1320</v>
      </c>
      <c r="F319" s="48">
        <v>45211</v>
      </c>
      <c r="G319" t="s">
        <v>8</v>
      </c>
      <c r="H319">
        <v>458</v>
      </c>
      <c r="I319" t="str">
        <f>VLOOKUP(Продажи[[#This Row],[id товара]],Товары[],2,0)</f>
        <v>Соль</v>
      </c>
      <c r="J319" s="17">
        <f>AVERAGEIF(Продажи[Категория],Продажи[[#This Row],[Категория]],Продажи[цена за шт в рублях])</f>
        <v>264.8679245283019</v>
      </c>
      <c r="K319" s="16">
        <f>Продажи[[#This Row],[цена за шт в рублях]]/Продажи[[#This Row],[Средняя цена в категории за шт]]-1</f>
        <v>-0.66775894001994596</v>
      </c>
      <c r="L319" t="str">
        <f>VLOOKUP(Продажи[[#This Row],[id товара]],Товары[],3,0)</f>
        <v>Салта</v>
      </c>
      <c r="M319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319" s="16">
        <f>Продажи[[#This Row],[цена за шт в рублях]]/Продажи[[#This Row],[Средняя цена в категории за шт по поставщику]]-1</f>
        <v>-0.67848008768724877</v>
      </c>
      <c r="O319" s="48">
        <f>VLOOKUP(Продажи[[#This Row],[id клиента]],клиенты!$A$2:$E$435,5,0)</f>
        <v>44694</v>
      </c>
      <c r="P319">
        <f>Продажи[[#This Row],[дата создания чека]]-Продажи[[#This Row],[Дата регистрации]]</f>
        <v>517</v>
      </c>
      <c r="Q319" t="str">
        <f>VLOOKUP(Продажи[[#This Row],[id клиента]],клиенты!$A$2:$G$435,7,0)</f>
        <v>Россия</v>
      </c>
      <c r="R319">
        <f>IF(COUNTIF($H$2:H319, H319)=1, 1, 0)</f>
        <v>0</v>
      </c>
      <c r="S319" t="str">
        <f>VLOOKUP(Продажи[[#This Row],[id клиента]],клиенты!$A$2:$D$435,4,0)</f>
        <v>да</v>
      </c>
      <c r="T319" s="54">
        <f>VLOOKUP(Продажи[[#This Row],[id клиента]],клиенты!$A$2:$I$435,9,0)</f>
        <v>18.989733059548254</v>
      </c>
    </row>
    <row r="320" spans="1:20" x14ac:dyDescent="0.25">
      <c r="A320">
        <v>319</v>
      </c>
      <c r="B320">
        <v>325</v>
      </c>
      <c r="C320">
        <v>99</v>
      </c>
      <c r="D320">
        <v>2</v>
      </c>
      <c r="E320" s="35">
        <v>990</v>
      </c>
      <c r="F320" s="48">
        <v>45184</v>
      </c>
      <c r="G320" t="s">
        <v>16</v>
      </c>
      <c r="H320">
        <v>11</v>
      </c>
      <c r="I320" t="str">
        <f>VLOOKUP(Продажи[[#This Row],[id товара]],Товары[],2,0)</f>
        <v>Сок</v>
      </c>
      <c r="J320" s="17">
        <f>AVERAGEIF(Продажи[Категория],Продажи[[#This Row],[Категория]],Продажи[цена за шт в рублях])</f>
        <v>268.60344827586209</v>
      </c>
      <c r="K320" s="16">
        <f>Продажи[[#This Row],[цена за шт в рублях]]/Продажи[[#This Row],[Средняя цена в категории за шт]]-1</f>
        <v>-0.63142692085499719</v>
      </c>
      <c r="L320" t="str">
        <f>VLOOKUP(Продажи[[#This Row],[id товара]],Товары[],3,0)</f>
        <v>Добрый</v>
      </c>
      <c r="M320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320" s="16">
        <f>Продажи[[#This Row],[цена за шт в рублях]]/Продажи[[#This Row],[Средняя цена в категории за шт по поставщику]]-1</f>
        <v>-0.59228753275926627</v>
      </c>
      <c r="O320" s="48">
        <f>VLOOKUP(Продажи[[#This Row],[id клиента]],клиенты!$A$2:$E$435,5,0)</f>
        <v>44690</v>
      </c>
      <c r="P320">
        <f>Продажи[[#This Row],[дата создания чека]]-Продажи[[#This Row],[Дата регистрации]]</f>
        <v>494</v>
      </c>
      <c r="Q320" t="str">
        <f>VLOOKUP(Продажи[[#This Row],[id клиента]],клиенты!$A$2:$G$435,7,0)</f>
        <v>Таджикистан</v>
      </c>
      <c r="R320">
        <f>IF(COUNTIF($H$2:H320, H320)=1, 1, 0)</f>
        <v>0</v>
      </c>
      <c r="S320" t="str">
        <f>VLOOKUP(Продажи[[#This Row],[id клиента]],клиенты!$A$2:$D$435,4,0)</f>
        <v>нет</v>
      </c>
      <c r="T320" s="54">
        <f>VLOOKUP(Продажи[[#This Row],[id клиента]],клиенты!$A$2:$I$435,9,0)</f>
        <v>22.04517453798768</v>
      </c>
    </row>
    <row r="321" spans="1:20" x14ac:dyDescent="0.25">
      <c r="A321">
        <v>320</v>
      </c>
      <c r="B321">
        <v>346</v>
      </c>
      <c r="C321">
        <v>178</v>
      </c>
      <c r="D321">
        <v>5</v>
      </c>
      <c r="E321" s="35">
        <v>4450</v>
      </c>
      <c r="F321" s="48">
        <v>45297</v>
      </c>
      <c r="G321" t="s">
        <v>22</v>
      </c>
      <c r="H321">
        <v>75</v>
      </c>
      <c r="I321" t="str">
        <f>VLOOKUP(Продажи[[#This Row],[id товара]],Товары[],2,0)</f>
        <v>Чай</v>
      </c>
      <c r="J321" s="17">
        <f>AVERAGEIF(Продажи[Категория],Продажи[[#This Row],[Категория]],Продажи[цена за шт в рублях])</f>
        <v>271.18181818181819</v>
      </c>
      <c r="K321" s="16">
        <f>Продажи[[#This Row],[цена за шт в рублях]]/Продажи[[#This Row],[Средняя цена в категории за шт]]-1</f>
        <v>-0.34361381159906135</v>
      </c>
      <c r="L321" t="str">
        <f>VLOOKUP(Продажи[[#This Row],[id товара]],Товары[],3,0)</f>
        <v>Greenfield</v>
      </c>
      <c r="M321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321" s="16">
        <f>Продажи[[#This Row],[цена за шт в рублях]]/Продажи[[#This Row],[Средняя цена в категории за шт по поставщику]]-1</f>
        <v>-0.38927011852776039</v>
      </c>
      <c r="O321" s="48">
        <f>VLOOKUP(Продажи[[#This Row],[id клиента]],клиенты!$A$2:$E$435,5,0)</f>
        <v>44796</v>
      </c>
      <c r="P321">
        <f>Продажи[[#This Row],[дата создания чека]]-Продажи[[#This Row],[Дата регистрации]]</f>
        <v>501</v>
      </c>
      <c r="Q321" t="str">
        <f>VLOOKUP(Продажи[[#This Row],[id клиента]],клиенты!$A$2:$G$435,7,0)</f>
        <v>Украина</v>
      </c>
      <c r="R321">
        <f>IF(COUNTIF($H$2:H321, H321)=1, 1, 0)</f>
        <v>0</v>
      </c>
      <c r="S321" t="str">
        <f>VLOOKUP(Продажи[[#This Row],[id клиента]],клиенты!$A$2:$D$435,4,0)</f>
        <v>нет</v>
      </c>
      <c r="T321" s="54">
        <f>VLOOKUP(Продажи[[#This Row],[id клиента]],клиенты!$A$2:$I$435,9,0)</f>
        <v>16.459958932238195</v>
      </c>
    </row>
    <row r="322" spans="1:20" x14ac:dyDescent="0.25">
      <c r="A322">
        <v>321</v>
      </c>
      <c r="B322">
        <v>397</v>
      </c>
      <c r="C322">
        <v>299</v>
      </c>
      <c r="D322">
        <v>3</v>
      </c>
      <c r="E322" s="35">
        <v>4485</v>
      </c>
      <c r="F322" s="48">
        <v>45064</v>
      </c>
      <c r="G322" t="s">
        <v>15</v>
      </c>
      <c r="H322">
        <v>29</v>
      </c>
      <c r="I322" t="str">
        <f>VLOOKUP(Продажи[[#This Row],[id товара]],Товары[],2,0)</f>
        <v>Йогурт</v>
      </c>
      <c r="J322" s="17">
        <f>AVERAGEIF(Продажи[Категория],Продажи[[#This Row],[Категория]],Продажи[цена за шт в рублях])</f>
        <v>263.25423728813558</v>
      </c>
      <c r="K322" s="16">
        <f>Продажи[[#This Row],[цена за шт в рублях]]/Продажи[[#This Row],[Средняя цена в категории за шт]]-1</f>
        <v>0.13578418748390431</v>
      </c>
      <c r="L322" t="str">
        <f>VLOOKUP(Продажи[[#This Row],[id товара]],Товары[],3,0)</f>
        <v>Ростагроэкспорт</v>
      </c>
      <c r="M322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22" s="16">
        <f>Продажи[[#This Row],[цена за шт в рублях]]/Продажи[[#This Row],[Средняя цена в категории за шт по поставщику]]-1</f>
        <v>0.15989205599595202</v>
      </c>
      <c r="O322" s="48">
        <f>VLOOKUP(Продажи[[#This Row],[id клиента]],клиенты!$A$2:$E$435,5,0)</f>
        <v>44704</v>
      </c>
      <c r="P322">
        <f>Продажи[[#This Row],[дата создания чека]]-Продажи[[#This Row],[Дата регистрации]]</f>
        <v>360</v>
      </c>
      <c r="Q322" t="str">
        <f>VLOOKUP(Продажи[[#This Row],[id клиента]],клиенты!$A$2:$G$435,7,0)</f>
        <v>Россия</v>
      </c>
      <c r="R322">
        <f>IF(COUNTIF($H$2:H322, H322)=1, 1, 0)</f>
        <v>1</v>
      </c>
      <c r="S322" t="str">
        <f>VLOOKUP(Продажи[[#This Row],[id клиента]],клиенты!$A$2:$D$435,4,0)</f>
        <v>да</v>
      </c>
      <c r="T322" s="54">
        <f>VLOOKUP(Продажи[[#This Row],[id клиента]],клиенты!$A$2:$I$435,9,0)</f>
        <v>11.827515400410677</v>
      </c>
    </row>
    <row r="323" spans="1:20" x14ac:dyDescent="0.25">
      <c r="A323">
        <v>322</v>
      </c>
      <c r="B323">
        <v>115</v>
      </c>
      <c r="C323">
        <v>479</v>
      </c>
      <c r="D323">
        <v>1</v>
      </c>
      <c r="E323" s="35">
        <v>2395</v>
      </c>
      <c r="F323" s="48">
        <v>45283</v>
      </c>
      <c r="G323" t="s">
        <v>20</v>
      </c>
      <c r="H323">
        <v>297</v>
      </c>
      <c r="I323" t="str">
        <f>VLOOKUP(Продажи[[#This Row],[id товара]],Товары[],2,0)</f>
        <v>Сыр</v>
      </c>
      <c r="J323" s="17">
        <f>AVERAGEIF(Продажи[Категория],Продажи[[#This Row],[Категория]],Продажи[цена за шт в рублях])</f>
        <v>262.63492063492066</v>
      </c>
      <c r="K323" s="16">
        <f>Продажи[[#This Row],[цена за шт в рублях]]/Продажи[[#This Row],[Средняя цена в категории за шт]]-1</f>
        <v>0.82382448930255037</v>
      </c>
      <c r="L323" t="str">
        <f>VLOOKUP(Продажи[[#This Row],[id товара]],Товары[],3,0)</f>
        <v>President</v>
      </c>
      <c r="M323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323" s="16">
        <f>Продажи[[#This Row],[цена за шт в рублях]]/Продажи[[#This Row],[Средняя цена в категории за шт по поставщику]]-1</f>
        <v>1.0065161740749358</v>
      </c>
      <c r="O323" s="48">
        <f>VLOOKUP(Продажи[[#This Row],[id клиента]],клиенты!$A$2:$E$435,5,0)</f>
        <v>44666</v>
      </c>
      <c r="P323">
        <f>Продажи[[#This Row],[дата создания чека]]-Продажи[[#This Row],[Дата регистрации]]</f>
        <v>617</v>
      </c>
      <c r="Q323" t="str">
        <f>VLOOKUP(Продажи[[#This Row],[id клиента]],клиенты!$A$2:$G$435,7,0)</f>
        <v>Украина</v>
      </c>
      <c r="R323">
        <f>IF(COUNTIF($H$2:H323, H323)=1, 1, 0)</f>
        <v>1</v>
      </c>
      <c r="S323" t="str">
        <f>VLOOKUP(Продажи[[#This Row],[id клиента]],клиенты!$A$2:$D$435,4,0)</f>
        <v>нет</v>
      </c>
      <c r="T323" s="54">
        <f>VLOOKUP(Продажи[[#This Row],[id клиента]],клиенты!$A$2:$I$435,9,0)</f>
        <v>20.271047227926079</v>
      </c>
    </row>
    <row r="324" spans="1:20" x14ac:dyDescent="0.25">
      <c r="A324">
        <v>323</v>
      </c>
      <c r="B324">
        <v>360</v>
      </c>
      <c r="C324">
        <v>463</v>
      </c>
      <c r="D324">
        <v>3</v>
      </c>
      <c r="E324" s="35">
        <v>6945</v>
      </c>
      <c r="F324" s="48">
        <v>45258</v>
      </c>
      <c r="G324" t="s">
        <v>27</v>
      </c>
      <c r="H324">
        <v>497</v>
      </c>
      <c r="I324" t="str">
        <f>VLOOKUP(Продажи[[#This Row],[id товара]],Товары[],2,0)</f>
        <v>Соль</v>
      </c>
      <c r="J324" s="17">
        <f>AVERAGEIF(Продажи[Категория],Продажи[[#This Row],[Категория]],Продажи[цена за шт в рублях])</f>
        <v>264.8679245283019</v>
      </c>
      <c r="K324" s="16">
        <f>Продажи[[#This Row],[цена за шт в рублях]]/Продажи[[#This Row],[Средняя цена в категории за шт]]-1</f>
        <v>0.74804103148596668</v>
      </c>
      <c r="L324" t="str">
        <f>VLOOKUP(Продажи[[#This Row],[id товара]],Товары[],3,0)</f>
        <v>Славянская</v>
      </c>
      <c r="M324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324" s="16">
        <f>Продажи[[#This Row],[цена за шт в рублях]]/Продажи[[#This Row],[Средняя цена в категории за шт по поставщику]]-1</f>
        <v>0.95427365459022173</v>
      </c>
      <c r="O324" s="48">
        <f>VLOOKUP(Продажи[[#This Row],[id клиента]],клиенты!$A$2:$E$435,5,0)</f>
        <v>44826</v>
      </c>
      <c r="P324">
        <f>Продажи[[#This Row],[дата создания чека]]-Продажи[[#This Row],[Дата регистрации]]</f>
        <v>432</v>
      </c>
      <c r="Q324" t="str">
        <f>VLOOKUP(Продажи[[#This Row],[id клиента]],клиенты!$A$2:$G$435,7,0)</f>
        <v>Узбекистан</v>
      </c>
      <c r="R324">
        <f>IF(COUNTIF($H$2:H324, H324)=1, 1, 0)</f>
        <v>1</v>
      </c>
      <c r="S324" t="str">
        <f>VLOOKUP(Продажи[[#This Row],[id клиента]],клиенты!$A$2:$D$435,4,0)</f>
        <v>нет</v>
      </c>
      <c r="T324" s="54">
        <f>VLOOKUP(Продажи[[#This Row],[id клиента]],клиенты!$A$2:$I$435,9,0)</f>
        <v>14.193018480492814</v>
      </c>
    </row>
    <row r="325" spans="1:20" x14ac:dyDescent="0.25">
      <c r="A325">
        <v>324</v>
      </c>
      <c r="B325">
        <v>230</v>
      </c>
      <c r="C325">
        <v>431</v>
      </c>
      <c r="D325">
        <v>3</v>
      </c>
      <c r="E325" s="35">
        <v>6465</v>
      </c>
      <c r="F325" s="48">
        <v>45282</v>
      </c>
      <c r="G325" t="s">
        <v>26</v>
      </c>
      <c r="H325">
        <v>191</v>
      </c>
      <c r="I325" t="str">
        <f>VLOOKUP(Продажи[[#This Row],[id товара]],Товары[],2,0)</f>
        <v>Сок</v>
      </c>
      <c r="J325" s="17">
        <f>AVERAGEIF(Продажи[Категория],Продажи[[#This Row],[Категория]],Продажи[цена за шт в рублях])</f>
        <v>268.60344827586209</v>
      </c>
      <c r="K325" s="16">
        <f>Продажи[[#This Row],[цена за шт в рублях]]/Продажи[[#This Row],[Средняя цена в категории за шт]]-1</f>
        <v>0.60459593041915394</v>
      </c>
      <c r="L325" t="str">
        <f>VLOOKUP(Продажи[[#This Row],[id товара]],Товары[],3,0)</f>
        <v>Фруктовый сад</v>
      </c>
      <c r="M32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325" s="16">
        <f>Продажи[[#This Row],[цена за шт в рублях]]/Продажи[[#This Row],[Средняя цена в категории за шт по поставщику]]-1</f>
        <v>0.52853818020613996</v>
      </c>
      <c r="O325" s="48">
        <f>VLOOKUP(Продажи[[#This Row],[id клиента]],клиенты!$A$2:$E$435,5,0)</f>
        <v>44866</v>
      </c>
      <c r="P325">
        <f>Продажи[[#This Row],[дата создания чека]]-Продажи[[#This Row],[Дата регистрации]]</f>
        <v>416</v>
      </c>
      <c r="Q325" t="str">
        <f>VLOOKUP(Продажи[[#This Row],[id клиента]],клиенты!$A$2:$G$435,7,0)</f>
        <v>Украина</v>
      </c>
      <c r="R325">
        <f>IF(COUNTIF($H$2:H325, H325)=1, 1, 0)</f>
        <v>1</v>
      </c>
      <c r="S325" t="str">
        <f>VLOOKUP(Продажи[[#This Row],[id клиента]],клиенты!$A$2:$D$435,4,0)</f>
        <v>да</v>
      </c>
      <c r="T325" s="54">
        <f>VLOOKUP(Продажи[[#This Row],[id клиента]],клиенты!$A$2:$I$435,9,0)</f>
        <v>16.755646817248461</v>
      </c>
    </row>
    <row r="326" spans="1:20" x14ac:dyDescent="0.25">
      <c r="A326">
        <v>325</v>
      </c>
      <c r="B326">
        <v>229</v>
      </c>
      <c r="C326">
        <v>173</v>
      </c>
      <c r="D326">
        <v>4</v>
      </c>
      <c r="E326" s="35">
        <v>3460</v>
      </c>
      <c r="F326" s="48">
        <v>45038</v>
      </c>
      <c r="G326" t="s">
        <v>24</v>
      </c>
      <c r="H326">
        <v>327</v>
      </c>
      <c r="I326" t="str">
        <f>VLOOKUP(Продажи[[#This Row],[id товара]],Товары[],2,0)</f>
        <v>Мясо</v>
      </c>
      <c r="J326" s="17">
        <f>AVERAGEIF(Продажи[Категория],Продажи[[#This Row],[Категория]],Продажи[цена за шт в рублях])</f>
        <v>271.74545454545455</v>
      </c>
      <c r="K326" s="16">
        <f>Продажи[[#This Row],[цена за шт в рублях]]/Продажи[[#This Row],[Средняя цена в категории за шт]]-1</f>
        <v>-0.36337481600428212</v>
      </c>
      <c r="L326" t="str">
        <f>VLOOKUP(Продажи[[#This Row],[id товара]],Товары[],3,0)</f>
        <v>Сава</v>
      </c>
      <c r="M326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326" s="16">
        <f>Продажи[[#This Row],[цена за шт в рублях]]/Продажи[[#This Row],[Средняя цена в категории за шт по поставщику]]-1</f>
        <v>-0.18707782672540385</v>
      </c>
      <c r="O326" s="48">
        <f>VLOOKUP(Продажи[[#This Row],[id клиента]],клиенты!$A$2:$E$435,5,0)</f>
        <v>44565</v>
      </c>
      <c r="P326">
        <f>Продажи[[#This Row],[дата создания чека]]-Продажи[[#This Row],[Дата регистрации]]</f>
        <v>473</v>
      </c>
      <c r="Q326" t="str">
        <f>VLOOKUP(Продажи[[#This Row],[id клиента]],клиенты!$A$2:$G$435,7,0)</f>
        <v>Таджикистан</v>
      </c>
      <c r="R326">
        <f>IF(COUNTIF($H$2:H326, H326)=1, 1, 0)</f>
        <v>0</v>
      </c>
      <c r="S326" t="str">
        <f>VLOOKUP(Продажи[[#This Row],[id клиента]],клиенты!$A$2:$D$435,4,0)</f>
        <v>нет</v>
      </c>
      <c r="T326" s="54">
        <f>VLOOKUP(Продажи[[#This Row],[id клиента]],клиенты!$A$2:$I$435,9,0)</f>
        <v>28.418891170431213</v>
      </c>
    </row>
    <row r="327" spans="1:20" x14ac:dyDescent="0.25">
      <c r="A327">
        <v>326</v>
      </c>
      <c r="B327">
        <v>486</v>
      </c>
      <c r="C327">
        <v>213</v>
      </c>
      <c r="D327">
        <v>1</v>
      </c>
      <c r="E327" s="35">
        <v>1065</v>
      </c>
      <c r="F327" s="48">
        <v>45279</v>
      </c>
      <c r="G327" t="s">
        <v>26</v>
      </c>
      <c r="H327">
        <v>58</v>
      </c>
      <c r="I327" t="str">
        <f>VLOOKUP(Продажи[[#This Row],[id товара]],Товары[],2,0)</f>
        <v>Соль</v>
      </c>
      <c r="J327" s="17">
        <f>AVERAGEIF(Продажи[Категория],Продажи[[#This Row],[Категория]],Продажи[цена за шт в рублях])</f>
        <v>264.8679245283019</v>
      </c>
      <c r="K327" s="16">
        <f>Продажи[[#This Row],[цена за шт в рублях]]/Продажи[[#This Row],[Средняя цена в категории за шт]]-1</f>
        <v>-0.19582561618464167</v>
      </c>
      <c r="L327" t="str">
        <f>VLOOKUP(Продажи[[#This Row],[id товара]],Товары[],3,0)</f>
        <v>Илецкая</v>
      </c>
      <c r="M327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327" s="16">
        <f>Продажи[[#This Row],[цена за шт в рублях]]/Продажи[[#This Row],[Средняя цена в категории за шт по поставщику]]-1</f>
        <v>-0.10566829951014689</v>
      </c>
      <c r="O327" s="48">
        <f>VLOOKUP(Продажи[[#This Row],[id клиента]],клиенты!$A$2:$E$435,5,0)</f>
        <v>44628</v>
      </c>
      <c r="P327">
        <f>Продажи[[#This Row],[дата создания чека]]-Продажи[[#This Row],[Дата регистрации]]</f>
        <v>651</v>
      </c>
      <c r="Q327" t="str">
        <f>VLOOKUP(Продажи[[#This Row],[id клиента]],клиенты!$A$2:$G$435,7,0)</f>
        <v>Беларусь</v>
      </c>
      <c r="R327">
        <f>IF(COUNTIF($H$2:H327, H327)=1, 1, 0)</f>
        <v>1</v>
      </c>
      <c r="S327" t="str">
        <f>VLOOKUP(Продажи[[#This Row],[id клиента]],клиенты!$A$2:$D$435,4,0)</f>
        <v>нет</v>
      </c>
      <c r="T327" s="54">
        <f>VLOOKUP(Продажи[[#This Row],[id клиента]],клиенты!$A$2:$I$435,9,0)</f>
        <v>21.388090349075977</v>
      </c>
    </row>
    <row r="328" spans="1:20" x14ac:dyDescent="0.25">
      <c r="A328">
        <v>327</v>
      </c>
      <c r="B328">
        <v>353</v>
      </c>
      <c r="C328">
        <v>115</v>
      </c>
      <c r="D328">
        <v>2</v>
      </c>
      <c r="E328" s="35">
        <v>1150</v>
      </c>
      <c r="F328" s="48">
        <v>45087</v>
      </c>
      <c r="G328" t="s">
        <v>21</v>
      </c>
      <c r="H328">
        <v>446</v>
      </c>
      <c r="I328" t="str">
        <f>VLOOKUP(Продажи[[#This Row],[id товара]],Товары[],2,0)</f>
        <v>Макароны</v>
      </c>
      <c r="J328" s="17">
        <f>AVERAGEIF(Продажи[Категория],Продажи[[#This Row],[Категория]],Продажи[цена за шт в рублях])</f>
        <v>265.47674418604652</v>
      </c>
      <c r="K328" s="16">
        <f>Продажи[[#This Row],[цена за шт в рублях]]/Продажи[[#This Row],[Средняя цена в категории за шт]]-1</f>
        <v>-0.56681704699750335</v>
      </c>
      <c r="L328" t="str">
        <f>VLOOKUP(Продажи[[#This Row],[id товара]],Товары[],3,0)</f>
        <v>Паста Зара</v>
      </c>
      <c r="M32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328" s="16">
        <f>Продажи[[#This Row],[цена за шт в рублях]]/Продажи[[#This Row],[Средняя цена в категории за шт по поставщику]]-1</f>
        <v>-0.5843508840480609</v>
      </c>
      <c r="O328" s="48">
        <f>VLOOKUP(Продажи[[#This Row],[id клиента]],клиенты!$A$2:$E$435,5,0)</f>
        <v>44671</v>
      </c>
      <c r="P328">
        <f>Продажи[[#This Row],[дата создания чека]]-Продажи[[#This Row],[Дата регистрации]]</f>
        <v>416</v>
      </c>
      <c r="Q328" t="str">
        <f>VLOOKUP(Продажи[[#This Row],[id клиента]],клиенты!$A$2:$G$435,7,0)</f>
        <v>Таджикистан</v>
      </c>
      <c r="R328">
        <f>IF(COUNTIF($H$2:H328, H328)=1, 1, 0)</f>
        <v>1</v>
      </c>
      <c r="S328" t="str">
        <f>VLOOKUP(Продажи[[#This Row],[id клиента]],клиенты!$A$2:$D$435,4,0)</f>
        <v>да</v>
      </c>
      <c r="T328" s="54">
        <f>VLOOKUP(Продажи[[#This Row],[id клиента]],клиенты!$A$2:$I$435,9,0)</f>
        <v>17.806981519507186</v>
      </c>
    </row>
    <row r="329" spans="1:20" x14ac:dyDescent="0.25">
      <c r="A329">
        <v>328</v>
      </c>
      <c r="B329">
        <v>65</v>
      </c>
      <c r="C329">
        <v>455</v>
      </c>
      <c r="D329">
        <v>5</v>
      </c>
      <c r="E329" s="35">
        <v>11375</v>
      </c>
      <c r="F329" s="48">
        <v>45370</v>
      </c>
      <c r="G329" t="s">
        <v>17</v>
      </c>
      <c r="H329">
        <v>117</v>
      </c>
      <c r="I329" t="str">
        <f>VLOOKUP(Продажи[[#This Row],[id товара]],Товары[],2,0)</f>
        <v>Хлеб</v>
      </c>
      <c r="J329" s="17">
        <f>AVERAGEIF(Продажи[Категория],Продажи[[#This Row],[Категория]],Продажи[цена за шт в рублях])</f>
        <v>300.31818181818181</v>
      </c>
      <c r="K329" s="16">
        <f>Продажи[[#This Row],[цена за шт в рублях]]/Продажи[[#This Row],[Средняя цена в категории за шт]]-1</f>
        <v>0.51505978507643402</v>
      </c>
      <c r="L329" t="str">
        <f>VLOOKUP(Продажи[[#This Row],[id товара]],Товары[],3,0)</f>
        <v>Хлебный Дом</v>
      </c>
      <c r="M329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329" s="16">
        <f>Продажи[[#This Row],[цена за шт в рублях]]/Продажи[[#This Row],[Средняя цена в категории за шт по поставщику]]-1</f>
        <v>0.61500236630383331</v>
      </c>
      <c r="O329" s="48">
        <f>VLOOKUP(Продажи[[#This Row],[id клиента]],клиенты!$A$2:$E$435,5,0)</f>
        <v>44706</v>
      </c>
      <c r="P329">
        <f>Продажи[[#This Row],[дата создания чека]]-Продажи[[#This Row],[Дата регистрации]]</f>
        <v>664</v>
      </c>
      <c r="Q329" t="str">
        <f>VLOOKUP(Продажи[[#This Row],[id клиента]],клиенты!$A$2:$G$435,7,0)</f>
        <v>Украина</v>
      </c>
      <c r="R329">
        <f>IF(COUNTIF($H$2:H329, H329)=1, 1, 0)</f>
        <v>1</v>
      </c>
      <c r="S329" t="str">
        <f>VLOOKUP(Продажи[[#This Row],[id клиента]],клиенты!$A$2:$D$435,4,0)</f>
        <v>да</v>
      </c>
      <c r="T329" s="54">
        <f>VLOOKUP(Продажи[[#This Row],[id клиента]],клиенты!$A$2:$I$435,9,0)</f>
        <v>22.735112936344969</v>
      </c>
    </row>
    <row r="330" spans="1:20" x14ac:dyDescent="0.25">
      <c r="A330">
        <v>329</v>
      </c>
      <c r="B330">
        <v>490</v>
      </c>
      <c r="C330">
        <v>176</v>
      </c>
      <c r="D330">
        <v>3</v>
      </c>
      <c r="E330" s="35">
        <v>2640</v>
      </c>
      <c r="F330" s="48">
        <v>45183</v>
      </c>
      <c r="G330" t="s">
        <v>23</v>
      </c>
      <c r="H330">
        <v>32</v>
      </c>
      <c r="I330" t="str">
        <f>VLOOKUP(Продажи[[#This Row],[id товара]],Товары[],2,0)</f>
        <v>Сыр</v>
      </c>
      <c r="J330" s="17">
        <f>AVERAGEIF(Продажи[Категория],Продажи[[#This Row],[Категория]],Продажи[цена за шт в рублях])</f>
        <v>262.63492063492066</v>
      </c>
      <c r="K330" s="16">
        <f>Продажи[[#This Row],[цена за шт в рублях]]/Продажи[[#This Row],[Средняя цена в категории за шт]]-1</f>
        <v>-0.3298682461017769</v>
      </c>
      <c r="L330" t="str">
        <f>VLOOKUP(Продажи[[#This Row],[id товара]],Товары[],3,0)</f>
        <v>Сырная долина</v>
      </c>
      <c r="M330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330" s="16">
        <f>Продажи[[#This Row],[цена за шт в рублях]]/Продажи[[#This Row],[Средняя цена в категории за шт по поставщику]]-1</f>
        <v>-0.35055350553505538</v>
      </c>
      <c r="O330" s="48">
        <f>VLOOKUP(Продажи[[#This Row],[id клиента]],клиенты!$A$2:$E$435,5,0)</f>
        <v>44922</v>
      </c>
      <c r="P330">
        <f>Продажи[[#This Row],[дата создания чека]]-Продажи[[#This Row],[Дата регистрации]]</f>
        <v>261</v>
      </c>
      <c r="Q330" t="str">
        <f>VLOOKUP(Продажи[[#This Row],[id клиента]],клиенты!$A$2:$G$435,7,0)</f>
        <v>Узбекистан</v>
      </c>
      <c r="R330">
        <f>IF(COUNTIF($H$2:H330, H330)=1, 1, 0)</f>
        <v>0</v>
      </c>
      <c r="S330" t="str">
        <f>VLOOKUP(Продажи[[#This Row],[id клиента]],клиенты!$A$2:$D$435,4,0)</f>
        <v>да</v>
      </c>
      <c r="T330" s="54">
        <f>VLOOKUP(Продажи[[#This Row],[id клиента]],клиенты!$A$2:$I$435,9,0)</f>
        <v>8.5749486652977414</v>
      </c>
    </row>
    <row r="331" spans="1:20" x14ac:dyDescent="0.25">
      <c r="A331">
        <v>330</v>
      </c>
      <c r="B331">
        <v>188</v>
      </c>
      <c r="C331">
        <v>154</v>
      </c>
      <c r="D331">
        <v>4</v>
      </c>
      <c r="E331" s="35">
        <v>3080</v>
      </c>
      <c r="F331" s="48">
        <v>45243</v>
      </c>
      <c r="G331" t="s">
        <v>26</v>
      </c>
      <c r="H331">
        <v>187</v>
      </c>
      <c r="I331" t="str">
        <f>VLOOKUP(Продажи[[#This Row],[id товара]],Товары[],2,0)</f>
        <v>Молоко</v>
      </c>
      <c r="J331" s="17">
        <f>AVERAGEIF(Продажи[Категория],Продажи[[#This Row],[Категория]],Продажи[цена за шт в рублях])</f>
        <v>294.95238095238096</v>
      </c>
      <c r="K331" s="16">
        <f>Продажи[[#This Row],[цена за шт в рублях]]/Продажи[[#This Row],[Средняя цена в категории за шт]]-1</f>
        <v>-0.47788182111721023</v>
      </c>
      <c r="L331" t="str">
        <f>VLOOKUP(Продажи[[#This Row],[id товара]],Товары[],3,0)</f>
        <v>Вимм-Билль-Данн</v>
      </c>
      <c r="M331" s="32">
        <f>AVERAGEIFS(Продажи[цена за шт в рублях],Продажи[Категория],Продажи[[#This Row],[Категория]],Продажи[Поставщик],Продажи[[#This Row],[Поставщик]])</f>
        <v>193.5</v>
      </c>
      <c r="N331" s="16">
        <f>Продажи[[#This Row],[цена за шт в рублях]]/Продажи[[#This Row],[Средняя цена в категории за шт по поставщику]]-1</f>
        <v>-0.20413436692506459</v>
      </c>
      <c r="O331" s="48">
        <f>VLOOKUP(Продажи[[#This Row],[id клиента]],клиенты!$A$2:$E$435,5,0)</f>
        <v>44848</v>
      </c>
      <c r="P331">
        <f>Продажи[[#This Row],[дата создания чека]]-Продажи[[#This Row],[Дата регистрации]]</f>
        <v>395</v>
      </c>
      <c r="Q331" t="str">
        <f>VLOOKUP(Продажи[[#This Row],[id клиента]],клиенты!$A$2:$G$435,7,0)</f>
        <v>Россия</v>
      </c>
      <c r="R331">
        <f>IF(COUNTIF($H$2:H331, H331)=1, 1, 0)</f>
        <v>1</v>
      </c>
      <c r="S331" t="str">
        <f>VLOOKUP(Продажи[[#This Row],[id клиента]],клиенты!$A$2:$D$435,4,0)</f>
        <v>да</v>
      </c>
      <c r="T331" s="54">
        <f>VLOOKUP(Продажи[[#This Row],[id клиента]],клиенты!$A$2:$I$435,9,0)</f>
        <v>12.97741273100616</v>
      </c>
    </row>
    <row r="332" spans="1:20" x14ac:dyDescent="0.25">
      <c r="A332">
        <v>331</v>
      </c>
      <c r="B332">
        <v>17</v>
      </c>
      <c r="C332">
        <v>212</v>
      </c>
      <c r="D332">
        <v>3</v>
      </c>
      <c r="E332" s="35">
        <v>3180</v>
      </c>
      <c r="F332" s="48">
        <v>45366</v>
      </c>
      <c r="G332" t="s">
        <v>24</v>
      </c>
      <c r="H332">
        <v>111</v>
      </c>
      <c r="I332" t="str">
        <f>VLOOKUP(Продажи[[#This Row],[id товара]],Товары[],2,0)</f>
        <v>Кофе</v>
      </c>
      <c r="J332" s="17">
        <f>AVERAGEIF(Продажи[Категория],Продажи[[#This Row],[Категория]],Продажи[цена за шт в рублях])</f>
        <v>249.02380952380952</v>
      </c>
      <c r="K332" s="16">
        <f>Продажи[[#This Row],[цена за шт в рублях]]/Продажи[[#This Row],[Средняя цена в категории за шт]]-1</f>
        <v>-0.14867578162348216</v>
      </c>
      <c r="L332" t="str">
        <f>VLOOKUP(Продажи[[#This Row],[id товара]],Товары[],3,0)</f>
        <v>Jacobs</v>
      </c>
      <c r="M332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332" s="16">
        <f>Продажи[[#This Row],[цена за шт в рублях]]/Продажи[[#This Row],[Средняя цена в категории за шт по поставщику]]-1</f>
        <v>-0.23246951219512202</v>
      </c>
      <c r="O332" s="48">
        <f>VLOOKUP(Продажи[[#This Row],[id клиента]],клиенты!$A$2:$E$435,5,0)</f>
        <v>44804</v>
      </c>
      <c r="P332">
        <f>Продажи[[#This Row],[дата создания чека]]-Продажи[[#This Row],[Дата регистрации]]</f>
        <v>562</v>
      </c>
      <c r="Q332" t="str">
        <f>VLOOKUP(Продажи[[#This Row],[id клиента]],клиенты!$A$2:$G$435,7,0)</f>
        <v>Узбекистан</v>
      </c>
      <c r="R332">
        <f>IF(COUNTIF($H$2:H332, H332)=1, 1, 0)</f>
        <v>0</v>
      </c>
      <c r="S332" t="str">
        <f>VLOOKUP(Продажи[[#This Row],[id клиента]],клиенты!$A$2:$D$435,4,0)</f>
        <v>да</v>
      </c>
      <c r="T332" s="54">
        <f>VLOOKUP(Продажи[[#This Row],[id клиента]],клиенты!$A$2:$I$435,9,0)</f>
        <v>18.464065708418889</v>
      </c>
    </row>
    <row r="333" spans="1:20" x14ac:dyDescent="0.25">
      <c r="A333">
        <v>332</v>
      </c>
      <c r="B333">
        <v>405</v>
      </c>
      <c r="C333">
        <v>389</v>
      </c>
      <c r="D333">
        <v>5</v>
      </c>
      <c r="E333" s="35">
        <v>9725</v>
      </c>
      <c r="F333" s="48">
        <v>45009</v>
      </c>
      <c r="G333" t="s">
        <v>14</v>
      </c>
      <c r="H333">
        <v>231</v>
      </c>
      <c r="I333" t="str">
        <f>VLOOKUP(Продажи[[#This Row],[id товара]],Товары[],2,0)</f>
        <v>Хлеб</v>
      </c>
      <c r="J333" s="17">
        <f>AVERAGEIF(Продажи[Категория],Продажи[[#This Row],[Категория]],Продажи[цена за шт в рублях])</f>
        <v>300.31818181818181</v>
      </c>
      <c r="K333" s="16">
        <f>Продажи[[#This Row],[цена за шт в рублях]]/Продажи[[#This Row],[Средняя цена в категории за шт]]-1</f>
        <v>0.29529287119721515</v>
      </c>
      <c r="L333" t="str">
        <f>VLOOKUP(Продажи[[#This Row],[id товара]],Товары[],3,0)</f>
        <v>Каравай</v>
      </c>
      <c r="M333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333" s="16">
        <f>Продажи[[#This Row],[цена за шт в рублях]]/Продажи[[#This Row],[Средняя цена в категории за шт по поставщику]]-1</f>
        <v>0.17463512833417205</v>
      </c>
      <c r="O333" s="48">
        <f>VLOOKUP(Продажи[[#This Row],[id клиента]],клиенты!$A$2:$E$435,5,0)</f>
        <v>44752</v>
      </c>
      <c r="P333">
        <f>Продажи[[#This Row],[дата создания чека]]-Продажи[[#This Row],[Дата регистрации]]</f>
        <v>257</v>
      </c>
      <c r="Q333" t="str">
        <f>VLOOKUP(Продажи[[#This Row],[id клиента]],клиенты!$A$2:$G$435,7,0)</f>
        <v>Россия</v>
      </c>
      <c r="R333">
        <f>IF(COUNTIF($H$2:H333, H333)=1, 1, 0)</f>
        <v>1</v>
      </c>
      <c r="S333" t="str">
        <f>VLOOKUP(Продажи[[#This Row],[id клиента]],клиенты!$A$2:$D$435,4,0)</f>
        <v>нет</v>
      </c>
      <c r="T333" s="54">
        <f>VLOOKUP(Продажи[[#This Row],[id клиента]],клиенты!$A$2:$I$435,9,0)</f>
        <v>8.4435318275154003</v>
      </c>
    </row>
    <row r="334" spans="1:20" x14ac:dyDescent="0.25">
      <c r="A334">
        <v>333</v>
      </c>
      <c r="B334">
        <v>23</v>
      </c>
      <c r="C334">
        <v>476</v>
      </c>
      <c r="D334">
        <v>3</v>
      </c>
      <c r="E334" s="35">
        <v>7140</v>
      </c>
      <c r="F334" s="48">
        <v>45102</v>
      </c>
      <c r="G334" t="s">
        <v>10</v>
      </c>
      <c r="H334">
        <v>283</v>
      </c>
      <c r="I334" t="str">
        <f>VLOOKUP(Продажи[[#This Row],[id товара]],Товары[],2,0)</f>
        <v>Рыба</v>
      </c>
      <c r="J334" s="17">
        <f>AVERAGEIF(Продажи[Категория],Продажи[[#This Row],[Категория]],Продажи[цена за шт в рублях])</f>
        <v>258.5128205128205</v>
      </c>
      <c r="K334" s="16">
        <f>Продажи[[#This Row],[цена за шт в рублях]]/Продажи[[#This Row],[Средняя цена в категории за шт]]-1</f>
        <v>0.8413013291013689</v>
      </c>
      <c r="L334" t="str">
        <f>VLOOKUP(Продажи[[#This Row],[id товара]],Товары[],3,0)</f>
        <v>Санта Бремор</v>
      </c>
      <c r="M334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334" s="16">
        <f>Продажи[[#This Row],[цена за шт в рублях]]/Продажи[[#This Row],[Средняя цена в категории за шт по поставщику]]-1</f>
        <v>1.1996303142329019</v>
      </c>
      <c r="O334" s="48">
        <f>VLOOKUP(Продажи[[#This Row],[id клиента]],клиенты!$A$2:$E$435,5,0)</f>
        <v>44889</v>
      </c>
      <c r="P334">
        <f>Продажи[[#This Row],[дата создания чека]]-Продажи[[#This Row],[Дата регистрации]]</f>
        <v>213</v>
      </c>
      <c r="Q334" t="str">
        <f>VLOOKUP(Продажи[[#This Row],[id клиента]],клиенты!$A$2:$G$435,7,0)</f>
        <v>Таджикистан</v>
      </c>
      <c r="R334">
        <f>IF(COUNTIF($H$2:H334, H334)=1, 1, 0)</f>
        <v>0</v>
      </c>
      <c r="S334" t="str">
        <f>VLOOKUP(Продажи[[#This Row],[id клиента]],клиенты!$A$2:$D$435,4,0)</f>
        <v>нет</v>
      </c>
      <c r="T334" s="54">
        <f>VLOOKUP(Продажи[[#This Row],[id клиента]],клиенты!$A$2:$I$435,9,0)</f>
        <v>15.737166324435318</v>
      </c>
    </row>
    <row r="335" spans="1:20" x14ac:dyDescent="0.25">
      <c r="A335">
        <v>334</v>
      </c>
      <c r="B335">
        <v>99</v>
      </c>
      <c r="C335">
        <v>51</v>
      </c>
      <c r="D335">
        <v>5</v>
      </c>
      <c r="E335" s="35">
        <v>1275</v>
      </c>
      <c r="F335" s="48">
        <v>45423</v>
      </c>
      <c r="G335" t="s">
        <v>16</v>
      </c>
      <c r="H335">
        <v>265</v>
      </c>
      <c r="I335" t="str">
        <f>VLOOKUP(Продажи[[#This Row],[id товара]],Товары[],2,0)</f>
        <v>Овощи</v>
      </c>
      <c r="J335" s="17">
        <f>AVERAGEIF(Продажи[Категория],Продажи[[#This Row],[Категория]],Продажи[цена за шт в рублях])</f>
        <v>250.48780487804879</v>
      </c>
      <c r="K335" s="16">
        <f>Продажи[[#This Row],[цена за шт в рублях]]/Продажи[[#This Row],[Средняя цена в категории за шт]]-1</f>
        <v>-0.79639727361246349</v>
      </c>
      <c r="L335" t="str">
        <f>VLOOKUP(Продажи[[#This Row],[id товара]],Товары[],3,0)</f>
        <v>Семко</v>
      </c>
      <c r="M335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335" s="16">
        <f>Продажи[[#This Row],[цена за шт в рублях]]/Продажи[[#This Row],[Средняя цена в категории за шт по поставщику]]-1</f>
        <v>-0.75480769230769229</v>
      </c>
      <c r="O335" s="48">
        <f>VLOOKUP(Продажи[[#This Row],[id клиента]],клиенты!$A$2:$E$435,5,0)</f>
        <v>44756</v>
      </c>
      <c r="P335">
        <f>Продажи[[#This Row],[дата создания чека]]-Продажи[[#This Row],[Дата регистрации]]</f>
        <v>667</v>
      </c>
      <c r="Q335" t="str">
        <f>VLOOKUP(Продажи[[#This Row],[id клиента]],клиенты!$A$2:$G$435,7,0)</f>
        <v>Узбекистан</v>
      </c>
      <c r="R335">
        <f>IF(COUNTIF($H$2:H335, H335)=1, 1, 0)</f>
        <v>1</v>
      </c>
      <c r="S335" t="str">
        <f>VLOOKUP(Продажи[[#This Row],[id клиента]],клиенты!$A$2:$D$435,4,0)</f>
        <v>нет</v>
      </c>
      <c r="T335" s="54">
        <f>VLOOKUP(Продажи[[#This Row],[id клиента]],клиенты!$A$2:$I$435,9,0)</f>
        <v>21.913757700205338</v>
      </c>
    </row>
    <row r="336" spans="1:20" x14ac:dyDescent="0.25">
      <c r="A336">
        <v>335</v>
      </c>
      <c r="B336">
        <v>196</v>
      </c>
      <c r="C336">
        <v>452</v>
      </c>
      <c r="D336">
        <v>2</v>
      </c>
      <c r="E336" s="35">
        <v>4520</v>
      </c>
      <c r="F336" s="48">
        <v>45337</v>
      </c>
      <c r="G336" t="s">
        <v>8</v>
      </c>
      <c r="H336">
        <v>136</v>
      </c>
      <c r="I336" t="str">
        <f>VLOOKUP(Продажи[[#This Row],[id товара]],Товары[],2,0)</f>
        <v>Конфеты</v>
      </c>
      <c r="J336" s="17">
        <f>AVERAGEIF(Продажи[Категория],Продажи[[#This Row],[Категория]],Продажи[цена за шт в рублях])</f>
        <v>267.85483870967744</v>
      </c>
      <c r="K336" s="16">
        <f>Продажи[[#This Row],[цена за шт в рублях]]/Продажи[[#This Row],[Средняя цена в категории за шт]]-1</f>
        <v>0.68748118263382896</v>
      </c>
      <c r="L336" t="str">
        <f>VLOOKUP(Продажи[[#This Row],[id товара]],Товары[],3,0)</f>
        <v>Рот Фронт</v>
      </c>
      <c r="M336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336" s="16">
        <f>Продажи[[#This Row],[цена за шт в рублях]]/Продажи[[#This Row],[Средняя цена в категории за шт по поставщику]]-1</f>
        <v>0.56814802577234436</v>
      </c>
      <c r="O336" s="48">
        <f>VLOOKUP(Продажи[[#This Row],[id клиента]],клиенты!$A$2:$E$435,5,0)</f>
        <v>44860</v>
      </c>
      <c r="P336">
        <f>Продажи[[#This Row],[дата создания чека]]-Продажи[[#This Row],[Дата регистрации]]</f>
        <v>477</v>
      </c>
      <c r="Q336" t="str">
        <f>VLOOKUP(Продажи[[#This Row],[id клиента]],клиенты!$A$2:$G$435,7,0)</f>
        <v>Украина</v>
      </c>
      <c r="R336">
        <f>IF(COUNTIF($H$2:H336, H336)=1, 1, 0)</f>
        <v>0</v>
      </c>
      <c r="S336" t="str">
        <f>VLOOKUP(Продажи[[#This Row],[id клиента]],клиенты!$A$2:$D$435,4,0)</f>
        <v>да</v>
      </c>
      <c r="T336" s="54">
        <f>VLOOKUP(Продажи[[#This Row],[id клиента]],клиенты!$A$2:$I$435,9,0)</f>
        <v>17.248459958932237</v>
      </c>
    </row>
    <row r="337" spans="1:20" x14ac:dyDescent="0.25">
      <c r="A337">
        <v>336</v>
      </c>
      <c r="B337">
        <v>415</v>
      </c>
      <c r="C337">
        <v>222</v>
      </c>
      <c r="D337">
        <v>3</v>
      </c>
      <c r="E337" s="35">
        <v>3330</v>
      </c>
      <c r="F337" s="48">
        <v>45161</v>
      </c>
      <c r="G337" t="s">
        <v>25</v>
      </c>
      <c r="H337">
        <v>395</v>
      </c>
      <c r="I337" t="str">
        <f>VLOOKUP(Продажи[[#This Row],[id товара]],Товары[],2,0)</f>
        <v>Чипсы</v>
      </c>
      <c r="J337" s="17">
        <f>AVERAGEIF(Продажи[Категория],Продажи[[#This Row],[Категория]],Продажи[цена за шт в рублях])</f>
        <v>273.72549019607845</v>
      </c>
      <c r="K337" s="16">
        <f>Продажи[[#This Row],[цена за шт в рублях]]/Продажи[[#This Row],[Средняя цена в категории за шт]]-1</f>
        <v>-0.18896848137535827</v>
      </c>
      <c r="L337" t="str">
        <f>VLOOKUP(Продажи[[#This Row],[id товара]],Товары[],3,0)</f>
        <v>Pringles</v>
      </c>
      <c r="M337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337" s="16">
        <f>Продажи[[#This Row],[цена за шт в рублях]]/Продажи[[#This Row],[Средняя цена в категории за шт по поставщику]]-1</f>
        <v>-0.20781648258283769</v>
      </c>
      <c r="O337" s="48">
        <f>VLOOKUP(Продажи[[#This Row],[id клиента]],клиенты!$A$2:$E$435,5,0)</f>
        <v>44890</v>
      </c>
      <c r="P337">
        <f>Продажи[[#This Row],[дата создания чека]]-Продажи[[#This Row],[Дата регистрации]]</f>
        <v>271</v>
      </c>
      <c r="Q337" t="str">
        <f>VLOOKUP(Продажи[[#This Row],[id клиента]],клиенты!$A$2:$G$435,7,0)</f>
        <v>Узбекистан</v>
      </c>
      <c r="R337">
        <f>IF(COUNTIF($H$2:H337, H337)=1, 1, 0)</f>
        <v>0</v>
      </c>
      <c r="S337" t="str">
        <f>VLOOKUP(Продажи[[#This Row],[id клиента]],клиенты!$A$2:$D$435,4,0)</f>
        <v>нет</v>
      </c>
      <c r="T337" s="54">
        <f>VLOOKUP(Продажи[[#This Row],[id клиента]],клиенты!$A$2:$I$435,9,0)</f>
        <v>13.108829568788501</v>
      </c>
    </row>
    <row r="338" spans="1:20" x14ac:dyDescent="0.25">
      <c r="A338">
        <v>337</v>
      </c>
      <c r="B338">
        <v>328</v>
      </c>
      <c r="C338">
        <v>100</v>
      </c>
      <c r="D338">
        <v>1</v>
      </c>
      <c r="E338" s="35">
        <v>500</v>
      </c>
      <c r="F338" s="48">
        <v>45077</v>
      </c>
      <c r="G338" t="s">
        <v>13</v>
      </c>
      <c r="H338">
        <v>391</v>
      </c>
      <c r="I338" t="str">
        <f>VLOOKUP(Продажи[[#This Row],[id товара]],Товары[],2,0)</f>
        <v>Чипсы</v>
      </c>
      <c r="J338" s="17">
        <f>AVERAGEIF(Продажи[Категория],Продажи[[#This Row],[Категория]],Продажи[цена за шт в рублях])</f>
        <v>273.72549019607845</v>
      </c>
      <c r="K338" s="16">
        <f>Продажи[[#This Row],[цена за шт в рублях]]/Продажи[[#This Row],[Средняя цена в категории за шт]]-1</f>
        <v>-0.63467048710601714</v>
      </c>
      <c r="L338" t="str">
        <f>VLOOKUP(Продажи[[#This Row],[id товара]],Товары[],3,0)</f>
        <v>Русская картошка</v>
      </c>
      <c r="M338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338" s="16">
        <f>Продажи[[#This Row],[цена за шт в рублях]]/Продажи[[#This Row],[Средняя цена в категории за шт по поставщику]]-1</f>
        <v>-0.58649207443142659</v>
      </c>
      <c r="O338" s="48">
        <f>VLOOKUP(Продажи[[#This Row],[id клиента]],клиенты!$A$2:$E$435,5,0)</f>
        <v>44675</v>
      </c>
      <c r="P338">
        <f>Продажи[[#This Row],[дата создания чека]]-Продажи[[#This Row],[Дата регистрации]]</f>
        <v>402</v>
      </c>
      <c r="Q338" t="str">
        <f>VLOOKUP(Продажи[[#This Row],[id клиента]],клиенты!$A$2:$G$435,7,0)</f>
        <v>Таджикистан</v>
      </c>
      <c r="R338">
        <f>IF(COUNTIF($H$2:H338, H338)=1, 1, 0)</f>
        <v>1</v>
      </c>
      <c r="S338" t="str">
        <f>VLOOKUP(Продажи[[#This Row],[id клиента]],клиенты!$A$2:$D$435,4,0)</f>
        <v>да</v>
      </c>
      <c r="T338" s="54">
        <f>VLOOKUP(Продажи[[#This Row],[id клиента]],клиенты!$A$2:$I$435,9,0)</f>
        <v>13.207392197125257</v>
      </c>
    </row>
    <row r="339" spans="1:20" x14ac:dyDescent="0.25">
      <c r="A339">
        <v>338</v>
      </c>
      <c r="B339">
        <v>271</v>
      </c>
      <c r="C339">
        <v>382</v>
      </c>
      <c r="D339">
        <v>1</v>
      </c>
      <c r="E339" s="35">
        <v>1910</v>
      </c>
      <c r="F339" s="48">
        <v>45182</v>
      </c>
      <c r="G339" t="s">
        <v>9</v>
      </c>
      <c r="H339">
        <v>355</v>
      </c>
      <c r="I339" t="str">
        <f>VLOOKUP(Продажи[[#This Row],[id товара]],Товары[],2,0)</f>
        <v>Сыр</v>
      </c>
      <c r="J339" s="17">
        <f>AVERAGEIF(Продажи[Категория],Продажи[[#This Row],[Категория]],Продажи[цена за шт в рублях])</f>
        <v>262.63492063492066</v>
      </c>
      <c r="K339" s="16">
        <f>Продажи[[#This Row],[цена за шт в рублях]]/Продажи[[#This Row],[Средняя цена в категории за шт]]-1</f>
        <v>0.45449051130182516</v>
      </c>
      <c r="L339" t="str">
        <f>VLOOKUP(Продажи[[#This Row],[id товара]],Товары[],3,0)</f>
        <v>Сырная долина</v>
      </c>
      <c r="M339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339" s="16">
        <f>Продажи[[#This Row],[цена за шт в рублях]]/Продажи[[#This Row],[Средняя цена в категории за шт по поставщику]]-1</f>
        <v>0.40959409594095941</v>
      </c>
      <c r="O339" s="48">
        <f>VLOOKUP(Продажи[[#This Row],[id клиента]],клиенты!$A$2:$E$435,5,0)</f>
        <v>44631</v>
      </c>
      <c r="P339">
        <f>Продажи[[#This Row],[дата создания чека]]-Продажи[[#This Row],[Дата регистрации]]</f>
        <v>551</v>
      </c>
      <c r="Q339" t="str">
        <f>VLOOKUP(Продажи[[#This Row],[id клиента]],клиенты!$A$2:$G$435,7,0)</f>
        <v>Россия</v>
      </c>
      <c r="R339">
        <f>IF(COUNTIF($H$2:H339, H339)=1, 1, 0)</f>
        <v>1</v>
      </c>
      <c r="S339" t="str">
        <f>VLOOKUP(Продажи[[#This Row],[id клиента]],клиенты!$A$2:$D$435,4,0)</f>
        <v>нет</v>
      </c>
      <c r="T339" s="54">
        <f>VLOOKUP(Продажи[[#This Row],[id клиента]],клиенты!$A$2:$I$435,9,0)</f>
        <v>18.102669404517453</v>
      </c>
    </row>
    <row r="340" spans="1:20" x14ac:dyDescent="0.25">
      <c r="A340">
        <v>339</v>
      </c>
      <c r="B340">
        <v>204</v>
      </c>
      <c r="C340">
        <v>279</v>
      </c>
      <c r="D340">
        <v>4</v>
      </c>
      <c r="E340" s="35">
        <v>5580</v>
      </c>
      <c r="F340" s="48">
        <v>45227</v>
      </c>
      <c r="G340" t="s">
        <v>12</v>
      </c>
      <c r="H340">
        <v>277</v>
      </c>
      <c r="I340" t="str">
        <f>VLOOKUP(Продажи[[#This Row],[id товара]],Товары[],2,0)</f>
        <v>Печенье</v>
      </c>
      <c r="J340" s="17">
        <f>AVERAGEIF(Продажи[Категория],Продажи[[#This Row],[Категория]],Продажи[цена за шт в рублях])</f>
        <v>283.468085106383</v>
      </c>
      <c r="K340" s="16">
        <f>Продажи[[#This Row],[цена за шт в рублях]]/Продажи[[#This Row],[Средняя цена в категории за шт]]-1</f>
        <v>-1.5762215717180839E-2</v>
      </c>
      <c r="L340" t="str">
        <f>VLOOKUP(Продажи[[#This Row],[id товара]],Товары[],3,0)</f>
        <v>Юбилейное</v>
      </c>
      <c r="M340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340" s="16">
        <f>Продажи[[#This Row],[цена за шт в рублях]]/Продажи[[#This Row],[Средняя цена в категории за шт по поставщику]]-1</f>
        <v>0.2002868068833652</v>
      </c>
      <c r="O340" s="48">
        <f>VLOOKUP(Продажи[[#This Row],[id клиента]],клиенты!$A$2:$E$435,5,0)</f>
        <v>44750</v>
      </c>
      <c r="P340">
        <f>Продажи[[#This Row],[дата создания чека]]-Продажи[[#This Row],[Дата регистрации]]</f>
        <v>477</v>
      </c>
      <c r="Q340" t="str">
        <f>VLOOKUP(Продажи[[#This Row],[id клиента]],клиенты!$A$2:$G$435,7,0)</f>
        <v>Россия</v>
      </c>
      <c r="R340">
        <f>IF(COUNTIF($H$2:H340, H340)=1, 1, 0)</f>
        <v>1</v>
      </c>
      <c r="S340" t="str">
        <f>VLOOKUP(Продажи[[#This Row],[id клиента]],клиенты!$A$2:$D$435,4,0)</f>
        <v>да</v>
      </c>
      <c r="T340" s="54">
        <f>VLOOKUP(Продажи[[#This Row],[id клиента]],клиенты!$A$2:$I$435,9,0)</f>
        <v>20.073921971252567</v>
      </c>
    </row>
    <row r="341" spans="1:20" x14ac:dyDescent="0.25">
      <c r="A341">
        <v>340</v>
      </c>
      <c r="B341">
        <v>60</v>
      </c>
      <c r="C341">
        <v>500</v>
      </c>
      <c r="D341">
        <v>2</v>
      </c>
      <c r="E341" s="35">
        <v>5000</v>
      </c>
      <c r="F341" s="48">
        <v>45125</v>
      </c>
      <c r="G341" t="s">
        <v>27</v>
      </c>
      <c r="H341">
        <v>145</v>
      </c>
      <c r="I341" t="str">
        <f>VLOOKUP(Продажи[[#This Row],[id товара]],Товары[],2,0)</f>
        <v>Кофе</v>
      </c>
      <c r="J341" s="17">
        <f>AVERAGEIF(Продажи[Категория],Продажи[[#This Row],[Категория]],Продажи[цена за шт в рублях])</f>
        <v>249.02380952380952</v>
      </c>
      <c r="K341" s="16">
        <f>Продажи[[#This Row],[цена за шт в рублях]]/Продажи[[#This Row],[Средняя цена в категории за шт]]-1</f>
        <v>1.0078401376804664</v>
      </c>
      <c r="L341" t="str">
        <f>VLOOKUP(Продажи[[#This Row],[id товара]],Товары[],3,0)</f>
        <v>Jacobs</v>
      </c>
      <c r="M341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341" s="16">
        <f>Продажи[[#This Row],[цена за шт в рублях]]/Продажи[[#This Row],[Средняя цена в категории за шт по поставщику]]-1</f>
        <v>0.8102134146341462</v>
      </c>
      <c r="O341" s="48">
        <f>VLOOKUP(Продажи[[#This Row],[id клиента]],клиенты!$A$2:$E$435,5,0)</f>
        <v>44653</v>
      </c>
      <c r="P341">
        <f>Продажи[[#This Row],[дата создания чека]]-Продажи[[#This Row],[Дата регистрации]]</f>
        <v>472</v>
      </c>
      <c r="Q341" t="str">
        <f>VLOOKUP(Продажи[[#This Row],[id клиента]],клиенты!$A$2:$G$435,7,0)</f>
        <v>Украина</v>
      </c>
      <c r="R341">
        <f>IF(COUNTIF($H$2:H341, H341)=1, 1, 0)</f>
        <v>0</v>
      </c>
      <c r="S341" t="str">
        <f>VLOOKUP(Продажи[[#This Row],[id клиента]],клиенты!$A$2:$D$435,4,0)</f>
        <v>нет</v>
      </c>
      <c r="T341" s="54">
        <f>VLOOKUP(Продажи[[#This Row],[id клиента]],клиенты!$A$2:$I$435,9,0)</f>
        <v>19.088295687885012</v>
      </c>
    </row>
    <row r="342" spans="1:20" x14ac:dyDescent="0.25">
      <c r="A342">
        <v>341</v>
      </c>
      <c r="B342">
        <v>76</v>
      </c>
      <c r="C342">
        <v>92</v>
      </c>
      <c r="D342">
        <v>2</v>
      </c>
      <c r="E342" s="35">
        <v>920</v>
      </c>
      <c r="F342" s="48">
        <v>45232</v>
      </c>
      <c r="G342" t="s">
        <v>8</v>
      </c>
      <c r="H342">
        <v>104</v>
      </c>
      <c r="I342" t="str">
        <f>VLOOKUP(Продажи[[#This Row],[id товара]],Товары[],2,0)</f>
        <v>Печенье</v>
      </c>
      <c r="J342" s="17">
        <f>AVERAGEIF(Продажи[Категория],Продажи[[#This Row],[Категория]],Продажи[цена за шт в рублях])</f>
        <v>283.468085106383</v>
      </c>
      <c r="K342" s="16">
        <f>Продажи[[#This Row],[цена за шт в рублях]]/Продажи[[#This Row],[Средняя цена в категории за шт]]-1</f>
        <v>-0.67544847256623886</v>
      </c>
      <c r="L342" t="str">
        <f>VLOOKUP(Продажи[[#This Row],[id товара]],Товары[],3,0)</f>
        <v>Юбилейное</v>
      </c>
      <c r="M342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342" s="16">
        <f>Продажи[[#This Row],[цена за шт в рублях]]/Продажи[[#This Row],[Средняя цена в категории за шт по поставщику]]-1</f>
        <v>-0.60420650095602291</v>
      </c>
      <c r="O342" s="48">
        <f>VLOOKUP(Продажи[[#This Row],[id клиента]],клиенты!$A$2:$E$435,5,0)</f>
        <v>44772</v>
      </c>
      <c r="P342">
        <f>Продажи[[#This Row],[дата создания чека]]-Продажи[[#This Row],[Дата регистрации]]</f>
        <v>460</v>
      </c>
      <c r="Q342" t="str">
        <f>VLOOKUP(Продажи[[#This Row],[id клиента]],клиенты!$A$2:$G$435,7,0)</f>
        <v>Узбекистан</v>
      </c>
      <c r="R342">
        <f>IF(COUNTIF($H$2:H342, H342)=1, 1, 0)</f>
        <v>1</v>
      </c>
      <c r="S342" t="str">
        <f>VLOOKUP(Продажи[[#This Row],[id клиента]],клиенты!$A$2:$D$435,4,0)</f>
        <v>нет</v>
      </c>
      <c r="T342" s="54">
        <f>VLOOKUP(Продажи[[#This Row],[id клиента]],клиенты!$A$2:$I$435,9,0)</f>
        <v>15.112936344969199</v>
      </c>
    </row>
    <row r="343" spans="1:20" x14ac:dyDescent="0.25">
      <c r="A343">
        <v>342</v>
      </c>
      <c r="B343">
        <v>201</v>
      </c>
      <c r="C343">
        <v>179</v>
      </c>
      <c r="D343">
        <v>5</v>
      </c>
      <c r="E343" s="35">
        <v>4475</v>
      </c>
      <c r="F343" s="48">
        <v>45091</v>
      </c>
      <c r="G343" t="s">
        <v>14</v>
      </c>
      <c r="H343">
        <v>109</v>
      </c>
      <c r="I343" t="str">
        <f>VLOOKUP(Продажи[[#This Row],[id товара]],Товары[],2,0)</f>
        <v>Печенье</v>
      </c>
      <c r="J343" s="17">
        <f>AVERAGEIF(Продажи[Категория],Продажи[[#This Row],[Категория]],Продажи[цена за шт в рублях])</f>
        <v>283.468085106383</v>
      </c>
      <c r="K343" s="16">
        <f>Продажи[[#This Row],[цена за шт в рублях]]/Продажи[[#This Row],[Средняя цена в категории за шт]]-1</f>
        <v>-0.36853561510170385</v>
      </c>
      <c r="L343" t="str">
        <f>VLOOKUP(Продажи[[#This Row],[id товара]],Товары[],3,0)</f>
        <v>Белогорье</v>
      </c>
      <c r="M343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343" s="16">
        <f>Продажи[[#This Row],[цена за шт в рублях]]/Продажи[[#This Row],[Средняя цена в категории за шт по поставщику]]-1</f>
        <v>-0.28256513026052099</v>
      </c>
      <c r="O343" s="48">
        <f>VLOOKUP(Продажи[[#This Row],[id клиента]],клиенты!$A$2:$E$435,5,0)</f>
        <v>44732</v>
      </c>
      <c r="P343">
        <f>Продажи[[#This Row],[дата создания чека]]-Продажи[[#This Row],[Дата регистрации]]</f>
        <v>359</v>
      </c>
      <c r="Q343" t="str">
        <f>VLOOKUP(Продажи[[#This Row],[id клиента]],клиенты!$A$2:$G$435,7,0)</f>
        <v>Украина</v>
      </c>
      <c r="R343">
        <f>IF(COUNTIF($H$2:H343, H343)=1, 1, 0)</f>
        <v>1</v>
      </c>
      <c r="S343" t="str">
        <f>VLOOKUP(Продажи[[#This Row],[id клиента]],клиенты!$A$2:$D$435,4,0)</f>
        <v>да</v>
      </c>
      <c r="T343" s="54">
        <f>VLOOKUP(Продажи[[#This Row],[id клиента]],клиенты!$A$2:$I$435,9,0)</f>
        <v>11.794661190965092</v>
      </c>
    </row>
    <row r="344" spans="1:20" x14ac:dyDescent="0.25">
      <c r="A344">
        <v>343</v>
      </c>
      <c r="B344">
        <v>462</v>
      </c>
      <c r="C344">
        <v>209</v>
      </c>
      <c r="D344">
        <v>4</v>
      </c>
      <c r="E344" s="35">
        <v>4180</v>
      </c>
      <c r="F344" s="48">
        <v>45116</v>
      </c>
      <c r="G344" t="s">
        <v>22</v>
      </c>
      <c r="H344">
        <v>369</v>
      </c>
      <c r="I344" t="str">
        <f>VLOOKUP(Продажи[[#This Row],[id товара]],Товары[],2,0)</f>
        <v>Рис</v>
      </c>
      <c r="J344" s="17">
        <f>AVERAGEIF(Продажи[Категория],Продажи[[#This Row],[Категория]],Продажи[цена за шт в рублях])</f>
        <v>258.375</v>
      </c>
      <c r="K344" s="16">
        <f>Продажи[[#This Row],[цена за шт в рублях]]/Продажи[[#This Row],[Средняя цена в категории за шт]]-1</f>
        <v>-0.19109820996613447</v>
      </c>
      <c r="L344" t="str">
        <f>VLOOKUP(Продажи[[#This Row],[id товара]],Товары[],3,0)</f>
        <v>Белый Злат</v>
      </c>
      <c r="M344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344" s="16">
        <f>Продажи[[#This Row],[цена за шт в рублях]]/Продажи[[#This Row],[Средняя цена в категории за шт по поставщику]]-1</f>
        <v>-0.22508178844056703</v>
      </c>
      <c r="O344" s="48">
        <f>VLOOKUP(Продажи[[#This Row],[id клиента]],клиенты!$A$2:$E$435,5,0)</f>
        <v>44678</v>
      </c>
      <c r="P344">
        <f>Продажи[[#This Row],[дата создания чека]]-Продажи[[#This Row],[Дата регистрации]]</f>
        <v>438</v>
      </c>
      <c r="Q344" t="str">
        <f>VLOOKUP(Продажи[[#This Row],[id клиента]],клиенты!$A$2:$G$435,7,0)</f>
        <v>Россия</v>
      </c>
      <c r="R344">
        <f>IF(COUNTIF($H$2:H344, H344)=1, 1, 0)</f>
        <v>1</v>
      </c>
      <c r="S344" t="str">
        <f>VLOOKUP(Продажи[[#This Row],[id клиента]],клиенты!$A$2:$D$435,4,0)</f>
        <v>да</v>
      </c>
      <c r="T344" s="54">
        <f>VLOOKUP(Продажи[[#This Row],[id клиента]],клиенты!$A$2:$I$435,9,0)</f>
        <v>14.390143737166325</v>
      </c>
    </row>
    <row r="345" spans="1:20" x14ac:dyDescent="0.25">
      <c r="A345">
        <v>344</v>
      </c>
      <c r="B345">
        <v>210</v>
      </c>
      <c r="C345">
        <v>486</v>
      </c>
      <c r="D345">
        <v>5</v>
      </c>
      <c r="E345" s="35">
        <v>12150</v>
      </c>
      <c r="F345" s="48">
        <v>45350</v>
      </c>
      <c r="G345" t="s">
        <v>11</v>
      </c>
      <c r="H345">
        <v>78</v>
      </c>
      <c r="I345" t="str">
        <f>VLOOKUP(Продажи[[#This Row],[id товара]],Товары[],2,0)</f>
        <v>Колбаса</v>
      </c>
      <c r="J345" s="17">
        <f>AVERAGEIF(Продажи[Категория],Продажи[[#This Row],[Категория]],Продажи[цена за шт в рублях])</f>
        <v>286.92307692307691</v>
      </c>
      <c r="K345" s="16">
        <f>Продажи[[#This Row],[цена за шт в рублях]]/Продажи[[#This Row],[Средняя цена в категории за шт]]-1</f>
        <v>0.69383378016085806</v>
      </c>
      <c r="L345" t="str">
        <f>VLOOKUP(Продажи[[#This Row],[id товара]],Товары[],3,0)</f>
        <v>Окраина</v>
      </c>
      <c r="M345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345" s="16">
        <f>Продажи[[#This Row],[цена за шт в рублях]]/Продажи[[#This Row],[Средняя цена в категории за шт по поставщику]]-1</f>
        <v>0.77642400243679566</v>
      </c>
      <c r="O345" s="48">
        <f>VLOOKUP(Продажи[[#This Row],[id клиента]],клиенты!$A$2:$E$435,5,0)</f>
        <v>44658</v>
      </c>
      <c r="P345">
        <f>Продажи[[#This Row],[дата создания чека]]-Продажи[[#This Row],[Дата регистрации]]</f>
        <v>692</v>
      </c>
      <c r="Q345" t="str">
        <f>VLOOKUP(Продажи[[#This Row],[id клиента]],клиенты!$A$2:$G$435,7,0)</f>
        <v>Украина</v>
      </c>
      <c r="R345">
        <f>IF(COUNTIF($H$2:H345, H345)=1, 1, 0)</f>
        <v>1</v>
      </c>
      <c r="S345" t="str">
        <f>VLOOKUP(Продажи[[#This Row],[id клиента]],клиенты!$A$2:$D$435,4,0)</f>
        <v>да</v>
      </c>
      <c r="T345" s="54">
        <f>VLOOKUP(Продажи[[#This Row],[id клиента]],клиенты!$A$2:$I$435,9,0)</f>
        <v>22.735112936344969</v>
      </c>
    </row>
    <row r="346" spans="1:20" x14ac:dyDescent="0.25">
      <c r="A346">
        <v>345</v>
      </c>
      <c r="B346">
        <v>404</v>
      </c>
      <c r="C346">
        <v>123</v>
      </c>
      <c r="D346">
        <v>1</v>
      </c>
      <c r="E346" s="35">
        <v>615</v>
      </c>
      <c r="F346" s="48">
        <v>45346</v>
      </c>
      <c r="G346" t="s">
        <v>20</v>
      </c>
      <c r="H346">
        <v>298</v>
      </c>
      <c r="I346" t="str">
        <f>VLOOKUP(Продажи[[#This Row],[id товара]],Товары[],2,0)</f>
        <v>Йогурт</v>
      </c>
      <c r="J346" s="17">
        <f>AVERAGEIF(Продажи[Категория],Продажи[[#This Row],[Категория]],Продажи[цена за шт в рублях])</f>
        <v>263.25423728813558</v>
      </c>
      <c r="K346" s="16">
        <f>Продажи[[#This Row],[цена за шт в рублях]]/Продажи[[#This Row],[Средняя цена в категории за шт]]-1</f>
        <v>-0.53277105330929686</v>
      </c>
      <c r="L346" t="str">
        <f>VLOOKUP(Продажи[[#This Row],[id товара]],Товары[],3,0)</f>
        <v>Ростагроэкспорт</v>
      </c>
      <c r="M346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46" s="16">
        <f>Продажи[[#This Row],[цена за шт в рублях]]/Продажи[[#This Row],[Средняя цена в категории за шт по поставщику]]-1</f>
        <v>-0.52285376960701635</v>
      </c>
      <c r="O346" s="48">
        <f>VLOOKUP(Продажи[[#This Row],[id клиента]],клиенты!$A$2:$E$435,5,0)</f>
        <v>44821</v>
      </c>
      <c r="P346">
        <f>Продажи[[#This Row],[дата создания чека]]-Продажи[[#This Row],[Дата регистрации]]</f>
        <v>525</v>
      </c>
      <c r="Q346" t="str">
        <f>VLOOKUP(Продажи[[#This Row],[id клиента]],клиенты!$A$2:$G$435,7,0)</f>
        <v>Украина</v>
      </c>
      <c r="R346">
        <f>IF(COUNTIF($H$2:H346, H346)=1, 1, 0)</f>
        <v>0</v>
      </c>
      <c r="S346" t="str">
        <f>VLOOKUP(Продажи[[#This Row],[id клиента]],клиенты!$A$2:$D$435,4,0)</f>
        <v>да</v>
      </c>
      <c r="T346" s="54">
        <f>VLOOKUP(Продажи[[#This Row],[id клиента]],клиенты!$A$2:$I$435,9,0)</f>
        <v>17.248459958932237</v>
      </c>
    </row>
    <row r="347" spans="1:20" x14ac:dyDescent="0.25">
      <c r="A347">
        <v>346</v>
      </c>
      <c r="B347">
        <v>178</v>
      </c>
      <c r="C347">
        <v>179</v>
      </c>
      <c r="D347">
        <v>1</v>
      </c>
      <c r="E347" s="35">
        <v>895</v>
      </c>
      <c r="F347" s="48">
        <v>44938</v>
      </c>
      <c r="G347" t="s">
        <v>21</v>
      </c>
      <c r="H347">
        <v>130</v>
      </c>
      <c r="I347" t="str">
        <f>VLOOKUP(Продажи[[#This Row],[id товара]],Товары[],2,0)</f>
        <v>Йогурт</v>
      </c>
      <c r="J347" s="17">
        <f>AVERAGEIF(Продажи[Категория],Продажи[[#This Row],[Категория]],Продажи[цена за шт в рублях])</f>
        <v>263.25423728813558</v>
      </c>
      <c r="K347" s="16">
        <f>Продажи[[#This Row],[цена за шт в рублях]]/Продажи[[#This Row],[Средняя цена в категории за шт]]-1</f>
        <v>-0.3200489312387329</v>
      </c>
      <c r="L347" t="str">
        <f>VLOOKUP(Продажи[[#This Row],[id товара]],Товары[],3,0)</f>
        <v>Ростагроэкспорт</v>
      </c>
      <c r="M347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47" s="16">
        <f>Продажи[[#This Row],[цена за шт в рублях]]/Продажи[[#This Row],[Средняя цена в категории за шт по поставщику]]-1</f>
        <v>-0.30561646146061738</v>
      </c>
      <c r="O347" s="48">
        <f>VLOOKUP(Продажи[[#This Row],[id клиента]],клиенты!$A$2:$E$435,5,0)</f>
        <v>44863</v>
      </c>
      <c r="P347">
        <f>Продажи[[#This Row],[дата создания чека]]-Продажи[[#This Row],[Дата регистрации]]</f>
        <v>75</v>
      </c>
      <c r="Q347" t="str">
        <f>VLOOKUP(Продажи[[#This Row],[id клиента]],клиенты!$A$2:$G$435,7,0)</f>
        <v>Таджикистан</v>
      </c>
      <c r="R347">
        <f>IF(COUNTIF($H$2:H347, H347)=1, 1, 0)</f>
        <v>0</v>
      </c>
      <c r="S347" t="str">
        <f>VLOOKUP(Продажи[[#This Row],[id клиента]],клиенты!$A$2:$D$435,4,0)</f>
        <v>нет</v>
      </c>
      <c r="T347" s="54">
        <f>VLOOKUP(Продажи[[#This Row],[id клиента]],клиенты!$A$2:$I$435,9,0)</f>
        <v>10.809034907597535</v>
      </c>
    </row>
    <row r="348" spans="1:20" x14ac:dyDescent="0.25">
      <c r="A348">
        <v>347</v>
      </c>
      <c r="B348">
        <v>423</v>
      </c>
      <c r="C348">
        <v>218</v>
      </c>
      <c r="D348">
        <v>3</v>
      </c>
      <c r="E348" s="35">
        <v>3270</v>
      </c>
      <c r="F348" s="48">
        <v>45036</v>
      </c>
      <c r="G348" t="s">
        <v>16</v>
      </c>
      <c r="H348">
        <v>66</v>
      </c>
      <c r="I348" t="str">
        <f>VLOOKUP(Продажи[[#This Row],[id товара]],Товары[],2,0)</f>
        <v>Чипсы</v>
      </c>
      <c r="J348" s="17">
        <f>AVERAGEIF(Продажи[Категория],Продажи[[#This Row],[Категория]],Продажи[цена за шт в рублях])</f>
        <v>273.72549019607845</v>
      </c>
      <c r="K348" s="16">
        <f>Продажи[[#This Row],[цена за шт в рублях]]/Продажи[[#This Row],[Средняя цена в категории за шт]]-1</f>
        <v>-0.20358166189111759</v>
      </c>
      <c r="L348" t="str">
        <f>VLOOKUP(Продажи[[#This Row],[id товара]],Товары[],3,0)</f>
        <v>Pringles</v>
      </c>
      <c r="M348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348" s="16">
        <f>Продажи[[#This Row],[цена за шт в рублях]]/Продажи[[#This Row],[Средняя цена в категории за шт по поставщику]]-1</f>
        <v>-0.22209005947323701</v>
      </c>
      <c r="O348" s="48">
        <f>VLOOKUP(Продажи[[#This Row],[id клиента]],клиенты!$A$2:$E$435,5,0)</f>
        <v>44777</v>
      </c>
      <c r="P348">
        <f>Продажи[[#This Row],[дата создания чека]]-Продажи[[#This Row],[Дата регистрации]]</f>
        <v>259</v>
      </c>
      <c r="Q348" t="str">
        <f>VLOOKUP(Продажи[[#This Row],[id клиента]],клиенты!$A$2:$G$435,7,0)</f>
        <v>Россия</v>
      </c>
      <c r="R348">
        <f>IF(COUNTIF($H$2:H348, H348)=1, 1, 0)</f>
        <v>1</v>
      </c>
      <c r="S348" t="str">
        <f>VLOOKUP(Продажи[[#This Row],[id клиента]],клиенты!$A$2:$D$435,4,0)</f>
        <v>нет</v>
      </c>
      <c r="T348" s="54">
        <f>VLOOKUP(Продажи[[#This Row],[id клиента]],клиенты!$A$2:$I$435,9,0)</f>
        <v>10.677618069815194</v>
      </c>
    </row>
    <row r="349" spans="1:20" x14ac:dyDescent="0.25">
      <c r="A349">
        <v>348</v>
      </c>
      <c r="B349">
        <v>70</v>
      </c>
      <c r="C349">
        <v>51</v>
      </c>
      <c r="D349">
        <v>1</v>
      </c>
      <c r="E349" s="35">
        <v>255</v>
      </c>
      <c r="F349" s="48">
        <v>45314</v>
      </c>
      <c r="G349" t="s">
        <v>9</v>
      </c>
      <c r="H349">
        <v>261</v>
      </c>
      <c r="I349" t="str">
        <f>VLOOKUP(Продажи[[#This Row],[id товара]],Товары[],2,0)</f>
        <v>Рис</v>
      </c>
      <c r="J349" s="17">
        <f>AVERAGEIF(Продажи[Категория],Продажи[[#This Row],[Категория]],Продажи[цена за шт в рублях])</f>
        <v>258.375</v>
      </c>
      <c r="K349" s="16">
        <f>Продажи[[#This Row],[цена за шт в рублях]]/Продажи[[#This Row],[Средняя цена в категории за шт]]-1</f>
        <v>-0.8026124818577649</v>
      </c>
      <c r="L349" t="str">
        <f>VLOOKUP(Продажи[[#This Row],[id товара]],Товары[],3,0)</f>
        <v>Мистраль</v>
      </c>
      <c r="M349" s="32">
        <f>AVERAGEIFS(Продажи[цена за шт в рублях],Продажи[Категория],Продажи[[#This Row],[Категория]],Продажи[Поставщик],Продажи[[#This Row],[Поставщик]])</f>
        <v>181.57142857142858</v>
      </c>
      <c r="N349" s="16">
        <f>Продажи[[#This Row],[цена за шт в рублях]]/Продажи[[#This Row],[Средняя цена в категории за шт по поставщику]]-1</f>
        <v>-0.71911880409126672</v>
      </c>
      <c r="O349" s="48">
        <f>VLOOKUP(Продажи[[#This Row],[id клиента]],клиенты!$A$2:$E$435,5,0)</f>
        <v>44848</v>
      </c>
      <c r="P349">
        <f>Продажи[[#This Row],[дата создания чека]]-Продажи[[#This Row],[Дата регистрации]]</f>
        <v>466</v>
      </c>
      <c r="Q349" t="str">
        <f>VLOOKUP(Продажи[[#This Row],[id клиента]],клиенты!$A$2:$G$435,7,0)</f>
        <v>Россия</v>
      </c>
      <c r="R349">
        <f>IF(COUNTIF($H$2:H349, H349)=1, 1, 0)</f>
        <v>1</v>
      </c>
      <c r="S349" t="str">
        <f>VLOOKUP(Продажи[[#This Row],[id клиента]],клиенты!$A$2:$D$435,4,0)</f>
        <v>да</v>
      </c>
      <c r="T349" s="54">
        <f>VLOOKUP(Продажи[[#This Row],[id клиента]],клиенты!$A$2:$I$435,9,0)</f>
        <v>15.31006160164271</v>
      </c>
    </row>
    <row r="350" spans="1:20" x14ac:dyDescent="0.25">
      <c r="A350">
        <v>349</v>
      </c>
      <c r="B350">
        <v>335</v>
      </c>
      <c r="C350">
        <v>392</v>
      </c>
      <c r="D350">
        <v>5</v>
      </c>
      <c r="E350" s="35">
        <v>9800</v>
      </c>
      <c r="F350" s="48">
        <v>45217</v>
      </c>
      <c r="G350" t="s">
        <v>16</v>
      </c>
      <c r="H350">
        <v>307</v>
      </c>
      <c r="I350" t="str">
        <f>VLOOKUP(Продажи[[#This Row],[id товара]],Товары[],2,0)</f>
        <v>Хлеб</v>
      </c>
      <c r="J350" s="17">
        <f>AVERAGEIF(Продажи[Категория],Продажи[[#This Row],[Категория]],Продажи[цена за шт в рублях])</f>
        <v>300.31818181818181</v>
      </c>
      <c r="K350" s="16">
        <f>Продажи[[#This Row],[цена за шт в рублях]]/Продажи[[#This Row],[Средняя цена в категории за шт]]-1</f>
        <v>0.30528227637354322</v>
      </c>
      <c r="L350" t="str">
        <f>VLOOKUP(Продажи[[#This Row],[id товара]],Товары[],3,0)</f>
        <v>Каравай</v>
      </c>
      <c r="M350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350" s="16">
        <f>Продажи[[#This Row],[цена за шт в рублях]]/Продажи[[#This Row],[Средняя цена в категории за шт по поставщику]]-1</f>
        <v>0.18369401107196781</v>
      </c>
      <c r="O350" s="48">
        <f>VLOOKUP(Продажи[[#This Row],[id клиента]],клиенты!$A$2:$E$435,5,0)</f>
        <v>44764</v>
      </c>
      <c r="P350">
        <f>Продажи[[#This Row],[дата создания чека]]-Продажи[[#This Row],[Дата регистрации]]</f>
        <v>453</v>
      </c>
      <c r="Q350" t="str">
        <f>VLOOKUP(Продажи[[#This Row],[id клиента]],клиенты!$A$2:$G$435,7,0)</f>
        <v>Беларусь</v>
      </c>
      <c r="R350">
        <f>IF(COUNTIF($H$2:H350, H350)=1, 1, 0)</f>
        <v>1</v>
      </c>
      <c r="S350" t="str">
        <f>VLOOKUP(Продажи[[#This Row],[id клиента]],клиенты!$A$2:$D$435,4,0)</f>
        <v>да</v>
      </c>
      <c r="T350" s="54">
        <f>VLOOKUP(Продажи[[#This Row],[id клиента]],клиенты!$A$2:$I$435,9,0)</f>
        <v>16.755646817248461</v>
      </c>
    </row>
    <row r="351" spans="1:20" x14ac:dyDescent="0.25">
      <c r="A351">
        <v>350</v>
      </c>
      <c r="B351">
        <v>427</v>
      </c>
      <c r="C351">
        <v>273</v>
      </c>
      <c r="D351">
        <v>5</v>
      </c>
      <c r="E351" s="35">
        <v>6825</v>
      </c>
      <c r="F351" s="48">
        <v>45398</v>
      </c>
      <c r="G351" t="s">
        <v>22</v>
      </c>
      <c r="H351">
        <v>190</v>
      </c>
      <c r="I351" t="str">
        <f>VLOOKUP(Продажи[[#This Row],[id товара]],Товары[],2,0)</f>
        <v>Хлеб</v>
      </c>
      <c r="J351" s="17">
        <f>AVERAGEIF(Продажи[Категория],Продажи[[#This Row],[Категория]],Продажи[цена за шт в рублях])</f>
        <v>300.31818181818181</v>
      </c>
      <c r="K351" s="16">
        <f>Продажи[[#This Row],[цена за шт в рублях]]/Продажи[[#This Row],[Средняя цена в категории за шт]]-1</f>
        <v>-9.0964128954139523E-2</v>
      </c>
      <c r="L351" t="str">
        <f>VLOOKUP(Продажи[[#This Row],[id товара]],Товары[],3,0)</f>
        <v>Русский Хлеб</v>
      </c>
      <c r="M351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351" s="16">
        <f>Продажи[[#This Row],[цена за шт в рублях]]/Продажи[[#This Row],[Средняя цена в категории за шт по поставщику]]-1</f>
        <v>-0.13771320277953258</v>
      </c>
      <c r="O351" s="48">
        <f>VLOOKUP(Продажи[[#This Row],[id клиента]],клиенты!$A$2:$E$435,5,0)</f>
        <v>44689</v>
      </c>
      <c r="P351">
        <f>Продажи[[#This Row],[дата создания чека]]-Продажи[[#This Row],[Дата регистрации]]</f>
        <v>709</v>
      </c>
      <c r="Q351" t="str">
        <f>VLOOKUP(Продажи[[#This Row],[id клиента]],клиенты!$A$2:$G$435,7,0)</f>
        <v>Беларусь</v>
      </c>
      <c r="R351">
        <f>IF(COUNTIF($H$2:H351, H351)=1, 1, 0)</f>
        <v>0</v>
      </c>
      <c r="S351" t="str">
        <f>VLOOKUP(Продажи[[#This Row],[id клиента]],клиенты!$A$2:$D$435,4,0)</f>
        <v>нет</v>
      </c>
      <c r="T351" s="54">
        <f>VLOOKUP(Продажи[[#This Row],[id клиента]],клиенты!$A$2:$I$435,9,0)</f>
        <v>23.293634496919918</v>
      </c>
    </row>
    <row r="352" spans="1:20" x14ac:dyDescent="0.25">
      <c r="A352">
        <v>351</v>
      </c>
      <c r="B352">
        <v>137</v>
      </c>
      <c r="C352">
        <v>154</v>
      </c>
      <c r="D352">
        <v>1</v>
      </c>
      <c r="E352" s="35">
        <v>770</v>
      </c>
      <c r="F352" s="48">
        <v>45193</v>
      </c>
      <c r="G352" t="s">
        <v>24</v>
      </c>
      <c r="H352">
        <v>144</v>
      </c>
      <c r="I352" t="str">
        <f>VLOOKUP(Продажи[[#This Row],[id товара]],Товары[],2,0)</f>
        <v>Фрукты</v>
      </c>
      <c r="J352" s="17">
        <f>AVERAGEIF(Продажи[Категория],Продажи[[#This Row],[Категория]],Продажи[цена за шт в рублях])</f>
        <v>274.16279069767444</v>
      </c>
      <c r="K352" s="16">
        <f>Продажи[[#This Row],[цена за шт в рублях]]/Продажи[[#This Row],[Средняя цена в категории за шт]]-1</f>
        <v>-0.43828993129188232</v>
      </c>
      <c r="L352" t="str">
        <f>VLOOKUP(Продажи[[#This Row],[id товара]],Товары[],3,0)</f>
        <v>Экзотик</v>
      </c>
      <c r="M352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352" s="16">
        <f>Продажи[[#This Row],[цена за шт в рублях]]/Продажи[[#This Row],[Средняя цена в категории за шт по поставщику]]-1</f>
        <v>-0.39295392953929542</v>
      </c>
      <c r="O352" s="48">
        <f>VLOOKUP(Продажи[[#This Row],[id клиента]],клиенты!$A$2:$E$435,5,0)</f>
        <v>44705</v>
      </c>
      <c r="P352">
        <f>Продажи[[#This Row],[дата создания чека]]-Продажи[[#This Row],[Дата регистрации]]</f>
        <v>488</v>
      </c>
      <c r="Q352" t="str">
        <f>VLOOKUP(Продажи[[#This Row],[id клиента]],клиенты!$A$2:$G$435,7,0)</f>
        <v>Украина</v>
      </c>
      <c r="R352">
        <f>IF(COUNTIF($H$2:H352, H352)=1, 1, 0)</f>
        <v>1</v>
      </c>
      <c r="S352" t="str">
        <f>VLOOKUP(Продажи[[#This Row],[id клиента]],клиенты!$A$2:$D$435,4,0)</f>
        <v>да</v>
      </c>
      <c r="T352" s="54">
        <f>VLOOKUP(Продажи[[#This Row],[id клиента]],клиенты!$A$2:$I$435,9,0)</f>
        <v>16.032854209445585</v>
      </c>
    </row>
    <row r="353" spans="1:20" x14ac:dyDescent="0.25">
      <c r="A353">
        <v>352</v>
      </c>
      <c r="B353">
        <v>303</v>
      </c>
      <c r="C353">
        <v>68</v>
      </c>
      <c r="D353">
        <v>4</v>
      </c>
      <c r="E353" s="35">
        <v>1360</v>
      </c>
      <c r="F353" s="48">
        <v>44947</v>
      </c>
      <c r="G353" t="s">
        <v>24</v>
      </c>
      <c r="H353">
        <v>76</v>
      </c>
      <c r="I353" t="str">
        <f>VLOOKUP(Продажи[[#This Row],[id товара]],Товары[],2,0)</f>
        <v>Фрукты</v>
      </c>
      <c r="J353" s="17">
        <f>AVERAGEIF(Продажи[Категория],Продажи[[#This Row],[Категория]],Продажи[цена за шт в рублях])</f>
        <v>274.16279069767444</v>
      </c>
      <c r="K353" s="16">
        <f>Продажи[[#This Row],[цена за шт в рублях]]/Продажи[[#This Row],[Средняя цена в категории за шт]]-1</f>
        <v>-0.75197217745355838</v>
      </c>
      <c r="L353" t="str">
        <f>VLOOKUP(Продажи[[#This Row],[id товара]],Товары[],3,0)</f>
        <v>Фруктовый Рай</v>
      </c>
      <c r="M353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353" s="16">
        <f>Продажи[[#This Row],[цена за шт в рублях]]/Продажи[[#This Row],[Средняя цена в категории за шт по поставщику]]-1</f>
        <v>-0.73674806432400242</v>
      </c>
      <c r="O353" s="48">
        <f>VLOOKUP(Продажи[[#This Row],[id клиента]],клиенты!$A$2:$E$435,5,0)</f>
        <v>44575</v>
      </c>
      <c r="P353">
        <f>Продажи[[#This Row],[дата создания чека]]-Продажи[[#This Row],[Дата регистрации]]</f>
        <v>372</v>
      </c>
      <c r="Q353" t="str">
        <f>VLOOKUP(Продажи[[#This Row],[id клиента]],клиенты!$A$2:$G$435,7,0)</f>
        <v>Беларусь</v>
      </c>
      <c r="R353">
        <f>IF(COUNTIF($H$2:H353, H353)=1, 1, 0)</f>
        <v>1</v>
      </c>
      <c r="S353" t="str">
        <f>VLOOKUP(Продажи[[#This Row],[id клиента]],клиенты!$A$2:$D$435,4,0)</f>
        <v>да</v>
      </c>
      <c r="T353" s="54">
        <f>VLOOKUP(Продажи[[#This Row],[id клиента]],клиенты!$A$2:$I$435,9,0)</f>
        <v>23.227926078028748</v>
      </c>
    </row>
    <row r="354" spans="1:20" x14ac:dyDescent="0.25">
      <c r="A354">
        <v>353</v>
      </c>
      <c r="B354">
        <v>23</v>
      </c>
      <c r="C354">
        <v>380</v>
      </c>
      <c r="D354">
        <v>1</v>
      </c>
      <c r="E354" s="35">
        <v>1900</v>
      </c>
      <c r="F354" s="48">
        <v>45199</v>
      </c>
      <c r="G354" t="s">
        <v>16</v>
      </c>
      <c r="H354">
        <v>84</v>
      </c>
      <c r="I354" t="str">
        <f>VLOOKUP(Продажи[[#This Row],[id товара]],Товары[],2,0)</f>
        <v>Рыба</v>
      </c>
      <c r="J354" s="17">
        <f>AVERAGEIF(Продажи[Категория],Продажи[[#This Row],[Категория]],Продажи[цена за шт в рублях])</f>
        <v>258.5128205128205</v>
      </c>
      <c r="K354" s="16">
        <f>Продажи[[#This Row],[цена за шт в рублях]]/Продажи[[#This Row],[Средняя цена в категории за шт]]-1</f>
        <v>0.46994643919857171</v>
      </c>
      <c r="L354" t="str">
        <f>VLOOKUP(Продажи[[#This Row],[id товара]],Товары[],3,0)</f>
        <v>Санта Бремор</v>
      </c>
      <c r="M354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354" s="16">
        <f>Продажи[[#This Row],[цена за шт в рублях]]/Продажи[[#This Row],[Средняя цена в категории за шт по поставщику]]-1</f>
        <v>0.75600739371534198</v>
      </c>
      <c r="O354" s="48">
        <f>VLOOKUP(Продажи[[#This Row],[id клиента]],клиенты!$A$2:$E$435,5,0)</f>
        <v>44805</v>
      </c>
      <c r="P354">
        <f>Продажи[[#This Row],[дата создания чека]]-Продажи[[#This Row],[Дата регистрации]]</f>
        <v>394</v>
      </c>
      <c r="Q354" t="str">
        <f>VLOOKUP(Продажи[[#This Row],[id клиента]],клиенты!$A$2:$G$435,7,0)</f>
        <v>Таджикистан</v>
      </c>
      <c r="R354">
        <f>IF(COUNTIF($H$2:H354, H354)=1, 1, 0)</f>
        <v>1</v>
      </c>
      <c r="S354" t="str">
        <f>VLOOKUP(Продажи[[#This Row],[id клиента]],клиенты!$A$2:$D$435,4,0)</f>
        <v>нет</v>
      </c>
      <c r="T354" s="54">
        <f>VLOOKUP(Продажи[[#This Row],[id клиента]],клиенты!$A$2:$I$435,9,0)</f>
        <v>12.944558521560575</v>
      </c>
    </row>
    <row r="355" spans="1:20" x14ac:dyDescent="0.25">
      <c r="A355">
        <v>354</v>
      </c>
      <c r="B355">
        <v>398</v>
      </c>
      <c r="C355">
        <v>417</v>
      </c>
      <c r="D355">
        <v>4</v>
      </c>
      <c r="E355" s="35">
        <v>8340</v>
      </c>
      <c r="F355" s="48">
        <v>45167</v>
      </c>
      <c r="G355" t="s">
        <v>23</v>
      </c>
      <c r="H355">
        <v>81</v>
      </c>
      <c r="I355" t="str">
        <f>VLOOKUP(Продажи[[#This Row],[id товара]],Товары[],2,0)</f>
        <v>Сок</v>
      </c>
      <c r="J355" s="17">
        <f>AVERAGEIF(Продажи[Категория],Продажи[[#This Row],[Категория]],Продажи[цена за шт в рублях])</f>
        <v>268.60344827586209</v>
      </c>
      <c r="K355" s="16">
        <f>Продажи[[#This Row],[цена за шт в рублях]]/Продажи[[#This Row],[Средняя цена в категории за шт]]-1</f>
        <v>0.55247448488349682</v>
      </c>
      <c r="L355" t="str">
        <f>VLOOKUP(Продажи[[#This Row],[id товара]],Товары[],3,0)</f>
        <v>Фруктовый сад</v>
      </c>
      <c r="M35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355" s="16">
        <f>Продажи[[#This Row],[цена за шт в рублях]]/Продажи[[#This Row],[Средняя цена в категории за шт по поставщику]]-1</f>
        <v>0.47888728804167124</v>
      </c>
      <c r="O355" s="48">
        <f>VLOOKUP(Продажи[[#This Row],[id клиента]],клиенты!$A$2:$E$435,5,0)</f>
        <v>44825</v>
      </c>
      <c r="P355">
        <f>Продажи[[#This Row],[дата создания чека]]-Продажи[[#This Row],[Дата регистрации]]</f>
        <v>342</v>
      </c>
      <c r="Q355" t="str">
        <f>VLOOKUP(Продажи[[#This Row],[id клиента]],клиенты!$A$2:$G$435,7,0)</f>
        <v>Россия</v>
      </c>
      <c r="R355">
        <f>IF(COUNTIF($H$2:H355, H355)=1, 1, 0)</f>
        <v>1</v>
      </c>
      <c r="S355" t="str">
        <f>VLOOKUP(Продажи[[#This Row],[id клиента]],клиенты!$A$2:$D$435,4,0)</f>
        <v>да</v>
      </c>
      <c r="T355" s="54">
        <f>VLOOKUP(Продажи[[#This Row],[id клиента]],клиенты!$A$2:$I$435,9,0)</f>
        <v>18.694045174537987</v>
      </c>
    </row>
    <row r="356" spans="1:20" x14ac:dyDescent="0.25">
      <c r="A356">
        <v>355</v>
      </c>
      <c r="B356">
        <v>8</v>
      </c>
      <c r="C356">
        <v>404</v>
      </c>
      <c r="D356">
        <v>1</v>
      </c>
      <c r="E356" s="35">
        <v>2020</v>
      </c>
      <c r="F356" s="48">
        <v>45077</v>
      </c>
      <c r="G356" t="s">
        <v>22</v>
      </c>
      <c r="H356">
        <v>157</v>
      </c>
      <c r="I356" t="str">
        <f>VLOOKUP(Продажи[[#This Row],[id товара]],Товары[],2,0)</f>
        <v>Макароны</v>
      </c>
      <c r="J356" s="17">
        <f>AVERAGEIF(Продажи[Категория],Продажи[[#This Row],[Категория]],Продажи[цена за шт в рублях])</f>
        <v>265.47674418604652</v>
      </c>
      <c r="K356" s="16">
        <f>Продажи[[#This Row],[цена за шт в рублях]]/Продажи[[#This Row],[Средняя цена в категории за шт]]-1</f>
        <v>0.52179054793920554</v>
      </c>
      <c r="L356" t="str">
        <f>VLOOKUP(Продажи[[#This Row],[id товара]],Товары[],3,0)</f>
        <v>Паста Зара</v>
      </c>
      <c r="M356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356" s="16">
        <f>Продажи[[#This Row],[цена за шт в рублях]]/Продажи[[#This Row],[Средняя цена в категории за шт по поставщику]]-1</f>
        <v>0.46019341603985531</v>
      </c>
      <c r="O356" s="48">
        <f>VLOOKUP(Продажи[[#This Row],[id клиента]],клиенты!$A$2:$E$435,5,0)</f>
        <v>44783</v>
      </c>
      <c r="P356">
        <f>Продажи[[#This Row],[дата создания чека]]-Продажи[[#This Row],[Дата регистрации]]</f>
        <v>294</v>
      </c>
      <c r="Q356" t="str">
        <f>VLOOKUP(Продажи[[#This Row],[id клиента]],клиенты!$A$2:$G$435,7,0)</f>
        <v>Россия</v>
      </c>
      <c r="R356">
        <f>IF(COUNTIF($H$2:H356, H356)=1, 1, 0)</f>
        <v>1</v>
      </c>
      <c r="S356" t="str">
        <f>VLOOKUP(Продажи[[#This Row],[id клиента]],клиенты!$A$2:$D$435,4,0)</f>
        <v>нет</v>
      </c>
      <c r="T356" s="54">
        <f>VLOOKUP(Продажи[[#This Row],[id клиента]],клиенты!$A$2:$I$435,9,0)</f>
        <v>11.860369609856264</v>
      </c>
    </row>
    <row r="357" spans="1:20" x14ac:dyDescent="0.25">
      <c r="A357">
        <v>356</v>
      </c>
      <c r="B357">
        <v>485</v>
      </c>
      <c r="C357">
        <v>193</v>
      </c>
      <c r="D357">
        <v>1</v>
      </c>
      <c r="E357" s="35">
        <v>965</v>
      </c>
      <c r="F357" s="48">
        <v>45105</v>
      </c>
      <c r="G357" t="s">
        <v>20</v>
      </c>
      <c r="H357">
        <v>57</v>
      </c>
      <c r="I357" t="str">
        <f>VLOOKUP(Продажи[[#This Row],[id товара]],Товары[],2,0)</f>
        <v>Макароны</v>
      </c>
      <c r="J357" s="17">
        <f>AVERAGEIF(Продажи[Категория],Продажи[[#This Row],[Категория]],Продажи[цена за шт в рублях])</f>
        <v>265.47674418604652</v>
      </c>
      <c r="K357" s="16">
        <f>Продажи[[#This Row],[цена за шт в рублях]]/Продажи[[#This Row],[Средняя цена в категории за шт]]-1</f>
        <v>-0.27300600061320135</v>
      </c>
      <c r="L357" t="str">
        <f>VLOOKUP(Продажи[[#This Row],[id товара]],Товары[],3,0)</f>
        <v>Борилла</v>
      </c>
      <c r="M357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357" s="16">
        <f>Продажи[[#This Row],[цена за шт в рублях]]/Продажи[[#This Row],[Средняя цена в категории за шт по поставщику]]-1</f>
        <v>-0.18315820198482202</v>
      </c>
      <c r="O357" s="48">
        <f>VLOOKUP(Продажи[[#This Row],[id клиента]],клиенты!$A$2:$E$435,5,0)</f>
        <v>44669</v>
      </c>
      <c r="P357">
        <f>Продажи[[#This Row],[дата создания чека]]-Продажи[[#This Row],[Дата регистрации]]</f>
        <v>436</v>
      </c>
      <c r="Q357" t="str">
        <f>VLOOKUP(Продажи[[#This Row],[id клиента]],клиенты!$A$2:$G$435,7,0)</f>
        <v>Россия</v>
      </c>
      <c r="R357">
        <f>IF(COUNTIF($H$2:H357, H357)=1, 1, 0)</f>
        <v>1</v>
      </c>
      <c r="S357" t="str">
        <f>VLOOKUP(Продажи[[#This Row],[id клиента]],клиенты!$A$2:$D$435,4,0)</f>
        <v>нет</v>
      </c>
      <c r="T357" s="54">
        <f>VLOOKUP(Продажи[[#This Row],[id клиента]],клиенты!$A$2:$I$435,9,0)</f>
        <v>14.324435318275153</v>
      </c>
    </row>
    <row r="358" spans="1:20" x14ac:dyDescent="0.25">
      <c r="A358">
        <v>357</v>
      </c>
      <c r="B358">
        <v>60</v>
      </c>
      <c r="C358">
        <v>320</v>
      </c>
      <c r="D358">
        <v>4</v>
      </c>
      <c r="E358" s="35">
        <v>6400</v>
      </c>
      <c r="F358" s="48">
        <v>45292</v>
      </c>
      <c r="G358" t="s">
        <v>18</v>
      </c>
      <c r="H358">
        <v>273</v>
      </c>
      <c r="I358" t="str">
        <f>VLOOKUP(Продажи[[#This Row],[id товара]],Товары[],2,0)</f>
        <v>Кофе</v>
      </c>
      <c r="J358" s="17">
        <f>AVERAGEIF(Продажи[Категория],Продажи[[#This Row],[Категория]],Продажи[цена за шт в рублях])</f>
        <v>249.02380952380952</v>
      </c>
      <c r="K358" s="16">
        <f>Продажи[[#This Row],[цена за шт в рублях]]/Продажи[[#This Row],[Средняя цена в категории за шт]]-1</f>
        <v>0.28501768811549866</v>
      </c>
      <c r="L358" t="str">
        <f>VLOOKUP(Продажи[[#This Row],[id товара]],Товары[],3,0)</f>
        <v>Jacobs</v>
      </c>
      <c r="M358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358" s="16">
        <f>Продажи[[#This Row],[цена за шт в рублях]]/Продажи[[#This Row],[Средняя цена в категории за шт по поставщику]]-1</f>
        <v>0.15853658536585358</v>
      </c>
      <c r="O358" s="48">
        <f>VLOOKUP(Продажи[[#This Row],[id клиента]],клиенты!$A$2:$E$435,5,0)</f>
        <v>44599</v>
      </c>
      <c r="P358">
        <f>Продажи[[#This Row],[дата создания чека]]-Продажи[[#This Row],[Дата регистрации]]</f>
        <v>693</v>
      </c>
      <c r="Q358" t="str">
        <f>VLOOKUP(Продажи[[#This Row],[id клиента]],клиенты!$A$2:$G$435,7,0)</f>
        <v>Узбекистан</v>
      </c>
      <c r="R358">
        <f>IF(COUNTIF($H$2:H358, H358)=1, 1, 0)</f>
        <v>0</v>
      </c>
      <c r="S358" t="str">
        <f>VLOOKUP(Продажи[[#This Row],[id клиента]],клиенты!$A$2:$D$435,4,0)</f>
        <v>нет</v>
      </c>
      <c r="T358" s="54">
        <f>VLOOKUP(Продажи[[#This Row],[id клиента]],клиенты!$A$2:$I$435,9,0)</f>
        <v>22.767967145790553</v>
      </c>
    </row>
    <row r="359" spans="1:20" x14ac:dyDescent="0.25">
      <c r="A359">
        <v>358</v>
      </c>
      <c r="B359">
        <v>290</v>
      </c>
      <c r="C359">
        <v>470</v>
      </c>
      <c r="D359">
        <v>5</v>
      </c>
      <c r="E359" s="35">
        <v>11750</v>
      </c>
      <c r="F359" s="48">
        <v>45039</v>
      </c>
      <c r="G359" t="s">
        <v>20</v>
      </c>
      <c r="H359">
        <v>479</v>
      </c>
      <c r="I359" t="str">
        <f>VLOOKUP(Продажи[[#This Row],[id товара]],Товары[],2,0)</f>
        <v>Сахар</v>
      </c>
      <c r="J359" s="17">
        <f>AVERAGEIF(Продажи[Категория],Продажи[[#This Row],[Категория]],Продажи[цена за шт в рублях])</f>
        <v>252.76271186440678</v>
      </c>
      <c r="K359" s="16">
        <f>Продажи[[#This Row],[цена за шт в рублях]]/Продажи[[#This Row],[Средняя цена в категории за шт]]-1</f>
        <v>0.85945148528129822</v>
      </c>
      <c r="L359" t="str">
        <f>VLOOKUP(Продажи[[#This Row],[id товара]],Товары[],3,0)</f>
        <v>Продимекс</v>
      </c>
      <c r="M359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359" s="16">
        <f>Продажи[[#This Row],[цена за шт в рублях]]/Продажи[[#This Row],[Средняя цена в категории за шт по поставщику]]-1</f>
        <v>0.95426195426195437</v>
      </c>
      <c r="O359" s="48">
        <f>VLOOKUP(Продажи[[#This Row],[id клиента]],клиенты!$A$2:$E$435,5,0)</f>
        <v>44793</v>
      </c>
      <c r="P359">
        <f>Продажи[[#This Row],[дата создания чека]]-Продажи[[#This Row],[Дата регистрации]]</f>
        <v>246</v>
      </c>
      <c r="Q359" t="str">
        <f>VLOOKUP(Продажи[[#This Row],[id клиента]],клиенты!$A$2:$G$435,7,0)</f>
        <v>Россия</v>
      </c>
      <c r="R359">
        <f>IF(COUNTIF($H$2:H359, H359)=1, 1, 0)</f>
        <v>1</v>
      </c>
      <c r="S359" t="str">
        <f>VLOOKUP(Продажи[[#This Row],[id клиента]],клиенты!$A$2:$D$435,4,0)</f>
        <v>да</v>
      </c>
      <c r="T359" s="54">
        <f>VLOOKUP(Продажи[[#This Row],[id клиента]],клиенты!$A$2:$I$435,9,0)</f>
        <v>16.985626283367555</v>
      </c>
    </row>
    <row r="360" spans="1:20" x14ac:dyDescent="0.25">
      <c r="A360">
        <v>359</v>
      </c>
      <c r="B360">
        <v>386</v>
      </c>
      <c r="C360">
        <v>424</v>
      </c>
      <c r="D360">
        <v>3</v>
      </c>
      <c r="E360" s="35">
        <v>6360</v>
      </c>
      <c r="F360" s="48">
        <v>45166</v>
      </c>
      <c r="G360" t="s">
        <v>27</v>
      </c>
      <c r="H360">
        <v>406</v>
      </c>
      <c r="I360" t="str">
        <f>VLOOKUP(Продажи[[#This Row],[id товара]],Товары[],2,0)</f>
        <v>Крупа</v>
      </c>
      <c r="J360" s="17">
        <f>AVERAGEIF(Продажи[Категория],Продажи[[#This Row],[Категория]],Продажи[цена за шт в рублях])</f>
        <v>255.11627906976744</v>
      </c>
      <c r="K360" s="16">
        <f>Продажи[[#This Row],[цена за шт в рублях]]/Продажи[[#This Row],[Средняя цена в категории за шт]]-1</f>
        <v>0.6619872379216043</v>
      </c>
      <c r="L360" t="str">
        <f>VLOOKUP(Продажи[[#This Row],[id товара]],Товары[],3,0)</f>
        <v>Увелка</v>
      </c>
      <c r="M360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360" s="16">
        <f>Продажи[[#This Row],[цена за шт в рублях]]/Продажи[[#This Row],[Средняя цена в категории за шт по поставщику]]-1</f>
        <v>0.68309626199139939</v>
      </c>
      <c r="O360" s="48">
        <f>VLOOKUP(Продажи[[#This Row],[id клиента]],клиенты!$A$2:$E$435,5,0)</f>
        <v>44895</v>
      </c>
      <c r="P360">
        <f>Продажи[[#This Row],[дата создания чека]]-Продажи[[#This Row],[Дата регистрации]]</f>
        <v>271</v>
      </c>
      <c r="Q360" t="str">
        <f>VLOOKUP(Продажи[[#This Row],[id клиента]],клиенты!$A$2:$G$435,7,0)</f>
        <v>Украина</v>
      </c>
      <c r="R360">
        <f>IF(COUNTIF($H$2:H360, H360)=1, 1, 0)</f>
        <v>1</v>
      </c>
      <c r="S360" t="str">
        <f>VLOOKUP(Продажи[[#This Row],[id клиента]],клиенты!$A$2:$D$435,4,0)</f>
        <v>да</v>
      </c>
      <c r="T360" s="54">
        <f>VLOOKUP(Продажи[[#This Row],[id клиента]],клиенты!$A$2:$I$435,9,0)</f>
        <v>13.338809034907598</v>
      </c>
    </row>
    <row r="361" spans="1:20" x14ac:dyDescent="0.25">
      <c r="A361">
        <v>360</v>
      </c>
      <c r="B361">
        <v>348</v>
      </c>
      <c r="C361">
        <v>147</v>
      </c>
      <c r="D361">
        <v>4</v>
      </c>
      <c r="E361" s="35">
        <v>2940</v>
      </c>
      <c r="F361" s="48">
        <v>45006</v>
      </c>
      <c r="G361" t="s">
        <v>22</v>
      </c>
      <c r="H361">
        <v>157</v>
      </c>
      <c r="I361" t="str">
        <f>VLOOKUP(Продажи[[#This Row],[id товара]],Товары[],2,0)</f>
        <v>Чипсы</v>
      </c>
      <c r="J361" s="17">
        <f>AVERAGEIF(Продажи[Категория],Продажи[[#This Row],[Категория]],Продажи[цена за шт в рублях])</f>
        <v>273.72549019607845</v>
      </c>
      <c r="K361" s="16">
        <f>Продажи[[#This Row],[цена за шт в рублях]]/Продажи[[#This Row],[Средняя цена в категории за шт]]-1</f>
        <v>-0.4629656160458453</v>
      </c>
      <c r="L361" t="str">
        <f>VLOOKUP(Продажи[[#This Row],[id товара]],Товары[],3,0)</f>
        <v>Estrella</v>
      </c>
      <c r="M361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361" s="16">
        <f>Продажи[[#This Row],[цена за шт в рублях]]/Продажи[[#This Row],[Средняя цена в категории за шт по поставщику]]-1</f>
        <v>-0.44793444861727549</v>
      </c>
      <c r="O361" s="48">
        <f>VLOOKUP(Продажи[[#This Row],[id клиента]],клиенты!$A$2:$E$435,5,0)</f>
        <v>44783</v>
      </c>
      <c r="P361">
        <f>Продажи[[#This Row],[дата создания чека]]-Продажи[[#This Row],[Дата регистрации]]</f>
        <v>223</v>
      </c>
      <c r="Q361" t="str">
        <f>VLOOKUP(Продажи[[#This Row],[id клиента]],клиенты!$A$2:$G$435,7,0)</f>
        <v>Россия</v>
      </c>
      <c r="R361">
        <f>IF(COUNTIF($H$2:H361, H361)=1, 1, 0)</f>
        <v>0</v>
      </c>
      <c r="S361" t="str">
        <f>VLOOKUP(Продажи[[#This Row],[id клиента]],клиенты!$A$2:$D$435,4,0)</f>
        <v>нет</v>
      </c>
      <c r="T361" s="54">
        <f>VLOOKUP(Продажи[[#This Row],[id клиента]],клиенты!$A$2:$I$435,9,0)</f>
        <v>11.860369609856264</v>
      </c>
    </row>
    <row r="362" spans="1:20" x14ac:dyDescent="0.25">
      <c r="A362">
        <v>361</v>
      </c>
      <c r="B362">
        <v>350</v>
      </c>
      <c r="C362">
        <v>319</v>
      </c>
      <c r="D362">
        <v>3</v>
      </c>
      <c r="E362" s="35">
        <v>4785</v>
      </c>
      <c r="F362" s="48">
        <v>45385</v>
      </c>
      <c r="G362" t="s">
        <v>8</v>
      </c>
      <c r="H362">
        <v>56</v>
      </c>
      <c r="I362" t="str">
        <f>VLOOKUP(Продажи[[#This Row],[id товара]],Товары[],2,0)</f>
        <v>Фрукты</v>
      </c>
      <c r="J362" s="17">
        <f>AVERAGEIF(Продажи[Категория],Продажи[[#This Row],[Категория]],Продажи[цена за шт в рублях])</f>
        <v>274.16279069767444</v>
      </c>
      <c r="K362" s="16">
        <f>Продажи[[#This Row],[цена за шт в рублях]]/Продажи[[#This Row],[Средняя цена в категории за шт]]-1</f>
        <v>0.16354228518110103</v>
      </c>
      <c r="L362" t="str">
        <f>VLOOKUP(Продажи[[#This Row],[id товара]],Товары[],3,0)</f>
        <v>Фрукты-Ягоды</v>
      </c>
      <c r="M362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362" s="16">
        <f>Продажи[[#This Row],[цена за шт в рублях]]/Продажи[[#This Row],[Средняя цена в категории за шт по поставщику]]-1</f>
        <v>0.13657957244655572</v>
      </c>
      <c r="O362" s="48">
        <f>VLOOKUP(Продажи[[#This Row],[id клиента]],клиенты!$A$2:$E$435,5,0)</f>
        <v>44662</v>
      </c>
      <c r="P362">
        <f>Продажи[[#This Row],[дата создания чека]]-Продажи[[#This Row],[Дата регистрации]]</f>
        <v>723</v>
      </c>
      <c r="Q362" t="str">
        <f>VLOOKUP(Продажи[[#This Row],[id клиента]],клиенты!$A$2:$G$435,7,0)</f>
        <v>Таджикистан</v>
      </c>
      <c r="R362">
        <f>IF(COUNTIF($H$2:H362, H362)=1, 1, 0)</f>
        <v>1</v>
      </c>
      <c r="S362" t="str">
        <f>VLOOKUP(Продажи[[#This Row],[id клиента]],клиенты!$A$2:$D$435,4,0)</f>
        <v>нет</v>
      </c>
      <c r="T362" s="54">
        <f>VLOOKUP(Продажи[[#This Row],[id клиента]],клиенты!$A$2:$I$435,9,0)</f>
        <v>23.753593429158112</v>
      </c>
    </row>
    <row r="363" spans="1:20" x14ac:dyDescent="0.25">
      <c r="A363">
        <v>362</v>
      </c>
      <c r="B363">
        <v>126</v>
      </c>
      <c r="C363">
        <v>479</v>
      </c>
      <c r="D363">
        <v>2</v>
      </c>
      <c r="E363" s="35">
        <v>4790</v>
      </c>
      <c r="F363" s="48">
        <v>45045</v>
      </c>
      <c r="G363" t="s">
        <v>24</v>
      </c>
      <c r="H363">
        <v>10</v>
      </c>
      <c r="I363" t="str">
        <f>VLOOKUP(Продажи[[#This Row],[id товара]],Товары[],2,0)</f>
        <v>Сахар</v>
      </c>
      <c r="J363" s="17">
        <f>AVERAGEIF(Продажи[Категория],Продажи[[#This Row],[Категория]],Продажи[цена за шт в рублях])</f>
        <v>252.76271186440678</v>
      </c>
      <c r="K363" s="16">
        <f>Продажи[[#This Row],[цена за шт в рублях]]/Продажи[[#This Row],[Средняя цена в категории за шт]]-1</f>
        <v>0.89505800308455719</v>
      </c>
      <c r="L363" t="str">
        <f>VLOOKUP(Продажи[[#This Row],[id товара]],Товары[],3,0)</f>
        <v>Русский сахар</v>
      </c>
      <c r="M363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363" s="16">
        <f>Продажи[[#This Row],[цена за шт в рублях]]/Продажи[[#This Row],[Средняя цена в категории за шт по поставщику]]-1</f>
        <v>0.63251804330392924</v>
      </c>
      <c r="O363" s="48">
        <f>VLOOKUP(Продажи[[#This Row],[id клиента]],клиенты!$A$2:$E$435,5,0)</f>
        <v>44881</v>
      </c>
      <c r="P363">
        <f>Продажи[[#This Row],[дата создания чека]]-Продажи[[#This Row],[Дата регистрации]]</f>
        <v>164</v>
      </c>
      <c r="Q363" t="str">
        <f>VLOOKUP(Продажи[[#This Row],[id клиента]],клиенты!$A$2:$G$435,7,0)</f>
        <v>Украина</v>
      </c>
      <c r="R363">
        <f>IF(COUNTIF($H$2:H363, H363)=1, 1, 0)</f>
        <v>1</v>
      </c>
      <c r="S363" t="str">
        <f>VLOOKUP(Продажи[[#This Row],[id клиента]],клиенты!$A$2:$D$435,4,0)</f>
        <v>нет</v>
      </c>
      <c r="T363" s="54">
        <f>VLOOKUP(Продажи[[#This Row],[id клиента]],клиенты!$A$2:$I$435,9,0)</f>
        <v>17.117043121149898</v>
      </c>
    </row>
    <row r="364" spans="1:20" x14ac:dyDescent="0.25">
      <c r="A364">
        <v>363</v>
      </c>
      <c r="B364">
        <v>258</v>
      </c>
      <c r="C364">
        <v>181</v>
      </c>
      <c r="D364">
        <v>5</v>
      </c>
      <c r="E364" s="35">
        <v>4525</v>
      </c>
      <c r="F364" s="48">
        <v>45054</v>
      </c>
      <c r="G364" t="s">
        <v>27</v>
      </c>
      <c r="H364">
        <v>174</v>
      </c>
      <c r="I364" t="str">
        <f>VLOOKUP(Продажи[[#This Row],[id товара]],Товары[],2,0)</f>
        <v>Рыба</v>
      </c>
      <c r="J364" s="17">
        <f>AVERAGEIF(Продажи[Категория],Продажи[[#This Row],[Категория]],Продажи[цена за шт в рублях])</f>
        <v>258.5128205128205</v>
      </c>
      <c r="K364" s="16">
        <f>Продажи[[#This Row],[цена за шт в рублях]]/Продажи[[#This Row],[Средняя цена в категории за шт]]-1</f>
        <v>-0.29984130132910136</v>
      </c>
      <c r="L364" t="str">
        <f>VLOOKUP(Продажи[[#This Row],[id товара]],Товары[],3,0)</f>
        <v>Санта Бремор</v>
      </c>
      <c r="M364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364" s="16">
        <f>Продажи[[#This Row],[цена за шт в рублях]]/Продажи[[#This Row],[Средняя цена в категории за шт по поставщику]]-1</f>
        <v>-0.16358595194085035</v>
      </c>
      <c r="O364" s="48">
        <f>VLOOKUP(Продажи[[#This Row],[id клиента]],клиенты!$A$2:$E$435,5,0)</f>
        <v>44779</v>
      </c>
      <c r="P364">
        <f>Продажи[[#This Row],[дата создания чека]]-Продажи[[#This Row],[Дата регистрации]]</f>
        <v>275</v>
      </c>
      <c r="Q364" t="str">
        <f>VLOOKUP(Продажи[[#This Row],[id клиента]],клиенты!$A$2:$G$435,7,0)</f>
        <v>Таджикистан</v>
      </c>
      <c r="R364">
        <f>IF(COUNTIF($H$2:H364, H364)=1, 1, 0)</f>
        <v>1</v>
      </c>
      <c r="S364" t="str">
        <f>VLOOKUP(Продажи[[#This Row],[id клиента]],клиенты!$A$2:$D$435,4,0)</f>
        <v>да</v>
      </c>
      <c r="T364" s="54">
        <f>VLOOKUP(Продажи[[#This Row],[id клиента]],клиенты!$A$2:$I$435,9,0)</f>
        <v>9.0349075975359341</v>
      </c>
    </row>
    <row r="365" spans="1:20" x14ac:dyDescent="0.25">
      <c r="A365">
        <v>364</v>
      </c>
      <c r="B365">
        <v>325</v>
      </c>
      <c r="C365">
        <v>361</v>
      </c>
      <c r="D365">
        <v>5</v>
      </c>
      <c r="E365" s="35">
        <v>9025</v>
      </c>
      <c r="F365" s="48">
        <v>45243</v>
      </c>
      <c r="G365" t="s">
        <v>11</v>
      </c>
      <c r="H365">
        <v>110</v>
      </c>
      <c r="I365" t="str">
        <f>VLOOKUP(Продажи[[#This Row],[id товара]],Товары[],2,0)</f>
        <v>Сок</v>
      </c>
      <c r="J365" s="17">
        <f>AVERAGEIF(Продажи[Категория],Продажи[[#This Row],[Категория]],Продажи[цена за шт в рублях])</f>
        <v>268.60344827586209</v>
      </c>
      <c r="K365" s="16">
        <f>Продажи[[#This Row],[цена за шт в рублях]]/Продажи[[#This Row],[Средняя цена в категории за шт]]-1</f>
        <v>0.34398870274086901</v>
      </c>
      <c r="L365" t="str">
        <f>VLOOKUP(Продажи[[#This Row],[id товара]],Товары[],3,0)</f>
        <v>Добрый</v>
      </c>
      <c r="M365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365" s="16">
        <f>Продажи[[#This Row],[цена за шт в рублях]]/Продажи[[#This Row],[Средняя цена в категории за шт по поставщику]]-1</f>
        <v>0.48670909771621118</v>
      </c>
      <c r="O365" s="48">
        <f>VLOOKUP(Продажи[[#This Row],[id клиента]],клиенты!$A$2:$E$435,5,0)</f>
        <v>44580</v>
      </c>
      <c r="P365">
        <f>Продажи[[#This Row],[дата создания чека]]-Продажи[[#This Row],[Дата регистрации]]</f>
        <v>663</v>
      </c>
      <c r="Q365" t="str">
        <f>VLOOKUP(Продажи[[#This Row],[id клиента]],клиенты!$A$2:$G$435,7,0)</f>
        <v>Узбекистан</v>
      </c>
      <c r="R365">
        <f>IF(COUNTIF($H$2:H365, H365)=1, 1, 0)</f>
        <v>0</v>
      </c>
      <c r="S365" t="str">
        <f>VLOOKUP(Продажи[[#This Row],[id клиента]],клиенты!$A$2:$D$435,4,0)</f>
        <v>нет</v>
      </c>
      <c r="T365" s="54">
        <f>VLOOKUP(Продажи[[#This Row],[id клиента]],клиенты!$A$2:$I$435,9,0)</f>
        <v>21.782340862422998</v>
      </c>
    </row>
    <row r="366" spans="1:20" x14ac:dyDescent="0.25">
      <c r="A366">
        <v>365</v>
      </c>
      <c r="B366">
        <v>320</v>
      </c>
      <c r="C366">
        <v>254</v>
      </c>
      <c r="D366">
        <v>1</v>
      </c>
      <c r="E366" s="35">
        <v>1270</v>
      </c>
      <c r="F366" s="48">
        <v>45316</v>
      </c>
      <c r="G366" t="s">
        <v>19</v>
      </c>
      <c r="H366">
        <v>72</v>
      </c>
      <c r="I366" t="str">
        <f>VLOOKUP(Продажи[[#This Row],[id товара]],Товары[],2,0)</f>
        <v>Конфеты</v>
      </c>
      <c r="J366" s="17">
        <f>AVERAGEIF(Продажи[Категория],Продажи[[#This Row],[Категория]],Продажи[цена за шт в рублях])</f>
        <v>267.85483870967744</v>
      </c>
      <c r="K366" s="16">
        <f>Продажи[[#This Row],[цена за шт в рублях]]/Продажи[[#This Row],[Средняя цена в категории за шт]]-1</f>
        <v>-5.172517613054739E-2</v>
      </c>
      <c r="L366" t="str">
        <f>VLOOKUP(Продажи[[#This Row],[id товара]],Товары[],3,0)</f>
        <v>Бабаевский</v>
      </c>
      <c r="M366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366" s="16">
        <f>Продажи[[#This Row],[цена за шт в рублях]]/Продажи[[#This Row],[Средняя цена в категории за шт по поставщику]]-1</f>
        <v>1.494746189137186E-2</v>
      </c>
      <c r="O366" s="48">
        <f>VLOOKUP(Продажи[[#This Row],[id клиента]],клиенты!$A$2:$E$435,5,0)</f>
        <v>44906</v>
      </c>
      <c r="P366">
        <f>Продажи[[#This Row],[дата создания чека]]-Продажи[[#This Row],[Дата регистрации]]</f>
        <v>410</v>
      </c>
      <c r="Q366" t="str">
        <f>VLOOKUP(Продажи[[#This Row],[id клиента]],клиенты!$A$2:$G$435,7,0)</f>
        <v>Таджикистан</v>
      </c>
      <c r="R366">
        <f>IF(COUNTIF($H$2:H366, H366)=1, 1, 0)</f>
        <v>1</v>
      </c>
      <c r="S366" t="str">
        <f>VLOOKUP(Продажи[[#This Row],[id клиента]],клиенты!$A$2:$D$435,4,0)</f>
        <v>да</v>
      </c>
      <c r="T366" s="54">
        <f>VLOOKUP(Продажи[[#This Row],[id клиента]],клиенты!$A$2:$I$435,9,0)</f>
        <v>13.470225872689939</v>
      </c>
    </row>
    <row r="367" spans="1:20" x14ac:dyDescent="0.25">
      <c r="A367">
        <v>366</v>
      </c>
      <c r="B367">
        <v>329</v>
      </c>
      <c r="C367">
        <v>187</v>
      </c>
      <c r="D367">
        <v>4</v>
      </c>
      <c r="E367" s="35">
        <v>3740</v>
      </c>
      <c r="F367" s="48">
        <v>45274</v>
      </c>
      <c r="G367" t="s">
        <v>20</v>
      </c>
      <c r="H367">
        <v>307</v>
      </c>
      <c r="I367" t="str">
        <f>VLOOKUP(Продажи[[#This Row],[id товара]],Товары[],2,0)</f>
        <v>Соль</v>
      </c>
      <c r="J367" s="17">
        <f>AVERAGEIF(Продажи[Категория],Продажи[[#This Row],[Категория]],Продажи[цена за шт в рублях])</f>
        <v>264.8679245283019</v>
      </c>
      <c r="K367" s="16">
        <f>Продажи[[#This Row],[цена за шт в рублях]]/Продажи[[#This Row],[Средняя цена в категории за шт]]-1</f>
        <v>-0.29398774754238499</v>
      </c>
      <c r="L367" t="str">
        <f>VLOOKUP(Продажи[[#This Row],[id товара]],Товары[],3,0)</f>
        <v>Славянская</v>
      </c>
      <c r="M367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367" s="16">
        <f>Продажи[[#This Row],[цена за шт в рублях]]/Продажи[[#This Row],[Средняя цена в категории за шт по поставщику]]-1</f>
        <v>-0.21069293000351741</v>
      </c>
      <c r="O367" s="48">
        <f>VLOOKUP(Продажи[[#This Row],[id клиента]],клиенты!$A$2:$E$435,5,0)</f>
        <v>44764</v>
      </c>
      <c r="P367">
        <f>Продажи[[#This Row],[дата создания чека]]-Продажи[[#This Row],[Дата регистрации]]</f>
        <v>510</v>
      </c>
      <c r="Q367" t="str">
        <f>VLOOKUP(Продажи[[#This Row],[id клиента]],клиенты!$A$2:$G$435,7,0)</f>
        <v>Беларусь</v>
      </c>
      <c r="R367">
        <f>IF(COUNTIF($H$2:H367, H367)=1, 1, 0)</f>
        <v>0</v>
      </c>
      <c r="S367" t="str">
        <f>VLOOKUP(Продажи[[#This Row],[id клиента]],клиенты!$A$2:$D$435,4,0)</f>
        <v>да</v>
      </c>
      <c r="T367" s="54">
        <f>VLOOKUP(Продажи[[#This Row],[id клиента]],клиенты!$A$2:$I$435,9,0)</f>
        <v>16.755646817248461</v>
      </c>
    </row>
    <row r="368" spans="1:20" x14ac:dyDescent="0.25">
      <c r="A368">
        <v>367</v>
      </c>
      <c r="B368">
        <v>226</v>
      </c>
      <c r="C368">
        <v>155</v>
      </c>
      <c r="D368">
        <v>4</v>
      </c>
      <c r="E368" s="35">
        <v>3100</v>
      </c>
      <c r="F368" s="48">
        <v>44967</v>
      </c>
      <c r="G368" t="s">
        <v>21</v>
      </c>
      <c r="H368">
        <v>202</v>
      </c>
      <c r="I368" t="str">
        <f>VLOOKUP(Продажи[[#This Row],[id товара]],Товары[],2,0)</f>
        <v>Сыр</v>
      </c>
      <c r="J368" s="17">
        <f>AVERAGEIF(Продажи[Категория],Продажи[[#This Row],[Категория]],Продажи[цена за шт в рублях])</f>
        <v>262.63492063492066</v>
      </c>
      <c r="K368" s="16">
        <f>Продажи[[#This Row],[цена за шт в рублях]]/Продажи[[#This Row],[Средняя цена в категории за шт]]-1</f>
        <v>-0.40982714855554214</v>
      </c>
      <c r="L368" t="str">
        <f>VLOOKUP(Продажи[[#This Row],[id товара]],Товары[],3,0)</f>
        <v>Карат</v>
      </c>
      <c r="M368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368" s="16">
        <f>Продажи[[#This Row],[цена за шт в рублях]]/Продажи[[#This Row],[Средняя цена в категории за шт по поставщику]]-1</f>
        <v>-0.50214132762312635</v>
      </c>
      <c r="O368" s="48">
        <f>VLOOKUP(Продажи[[#This Row],[id клиента]],клиенты!$A$2:$E$435,5,0)</f>
        <v>44766</v>
      </c>
      <c r="P368">
        <f>Продажи[[#This Row],[дата создания чека]]-Продажи[[#This Row],[Дата регистрации]]</f>
        <v>201</v>
      </c>
      <c r="Q368" t="str">
        <f>VLOOKUP(Продажи[[#This Row],[id клиента]],клиенты!$A$2:$G$435,7,0)</f>
        <v>Беларусь</v>
      </c>
      <c r="R368">
        <f>IF(COUNTIF($H$2:H368, H368)=1, 1, 0)</f>
        <v>0</v>
      </c>
      <c r="S368" t="str">
        <f>VLOOKUP(Продажи[[#This Row],[id клиента]],клиенты!$A$2:$D$435,4,0)</f>
        <v>нет</v>
      </c>
      <c r="T368" s="54">
        <f>VLOOKUP(Продажи[[#This Row],[id клиента]],клиенты!$A$2:$I$435,9,0)</f>
        <v>19.383983572895279</v>
      </c>
    </row>
    <row r="369" spans="1:20" x14ac:dyDescent="0.25">
      <c r="A369">
        <v>368</v>
      </c>
      <c r="B369">
        <v>270</v>
      </c>
      <c r="C369">
        <v>78</v>
      </c>
      <c r="D369">
        <v>4</v>
      </c>
      <c r="E369" s="35">
        <v>1560</v>
      </c>
      <c r="F369" s="48">
        <v>44932</v>
      </c>
      <c r="G369" t="s">
        <v>24</v>
      </c>
      <c r="H369">
        <v>157</v>
      </c>
      <c r="I369" t="str">
        <f>VLOOKUP(Продажи[[#This Row],[id товара]],Товары[],2,0)</f>
        <v>Соль</v>
      </c>
      <c r="J369" s="17">
        <f>AVERAGEIF(Продажи[Категория],Продажи[[#This Row],[Категория]],Продажи[цена за шт в рублях])</f>
        <v>264.8679245283019</v>
      </c>
      <c r="K369" s="16">
        <f>Продажи[[#This Row],[цена за шт в рублях]]/Продажи[[#This Row],[Средняя цена в категории за шт]]-1</f>
        <v>-0.70551360592677015</v>
      </c>
      <c r="L369" t="str">
        <f>VLOOKUP(Продажи[[#This Row],[id товара]],Товары[],3,0)</f>
        <v>Славянская</v>
      </c>
      <c r="M369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369" s="16">
        <f>Продажи[[#This Row],[цена за шт в рублях]]/Продажи[[#This Row],[Средняя цена в категории за шт по поставщику]]-1</f>
        <v>-0.67077031304959545</v>
      </c>
      <c r="O369" s="48">
        <f>VLOOKUP(Продажи[[#This Row],[id клиента]],клиенты!$A$2:$E$435,5,0)</f>
        <v>44783</v>
      </c>
      <c r="P369">
        <f>Продажи[[#This Row],[дата создания чека]]-Продажи[[#This Row],[Дата регистрации]]</f>
        <v>149</v>
      </c>
      <c r="Q369" t="str">
        <f>VLOOKUP(Продажи[[#This Row],[id клиента]],клиенты!$A$2:$G$435,7,0)</f>
        <v>Россия</v>
      </c>
      <c r="R369">
        <f>IF(COUNTIF($H$2:H369, H369)=1, 1, 0)</f>
        <v>0</v>
      </c>
      <c r="S369" t="str">
        <f>VLOOKUP(Продажи[[#This Row],[id клиента]],клиенты!$A$2:$D$435,4,0)</f>
        <v>нет</v>
      </c>
      <c r="T369" s="54">
        <f>VLOOKUP(Продажи[[#This Row],[id клиента]],клиенты!$A$2:$I$435,9,0)</f>
        <v>11.860369609856264</v>
      </c>
    </row>
    <row r="370" spans="1:20" x14ac:dyDescent="0.25">
      <c r="A370">
        <v>369</v>
      </c>
      <c r="B370">
        <v>233</v>
      </c>
      <c r="C370">
        <v>478</v>
      </c>
      <c r="D370">
        <v>2</v>
      </c>
      <c r="E370" s="35">
        <v>4780</v>
      </c>
      <c r="F370" s="48">
        <v>45129</v>
      </c>
      <c r="G370" t="s">
        <v>22</v>
      </c>
      <c r="H370">
        <v>270</v>
      </c>
      <c r="I370" t="str">
        <f>VLOOKUP(Продажи[[#This Row],[id товара]],Товары[],2,0)</f>
        <v>Йогурт</v>
      </c>
      <c r="J370" s="17">
        <f>AVERAGEIF(Продажи[Категория],Продажи[[#This Row],[Категория]],Продажи[цена за шт в рублях])</f>
        <v>263.25423728813558</v>
      </c>
      <c r="K370" s="16">
        <f>Продажи[[#This Row],[цена за шт в рублях]]/Продажи[[#This Row],[Средняя цена в категории за шт]]-1</f>
        <v>0.8157352562451714</v>
      </c>
      <c r="L370" t="str">
        <f>VLOOKUP(Продажи[[#This Row],[id товара]],Товары[],3,0)</f>
        <v>Ростагроэкспорт</v>
      </c>
      <c r="M370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70" s="16">
        <f>Продажи[[#This Row],[цена за шт в рублях]]/Продажи[[#This Row],[Средняя цена в категории за шт по поставщику]]-1</f>
        <v>0.85427559453533464</v>
      </c>
      <c r="O370" s="48">
        <f>VLOOKUP(Продажи[[#This Row],[id клиента]],клиенты!$A$2:$E$435,5,0)</f>
        <v>44827</v>
      </c>
      <c r="P370">
        <f>Продажи[[#This Row],[дата создания чека]]-Продажи[[#This Row],[Дата регистрации]]</f>
        <v>302</v>
      </c>
      <c r="Q370" t="str">
        <f>VLOOKUP(Продажи[[#This Row],[id клиента]],клиенты!$A$2:$G$435,7,0)</f>
        <v>Таджикистан</v>
      </c>
      <c r="R370">
        <f>IF(COUNTIF($H$2:H370, H370)=1, 1, 0)</f>
        <v>0</v>
      </c>
      <c r="S370" t="str">
        <f>VLOOKUP(Продажи[[#This Row],[id клиента]],клиенты!$A$2:$D$435,4,0)</f>
        <v>да</v>
      </c>
      <c r="T370" s="54">
        <f>VLOOKUP(Продажи[[#This Row],[id клиента]],клиенты!$A$2:$I$435,9,0)</f>
        <v>18.39835728952772</v>
      </c>
    </row>
    <row r="371" spans="1:20" x14ac:dyDescent="0.25">
      <c r="A371">
        <v>370</v>
      </c>
      <c r="B371">
        <v>178</v>
      </c>
      <c r="C371">
        <v>176</v>
      </c>
      <c r="D371">
        <v>5</v>
      </c>
      <c r="E371" s="35">
        <v>4400</v>
      </c>
      <c r="F371" s="48">
        <v>45183</v>
      </c>
      <c r="G371" t="s">
        <v>17</v>
      </c>
      <c r="H371">
        <v>65</v>
      </c>
      <c r="I371" t="str">
        <f>VLOOKUP(Продажи[[#This Row],[id товара]],Товары[],2,0)</f>
        <v>Йогурт</v>
      </c>
      <c r="J371" s="17">
        <f>AVERAGEIF(Продажи[Категория],Продажи[[#This Row],[Категория]],Продажи[цена за шт в рублях])</f>
        <v>263.25423728813558</v>
      </c>
      <c r="K371" s="16">
        <f>Продажи[[#This Row],[цена за шт в рублях]]/Продажи[[#This Row],[Средняя цена в категории за шт]]-1</f>
        <v>-0.33144475920679883</v>
      </c>
      <c r="L371" t="str">
        <f>VLOOKUP(Продажи[[#This Row],[id товара]],Товары[],3,0)</f>
        <v>Ростагроэкспорт</v>
      </c>
      <c r="M371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71" s="16">
        <f>Продажи[[#This Row],[цена за шт в рублях]]/Продажи[[#This Row],[Средняя цена в категории за шт по поставщику]]-1</f>
        <v>-0.31725417439703152</v>
      </c>
      <c r="O371" s="48">
        <f>VLOOKUP(Продажи[[#This Row],[id клиента]],клиенты!$A$2:$E$435,5,0)</f>
        <v>44623</v>
      </c>
      <c r="P371">
        <f>Продажи[[#This Row],[дата создания чека]]-Продажи[[#This Row],[Дата регистрации]]</f>
        <v>560</v>
      </c>
      <c r="Q371" t="str">
        <f>VLOOKUP(Продажи[[#This Row],[id клиента]],клиенты!$A$2:$G$435,7,0)</f>
        <v>Украина</v>
      </c>
      <c r="R371">
        <f>IF(COUNTIF($H$2:H371, H371)=1, 1, 0)</f>
        <v>0</v>
      </c>
      <c r="S371" t="str">
        <f>VLOOKUP(Продажи[[#This Row],[id клиента]],клиенты!$A$2:$D$435,4,0)</f>
        <v>нет</v>
      </c>
      <c r="T371" s="54">
        <f>VLOOKUP(Продажи[[#This Row],[id клиента]],клиенты!$A$2:$I$435,9,0)</f>
        <v>25.462012320328544</v>
      </c>
    </row>
    <row r="372" spans="1:20" x14ac:dyDescent="0.25">
      <c r="A372">
        <v>371</v>
      </c>
      <c r="B372">
        <v>293</v>
      </c>
      <c r="C372">
        <v>179</v>
      </c>
      <c r="D372">
        <v>4</v>
      </c>
      <c r="E372" s="35">
        <v>3580</v>
      </c>
      <c r="F372" s="48">
        <v>45258</v>
      </c>
      <c r="G372" t="s">
        <v>11</v>
      </c>
      <c r="H372">
        <v>38</v>
      </c>
      <c r="I372" t="str">
        <f>VLOOKUP(Продажи[[#This Row],[id товара]],Товары[],2,0)</f>
        <v>Конфеты</v>
      </c>
      <c r="J372" s="17">
        <f>AVERAGEIF(Продажи[Категория],Продажи[[#This Row],[Категория]],Продажи[цена за шт в рублях])</f>
        <v>267.85483870967744</v>
      </c>
      <c r="K372" s="16">
        <f>Продажи[[#This Row],[цена за шт в рублях]]/Продажи[[#This Row],[Средняя цена в категории за шт]]-1</f>
        <v>-0.33172758475341724</v>
      </c>
      <c r="L372" t="str">
        <f>VLOOKUP(Продажи[[#This Row],[id товара]],Товары[],3,0)</f>
        <v>Бабаевский</v>
      </c>
      <c r="M372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372" s="16">
        <f>Продажи[[#This Row],[цена за шт в рублях]]/Продажи[[#This Row],[Средняя цена в категории за шт по поставщику]]-1</f>
        <v>-0.28474174929702534</v>
      </c>
      <c r="O372" s="48">
        <f>VLOOKUP(Продажи[[#This Row],[id клиента]],клиенты!$A$2:$E$435,5,0)</f>
        <v>44819</v>
      </c>
      <c r="P372">
        <f>Продажи[[#This Row],[дата создания чека]]-Продажи[[#This Row],[Дата регистрации]]</f>
        <v>439</v>
      </c>
      <c r="Q372" t="str">
        <f>VLOOKUP(Продажи[[#This Row],[id клиента]],клиенты!$A$2:$G$435,7,0)</f>
        <v>Таджикистан</v>
      </c>
      <c r="R372">
        <f>IF(COUNTIF($H$2:H372, H372)=1, 1, 0)</f>
        <v>1</v>
      </c>
      <c r="S372" t="str">
        <f>VLOOKUP(Продажи[[#This Row],[id клиента]],клиенты!$A$2:$D$435,4,0)</f>
        <v>нет</v>
      </c>
      <c r="T372" s="54">
        <f>VLOOKUP(Продажи[[#This Row],[id клиента]],клиенты!$A$2:$I$435,9,0)</f>
        <v>18.628336755646817</v>
      </c>
    </row>
    <row r="373" spans="1:20" x14ac:dyDescent="0.25">
      <c r="A373">
        <v>372</v>
      </c>
      <c r="B373">
        <v>286</v>
      </c>
      <c r="C373">
        <v>122</v>
      </c>
      <c r="D373">
        <v>5</v>
      </c>
      <c r="E373" s="35">
        <v>3050</v>
      </c>
      <c r="F373" s="48">
        <v>45147</v>
      </c>
      <c r="G373" t="s">
        <v>13</v>
      </c>
      <c r="H373">
        <v>356</v>
      </c>
      <c r="I373" t="str">
        <f>VLOOKUP(Продажи[[#This Row],[id товара]],Товары[],2,0)</f>
        <v>Йогурт</v>
      </c>
      <c r="J373" s="17">
        <f>AVERAGEIF(Продажи[Категория],Продажи[[#This Row],[Категория]],Продажи[цена за шт в рублях])</f>
        <v>263.25423728813558</v>
      </c>
      <c r="K373" s="16">
        <f>Продажи[[#This Row],[цена за шт в рублях]]/Продажи[[#This Row],[Средняя цена в категории за шт]]-1</f>
        <v>-0.53656966263198558</v>
      </c>
      <c r="L373" t="str">
        <f>VLOOKUP(Продажи[[#This Row],[id товара]],Товары[],3,0)</f>
        <v>Ростагроэкспорт</v>
      </c>
      <c r="M373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373" s="16">
        <f>Продажи[[#This Row],[цена за шт в рублях]]/Продажи[[#This Row],[Средняя цена в категории за шт по поставщику]]-1</f>
        <v>-0.52673300725248784</v>
      </c>
      <c r="O373" s="48">
        <f>VLOOKUP(Продажи[[#This Row],[id клиента]],клиенты!$A$2:$E$435,5,0)</f>
        <v>44570</v>
      </c>
      <c r="P373">
        <f>Продажи[[#This Row],[дата создания чека]]-Продажи[[#This Row],[Дата регистрации]]</f>
        <v>577</v>
      </c>
      <c r="Q373" t="str">
        <f>VLOOKUP(Продажи[[#This Row],[id клиента]],клиенты!$A$2:$G$435,7,0)</f>
        <v>Таджикистан</v>
      </c>
      <c r="R373">
        <f>IF(COUNTIF($H$2:H373, H373)=1, 1, 0)</f>
        <v>0</v>
      </c>
      <c r="S373" t="str">
        <f>VLOOKUP(Продажи[[#This Row],[id клиента]],клиенты!$A$2:$D$435,4,0)</f>
        <v>нет</v>
      </c>
      <c r="T373" s="54">
        <f>VLOOKUP(Продажи[[#This Row],[id клиента]],клиенты!$A$2:$I$435,9,0)</f>
        <v>22.373716632443532</v>
      </c>
    </row>
    <row r="374" spans="1:20" x14ac:dyDescent="0.25">
      <c r="A374">
        <v>373</v>
      </c>
      <c r="B374">
        <v>11</v>
      </c>
      <c r="C374">
        <v>199</v>
      </c>
      <c r="D374">
        <v>4</v>
      </c>
      <c r="E374" s="35">
        <v>3980</v>
      </c>
      <c r="F374" s="48">
        <v>45374</v>
      </c>
      <c r="G374" t="s">
        <v>17</v>
      </c>
      <c r="H374">
        <v>296</v>
      </c>
      <c r="I374" t="str">
        <f>VLOOKUP(Продажи[[#This Row],[id товара]],Товары[],2,0)</f>
        <v>Хлеб</v>
      </c>
      <c r="J374" s="17">
        <f>AVERAGEIF(Продажи[Категория],Продажи[[#This Row],[Категория]],Продажи[цена за шт в рублях])</f>
        <v>300.31818181818181</v>
      </c>
      <c r="K374" s="16">
        <f>Продажи[[#This Row],[цена за шт в рублях]]/Продажи[[#This Row],[Средняя цена в категории за шт]]-1</f>
        <v>-0.33736945663690021</v>
      </c>
      <c r="L374" t="str">
        <f>VLOOKUP(Продажи[[#This Row],[id товара]],Товары[],3,0)</f>
        <v>Русский Хлеб</v>
      </c>
      <c r="M374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374" s="16">
        <f>Продажи[[#This Row],[цена за шт в рублях]]/Продажи[[#This Row],[Средняя цена в категории за шт по поставщику]]-1</f>
        <v>-0.37144662034112452</v>
      </c>
      <c r="O374" s="48">
        <f>VLOOKUP(Продажи[[#This Row],[id клиента]],клиенты!$A$2:$E$435,5,0)</f>
        <v>44758</v>
      </c>
      <c r="P374">
        <f>Продажи[[#This Row],[дата создания чека]]-Продажи[[#This Row],[Дата регистрации]]</f>
        <v>616</v>
      </c>
      <c r="Q374" t="str">
        <f>VLOOKUP(Продажи[[#This Row],[id клиента]],клиенты!$A$2:$G$435,7,0)</f>
        <v>Узбекистан</v>
      </c>
      <c r="R374">
        <f>IF(COUNTIF($H$2:H374, H374)=1, 1, 0)</f>
        <v>0</v>
      </c>
      <c r="S374" t="str">
        <f>VLOOKUP(Продажи[[#This Row],[id клиента]],клиенты!$A$2:$D$435,4,0)</f>
        <v>нет</v>
      </c>
      <c r="T374" s="54">
        <f>VLOOKUP(Продажи[[#This Row],[id клиента]],клиенты!$A$2:$I$435,9,0)</f>
        <v>20.238193018480494</v>
      </c>
    </row>
    <row r="375" spans="1:20" x14ac:dyDescent="0.25">
      <c r="A375">
        <v>374</v>
      </c>
      <c r="B375">
        <v>441</v>
      </c>
      <c r="C375">
        <v>173</v>
      </c>
      <c r="D375">
        <v>3</v>
      </c>
      <c r="E375" s="35">
        <v>2595</v>
      </c>
      <c r="F375" s="48">
        <v>45349</v>
      </c>
      <c r="G375" t="s">
        <v>14</v>
      </c>
      <c r="H375">
        <v>62</v>
      </c>
      <c r="I375" t="str">
        <f>VLOOKUP(Продажи[[#This Row],[id товара]],Товары[],2,0)</f>
        <v>Чай</v>
      </c>
      <c r="J375" s="17">
        <f>AVERAGEIF(Продажи[Категория],Продажи[[#This Row],[Категория]],Продажи[цена за шт в рублях])</f>
        <v>271.18181818181819</v>
      </c>
      <c r="K375" s="16">
        <f>Продажи[[#This Row],[цена за шт в рублях]]/Продажи[[#This Row],[Средняя цена в категории за шт]]-1</f>
        <v>-0.36205162587998663</v>
      </c>
      <c r="L375" t="str">
        <f>VLOOKUP(Продажи[[#This Row],[id товара]],Товары[],3,0)</f>
        <v>Lipton</v>
      </c>
      <c r="M375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375" s="16">
        <f>Продажи[[#This Row],[цена за шт в рублях]]/Продажи[[#This Row],[Средняя цена в категории за шт по поставщику]]-1</f>
        <v>-0.33501921909771393</v>
      </c>
      <c r="O375" s="48">
        <f>VLOOKUP(Продажи[[#This Row],[id клиента]],клиенты!$A$2:$E$435,5,0)</f>
        <v>44671</v>
      </c>
      <c r="P375">
        <f>Продажи[[#This Row],[дата создания чека]]-Продажи[[#This Row],[Дата регистрации]]</f>
        <v>678</v>
      </c>
      <c r="Q375" t="str">
        <f>VLOOKUP(Продажи[[#This Row],[id клиента]],клиенты!$A$2:$G$435,7,0)</f>
        <v>Россия</v>
      </c>
      <c r="R375">
        <f>IF(COUNTIF($H$2:H375, H375)=1, 1, 0)</f>
        <v>0</v>
      </c>
      <c r="S375" t="str">
        <f>VLOOKUP(Продажи[[#This Row],[id клиента]],клиенты!$A$2:$D$435,4,0)</f>
        <v>нет</v>
      </c>
      <c r="T375" s="54">
        <f>VLOOKUP(Продажи[[#This Row],[id клиента]],клиенты!$A$2:$I$435,9,0)</f>
        <v>22.275154004106778</v>
      </c>
    </row>
    <row r="376" spans="1:20" x14ac:dyDescent="0.25">
      <c r="A376">
        <v>375</v>
      </c>
      <c r="B376">
        <v>19</v>
      </c>
      <c r="C376">
        <v>142</v>
      </c>
      <c r="D376">
        <v>3</v>
      </c>
      <c r="E376" s="35">
        <v>2130</v>
      </c>
      <c r="F376" s="48">
        <v>45157</v>
      </c>
      <c r="G376" t="s">
        <v>10</v>
      </c>
      <c r="H376">
        <v>18</v>
      </c>
      <c r="I376" t="str">
        <f>VLOOKUP(Продажи[[#This Row],[id товара]],Товары[],2,0)</f>
        <v>Мясо</v>
      </c>
      <c r="J376" s="17">
        <f>AVERAGEIF(Продажи[Категория],Продажи[[#This Row],[Категория]],Продажи[цена за шт в рублях])</f>
        <v>271.74545454545455</v>
      </c>
      <c r="K376" s="16">
        <f>Продажи[[#This Row],[цена за шт в рублях]]/Продажи[[#This Row],[Средняя цена в категории за шт]]-1</f>
        <v>-0.47745216111334132</v>
      </c>
      <c r="L376" t="str">
        <f>VLOOKUP(Продажи[[#This Row],[id товара]],Товары[],3,0)</f>
        <v>Снежана</v>
      </c>
      <c r="M376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376" s="16">
        <f>Продажи[[#This Row],[цена за шт в рублях]]/Продажи[[#This Row],[Средняя цена в категории за шт по поставщику]]-1</f>
        <v>-0.47861771058315339</v>
      </c>
      <c r="O376" s="48">
        <f>VLOOKUP(Продажи[[#This Row],[id клиента]],клиенты!$A$2:$E$435,5,0)</f>
        <v>44578</v>
      </c>
      <c r="P376">
        <f>Продажи[[#This Row],[дата создания чека]]-Продажи[[#This Row],[Дата регистрации]]</f>
        <v>579</v>
      </c>
      <c r="Q376" t="str">
        <f>VLOOKUP(Продажи[[#This Row],[id клиента]],клиенты!$A$2:$G$435,7,0)</f>
        <v>Украина</v>
      </c>
      <c r="R376">
        <f>IF(COUNTIF($H$2:H376, H376)=1, 1, 0)</f>
        <v>1</v>
      </c>
      <c r="S376" t="str">
        <f>VLOOKUP(Продажи[[#This Row],[id клиента]],клиенты!$A$2:$D$435,4,0)</f>
        <v>нет</v>
      </c>
      <c r="T376" s="54">
        <f>VLOOKUP(Продажи[[#This Row],[id клиента]],клиенты!$A$2:$I$435,9,0)</f>
        <v>26.677618069815196</v>
      </c>
    </row>
    <row r="377" spans="1:20" x14ac:dyDescent="0.25">
      <c r="A377">
        <v>376</v>
      </c>
      <c r="B377">
        <v>340</v>
      </c>
      <c r="C377">
        <v>157</v>
      </c>
      <c r="D377">
        <v>2</v>
      </c>
      <c r="E377" s="35">
        <v>1570</v>
      </c>
      <c r="F377" s="48">
        <v>45075</v>
      </c>
      <c r="G377" t="s">
        <v>18</v>
      </c>
      <c r="H377">
        <v>376</v>
      </c>
      <c r="I377" t="str">
        <f>VLOOKUP(Продажи[[#This Row],[id товара]],Товары[],2,0)</f>
        <v>Сыр</v>
      </c>
      <c r="J377" s="17">
        <f>AVERAGEIF(Продажи[Категория],Продажи[[#This Row],[Категория]],Продажи[цена за шт в рублях])</f>
        <v>262.63492063492066</v>
      </c>
      <c r="K377" s="16">
        <f>Продажи[[#This Row],[цена за шт в рублях]]/Продажи[[#This Row],[Средняя цена в категории за шт]]-1</f>
        <v>-0.40221201498851689</v>
      </c>
      <c r="L377" t="str">
        <f>VLOOKUP(Продажи[[#This Row],[id товара]],Товары[],3,0)</f>
        <v>Карат</v>
      </c>
      <c r="M377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377" s="16">
        <f>Продажи[[#This Row],[цена за шт в рублях]]/Продажи[[#This Row],[Средняя цена в категории за шт по поставщику]]-1</f>
        <v>-0.49571734475374729</v>
      </c>
      <c r="O377" s="48">
        <f>VLOOKUP(Продажи[[#This Row],[id клиента]],клиенты!$A$2:$E$435,5,0)</f>
        <v>44730</v>
      </c>
      <c r="P377">
        <f>Продажи[[#This Row],[дата создания чека]]-Продажи[[#This Row],[Дата регистрации]]</f>
        <v>345</v>
      </c>
      <c r="Q377" t="str">
        <f>VLOOKUP(Продажи[[#This Row],[id клиента]],клиенты!$A$2:$G$435,7,0)</f>
        <v>Беларусь</v>
      </c>
      <c r="R377">
        <f>IF(COUNTIF($H$2:H377, H377)=1, 1, 0)</f>
        <v>0</v>
      </c>
      <c r="S377" t="str">
        <f>VLOOKUP(Продажи[[#This Row],[id клиента]],клиенты!$A$2:$D$435,4,0)</f>
        <v>да</v>
      </c>
      <c r="T377" s="54">
        <f>VLOOKUP(Продажи[[#This Row],[id клиента]],клиенты!$A$2:$I$435,9,0)</f>
        <v>22.406570841889117</v>
      </c>
    </row>
    <row r="378" spans="1:20" x14ac:dyDescent="0.25">
      <c r="A378">
        <v>377</v>
      </c>
      <c r="B378">
        <v>142</v>
      </c>
      <c r="C378">
        <v>160</v>
      </c>
      <c r="D378">
        <v>4</v>
      </c>
      <c r="E378" s="35">
        <v>3200</v>
      </c>
      <c r="F378" s="48">
        <v>45414</v>
      </c>
      <c r="G378" t="s">
        <v>10</v>
      </c>
      <c r="H378">
        <v>459</v>
      </c>
      <c r="I378" t="str">
        <f>VLOOKUP(Продажи[[#This Row],[id товара]],Товары[],2,0)</f>
        <v>Фрукты</v>
      </c>
      <c r="J378" s="17">
        <f>AVERAGEIF(Продажи[Категория],Продажи[[#This Row],[Категория]],Продажи[цена за шт в рублях])</f>
        <v>274.16279069767444</v>
      </c>
      <c r="K378" s="16">
        <f>Продажи[[#This Row],[цена за шт в рублях]]/Продажи[[#This Row],[Средняя цена в категории за шт]]-1</f>
        <v>-0.41640512342013747</v>
      </c>
      <c r="L378" t="str">
        <f>VLOOKUP(Продажи[[#This Row],[id товара]],Товары[],3,0)</f>
        <v>Фруктовый Рай</v>
      </c>
      <c r="M378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378" s="16">
        <f>Продажи[[#This Row],[цена за шт в рублях]]/Продажи[[#This Row],[Средняя цена в категории за шт по поставщику]]-1</f>
        <v>-0.3805836807623586</v>
      </c>
      <c r="O378" s="48">
        <f>VLOOKUP(Продажи[[#This Row],[id клиента]],клиенты!$A$2:$E$435,5,0)</f>
        <v>44743</v>
      </c>
      <c r="P378">
        <f>Продажи[[#This Row],[дата создания чека]]-Продажи[[#This Row],[Дата регистрации]]</f>
        <v>671</v>
      </c>
      <c r="Q378" t="str">
        <f>VLOOKUP(Продажи[[#This Row],[id клиента]],клиенты!$A$2:$G$435,7,0)</f>
        <v>Россия</v>
      </c>
      <c r="R378">
        <f>IF(COUNTIF($H$2:H378, H378)=1, 1, 0)</f>
        <v>0</v>
      </c>
      <c r="S378" t="str">
        <f>VLOOKUP(Продажи[[#This Row],[id клиента]],клиенты!$A$2:$D$435,4,0)</f>
        <v>да</v>
      </c>
      <c r="T378" s="54">
        <f>VLOOKUP(Продажи[[#This Row],[id клиента]],клиенты!$A$2:$I$435,9,0)</f>
        <v>22.04517453798768</v>
      </c>
    </row>
    <row r="379" spans="1:20" x14ac:dyDescent="0.25">
      <c r="A379">
        <v>378</v>
      </c>
      <c r="B379">
        <v>452</v>
      </c>
      <c r="C379">
        <v>325</v>
      </c>
      <c r="D379">
        <v>2</v>
      </c>
      <c r="E379" s="35">
        <v>3250</v>
      </c>
      <c r="F379" s="48">
        <v>45160</v>
      </c>
      <c r="G379" t="s">
        <v>15</v>
      </c>
      <c r="H379">
        <v>88</v>
      </c>
      <c r="I379" t="str">
        <f>VLOOKUP(Продажи[[#This Row],[id товара]],Товары[],2,0)</f>
        <v>Фрукты</v>
      </c>
      <c r="J379" s="17">
        <f>AVERAGEIF(Продажи[Категория],Продажи[[#This Row],[Категория]],Продажи[цена за шт в рублях])</f>
        <v>274.16279069767444</v>
      </c>
      <c r="K379" s="16">
        <f>Продажи[[#This Row],[цена за шт в рублях]]/Продажи[[#This Row],[Средняя цена в категории за шт]]-1</f>
        <v>0.18542709305284588</v>
      </c>
      <c r="L379" t="str">
        <f>VLOOKUP(Продажи[[#This Row],[id товара]],Товары[],3,0)</f>
        <v>Экзотик</v>
      </c>
      <c r="M379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379" s="16">
        <f>Продажи[[#This Row],[цена за шт в рублях]]/Продажи[[#This Row],[Средняя цена в категории за шт по поставщику]]-1</f>
        <v>0.28110372012811036</v>
      </c>
      <c r="O379" s="48">
        <f>VLOOKUP(Продажи[[#This Row],[id клиента]],клиенты!$A$2:$E$435,5,0)</f>
        <v>44630</v>
      </c>
      <c r="P379">
        <f>Продажи[[#This Row],[дата создания чека]]-Продажи[[#This Row],[Дата регистрации]]</f>
        <v>530</v>
      </c>
      <c r="Q379" t="str">
        <f>VLOOKUP(Продажи[[#This Row],[id клиента]],клиенты!$A$2:$G$435,7,0)</f>
        <v>Украина</v>
      </c>
      <c r="R379">
        <f>IF(COUNTIF($H$2:H379, H379)=1, 1, 0)</f>
        <v>1</v>
      </c>
      <c r="S379" t="str">
        <f>VLOOKUP(Продажи[[#This Row],[id клиента]],клиенты!$A$2:$D$435,4,0)</f>
        <v>да</v>
      </c>
      <c r="T379" s="54">
        <f>VLOOKUP(Продажи[[#This Row],[id клиента]],клиенты!$A$2:$I$435,9,0)</f>
        <v>24.706365503080082</v>
      </c>
    </row>
    <row r="380" spans="1:20" x14ac:dyDescent="0.25">
      <c r="A380">
        <v>379</v>
      </c>
      <c r="B380">
        <v>340</v>
      </c>
      <c r="C380">
        <v>457</v>
      </c>
      <c r="D380">
        <v>1</v>
      </c>
      <c r="E380" s="35">
        <v>2285</v>
      </c>
      <c r="F380" s="48">
        <v>44945</v>
      </c>
      <c r="G380" t="s">
        <v>13</v>
      </c>
      <c r="H380">
        <v>325</v>
      </c>
      <c r="I380" t="str">
        <f>VLOOKUP(Продажи[[#This Row],[id товара]],Товары[],2,0)</f>
        <v>Сыр</v>
      </c>
      <c r="J380" s="17">
        <f>AVERAGEIF(Продажи[Категория],Продажи[[#This Row],[Категория]],Продажи[цена за шт в рублях])</f>
        <v>262.63492063492066</v>
      </c>
      <c r="K380" s="16">
        <f>Продажи[[#This Row],[цена за шт в рублях]]/Продажи[[#This Row],[Средняя цена в категории за шт]]-1</f>
        <v>0.74005802006527244</v>
      </c>
      <c r="L380" t="str">
        <f>VLOOKUP(Продажи[[#This Row],[id товара]],Товары[],3,0)</f>
        <v>Карат</v>
      </c>
      <c r="M380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380" s="16">
        <f>Продажи[[#This Row],[цена за шт в рублях]]/Продажи[[#This Row],[Средняя цена в категории за шт по поставщику]]-1</f>
        <v>0.4678800856531049</v>
      </c>
      <c r="O380" s="48">
        <f>VLOOKUP(Продажи[[#This Row],[id клиента]],клиенты!$A$2:$E$435,5,0)</f>
        <v>44875</v>
      </c>
      <c r="P380">
        <f>Продажи[[#This Row],[дата создания чека]]-Продажи[[#This Row],[Дата регистрации]]</f>
        <v>70</v>
      </c>
      <c r="Q380" t="str">
        <f>VLOOKUP(Продажи[[#This Row],[id клиента]],клиенты!$A$2:$G$435,7,0)</f>
        <v>Таджикистан</v>
      </c>
      <c r="R380">
        <f>IF(COUNTIF($H$2:H380, H380)=1, 1, 0)</f>
        <v>0</v>
      </c>
      <c r="S380" t="str">
        <f>VLOOKUP(Продажи[[#This Row],[id клиента]],клиенты!$A$2:$D$435,4,0)</f>
        <v>нет</v>
      </c>
      <c r="T380" s="54">
        <f>VLOOKUP(Продажи[[#This Row],[id клиента]],клиенты!$A$2:$I$435,9,0)</f>
        <v>17.938398357289529</v>
      </c>
    </row>
    <row r="381" spans="1:20" x14ac:dyDescent="0.25">
      <c r="A381">
        <v>380</v>
      </c>
      <c r="B381">
        <v>466</v>
      </c>
      <c r="C381">
        <v>425</v>
      </c>
      <c r="D381">
        <v>5</v>
      </c>
      <c r="E381" s="35">
        <v>10625</v>
      </c>
      <c r="F381" s="48">
        <v>45132</v>
      </c>
      <c r="G381" t="s">
        <v>21</v>
      </c>
      <c r="H381">
        <v>129</v>
      </c>
      <c r="I381" t="str">
        <f>VLOOKUP(Продажи[[#This Row],[id товара]],Товары[],2,0)</f>
        <v>Фрукты</v>
      </c>
      <c r="J381" s="17">
        <f>AVERAGEIF(Продажи[Категория],Продажи[[#This Row],[Категория]],Продажи[цена за шт в рублях])</f>
        <v>274.16279069767444</v>
      </c>
      <c r="K381" s="16">
        <f>Продажи[[#This Row],[цена за шт в рублях]]/Продажи[[#This Row],[Средняя цена в категории за шт]]-1</f>
        <v>0.55017389091525981</v>
      </c>
      <c r="L381" t="str">
        <f>VLOOKUP(Продажи[[#This Row],[id товара]],Товары[],3,0)</f>
        <v>Green Garden</v>
      </c>
      <c r="M381" s="32">
        <f>AVERAGEIFS(Продажи[цена за шт в рублях],Продажи[Категория],Продажи[[#This Row],[Категория]],Продажи[Поставщик],Продажи[[#This Row],[Поставщик]])</f>
        <v>369.2</v>
      </c>
      <c r="N381" s="16">
        <f>Продажи[[#This Row],[цена за шт в рублях]]/Продажи[[#This Row],[Средняя цена в категории за шт по поставщику]]-1</f>
        <v>0.15113759479956657</v>
      </c>
      <c r="O381" s="48">
        <f>VLOOKUP(Продажи[[#This Row],[id клиента]],клиенты!$A$2:$E$435,5,0)</f>
        <v>44868</v>
      </c>
      <c r="P381">
        <f>Продажи[[#This Row],[дата создания чека]]-Продажи[[#This Row],[Дата регистрации]]</f>
        <v>264</v>
      </c>
      <c r="Q381" t="str">
        <f>VLOOKUP(Продажи[[#This Row],[id клиента]],клиенты!$A$2:$G$435,7,0)</f>
        <v>Беларусь</v>
      </c>
      <c r="R381">
        <f>IF(COUNTIF($H$2:H381, H381)=1, 1, 0)</f>
        <v>1</v>
      </c>
      <c r="S381" t="str">
        <f>VLOOKUP(Продажи[[#This Row],[id клиента]],клиенты!$A$2:$D$435,4,0)</f>
        <v>нет</v>
      </c>
      <c r="T381" s="54">
        <f>VLOOKUP(Продажи[[#This Row],[id клиента]],клиенты!$A$2:$I$435,9,0)</f>
        <v>17.905544147843944</v>
      </c>
    </row>
    <row r="382" spans="1:20" x14ac:dyDescent="0.25">
      <c r="A382">
        <v>381</v>
      </c>
      <c r="B382">
        <v>71</v>
      </c>
      <c r="C382">
        <v>125</v>
      </c>
      <c r="D382">
        <v>4</v>
      </c>
      <c r="E382" s="35">
        <v>2500</v>
      </c>
      <c r="F382" s="48">
        <v>45182</v>
      </c>
      <c r="G382" t="s">
        <v>17</v>
      </c>
      <c r="H382">
        <v>19</v>
      </c>
      <c r="I382" t="str">
        <f>VLOOKUP(Продажи[[#This Row],[id товара]],Товары[],2,0)</f>
        <v>Печенье</v>
      </c>
      <c r="J382" s="17">
        <f>AVERAGEIF(Продажи[Категория],Продажи[[#This Row],[Категория]],Продажи[цена за шт в рублях])</f>
        <v>283.468085106383</v>
      </c>
      <c r="K382" s="16">
        <f>Продажи[[#This Row],[цена за шт в рублях]]/Продажи[[#This Row],[Средняя цена в категории за шт]]-1</f>
        <v>-0.55903325076934629</v>
      </c>
      <c r="L382" t="str">
        <f>VLOOKUP(Продажи[[#This Row],[id товара]],Товары[],3,0)</f>
        <v>Белогорье</v>
      </c>
      <c r="M382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382" s="16">
        <f>Продажи[[#This Row],[цена за шт в рублях]]/Продажи[[#This Row],[Средняя цена в категории за шт по поставщику]]-1</f>
        <v>-0.49899799599198402</v>
      </c>
      <c r="O382" s="48">
        <f>VLOOKUP(Продажи[[#This Row],[id клиента]],клиенты!$A$2:$E$435,5,0)</f>
        <v>44902</v>
      </c>
      <c r="P382">
        <f>Продажи[[#This Row],[дата создания чека]]-Продажи[[#This Row],[Дата регистрации]]</f>
        <v>280</v>
      </c>
      <c r="Q382" t="str">
        <f>VLOOKUP(Продажи[[#This Row],[id клиента]],клиенты!$A$2:$G$435,7,0)</f>
        <v>Россия</v>
      </c>
      <c r="R382">
        <f>IF(COUNTIF($H$2:H382, H382)=1, 1, 0)</f>
        <v>1</v>
      </c>
      <c r="S382" t="str">
        <f>VLOOKUP(Продажи[[#This Row],[id клиента]],клиенты!$A$2:$D$435,4,0)</f>
        <v>да</v>
      </c>
      <c r="T382" s="54">
        <f>VLOOKUP(Продажи[[#This Row],[id клиента]],клиенты!$A$2:$I$435,9,0)</f>
        <v>12.320328542094456</v>
      </c>
    </row>
    <row r="383" spans="1:20" x14ac:dyDescent="0.25">
      <c r="A383">
        <v>382</v>
      </c>
      <c r="B383">
        <v>451</v>
      </c>
      <c r="C383">
        <v>227</v>
      </c>
      <c r="D383">
        <v>3</v>
      </c>
      <c r="E383" s="35">
        <v>3405</v>
      </c>
      <c r="F383" s="48">
        <v>45098</v>
      </c>
      <c r="G383" t="s">
        <v>18</v>
      </c>
      <c r="H383">
        <v>304</v>
      </c>
      <c r="I383" t="str">
        <f>VLOOKUP(Продажи[[#This Row],[id товара]],Товары[],2,0)</f>
        <v>Рис</v>
      </c>
      <c r="J383" s="17">
        <f>AVERAGEIF(Продажи[Категория],Продажи[[#This Row],[Категория]],Продажи[цена за шт в рублях])</f>
        <v>258.375</v>
      </c>
      <c r="K383" s="16">
        <f>Продажи[[#This Row],[цена за шт в рублях]]/Продажи[[#This Row],[Средняя цена в категории за шт]]-1</f>
        <v>-0.12143202709240442</v>
      </c>
      <c r="L383" t="str">
        <f>VLOOKUP(Продажи[[#This Row],[id товара]],Товары[],3,0)</f>
        <v>Белый Злат</v>
      </c>
      <c r="M383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383" s="16">
        <f>Продажи[[#This Row],[цена за шт в рублях]]/Продажи[[#This Row],[Средняя цена в категории за шт по поставщику]]-1</f>
        <v>-0.15834242093784068</v>
      </c>
      <c r="O383" s="48">
        <f>VLOOKUP(Продажи[[#This Row],[id клиента]],клиенты!$A$2:$E$435,5,0)</f>
        <v>44886</v>
      </c>
      <c r="P383">
        <f>Продажи[[#This Row],[дата создания чека]]-Продажи[[#This Row],[Дата регистрации]]</f>
        <v>212</v>
      </c>
      <c r="Q383" t="str">
        <f>VLOOKUP(Продажи[[#This Row],[id клиента]],клиенты!$A$2:$G$435,7,0)</f>
        <v>Россия</v>
      </c>
      <c r="R383">
        <f>IF(COUNTIF($H$2:H383, H383)=1, 1, 0)</f>
        <v>1</v>
      </c>
      <c r="S383" t="str">
        <f>VLOOKUP(Продажи[[#This Row],[id клиента]],клиенты!$A$2:$D$435,4,0)</f>
        <v>нет</v>
      </c>
      <c r="T383" s="54">
        <f>VLOOKUP(Продажи[[#This Row],[id клиента]],клиенты!$A$2:$I$435,9,0)</f>
        <v>6.9650924024640659</v>
      </c>
    </row>
    <row r="384" spans="1:20" x14ac:dyDescent="0.25">
      <c r="A384">
        <v>383</v>
      </c>
      <c r="B384">
        <v>116</v>
      </c>
      <c r="C384">
        <v>426</v>
      </c>
      <c r="D384">
        <v>5</v>
      </c>
      <c r="E384" s="35">
        <v>10650</v>
      </c>
      <c r="F384" s="48">
        <v>44993</v>
      </c>
      <c r="G384" t="s">
        <v>25</v>
      </c>
      <c r="H384">
        <v>285</v>
      </c>
      <c r="I384" t="str">
        <f>VLOOKUP(Продажи[[#This Row],[id товара]],Товары[],2,0)</f>
        <v>Соль</v>
      </c>
      <c r="J384" s="17">
        <f>AVERAGEIF(Продажи[Категория],Продажи[[#This Row],[Категория]],Продажи[цена за шт в рублях])</f>
        <v>264.8679245283019</v>
      </c>
      <c r="K384" s="16">
        <f>Продажи[[#This Row],[цена за шт в рублях]]/Продажи[[#This Row],[Средняя цена в категории за шт]]-1</f>
        <v>0.60834876763071666</v>
      </c>
      <c r="L384" t="str">
        <f>VLOOKUP(Продажи[[#This Row],[id товара]],Товары[],3,0)</f>
        <v>Экстра</v>
      </c>
      <c r="M384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384" s="16">
        <f>Продажи[[#This Row],[цена за шт в рублях]]/Продажи[[#This Row],[Средняя цена в категории за шт по поставщику]]-1</f>
        <v>0.32773915128266595</v>
      </c>
      <c r="O384" s="48">
        <f>VLOOKUP(Продажи[[#This Row],[id клиента]],клиенты!$A$2:$E$435,5,0)</f>
        <v>44922</v>
      </c>
      <c r="P384">
        <f>Продажи[[#This Row],[дата создания чека]]-Продажи[[#This Row],[Дата регистрации]]</f>
        <v>71</v>
      </c>
      <c r="Q384" t="str">
        <f>VLOOKUP(Продажи[[#This Row],[id клиента]],клиенты!$A$2:$G$435,7,0)</f>
        <v>Таджикистан</v>
      </c>
      <c r="R384">
        <f>IF(COUNTIF($H$2:H384, H384)=1, 1, 0)</f>
        <v>1</v>
      </c>
      <c r="S384" t="str">
        <f>VLOOKUP(Продажи[[#This Row],[id клиента]],клиенты!$A$2:$D$435,4,0)</f>
        <v>нет</v>
      </c>
      <c r="T384" s="54">
        <f>VLOOKUP(Продажи[[#This Row],[id клиента]],клиенты!$A$2:$I$435,9,0)</f>
        <v>2.3326488706365502</v>
      </c>
    </row>
    <row r="385" spans="1:20" x14ac:dyDescent="0.25">
      <c r="A385">
        <v>384</v>
      </c>
      <c r="B385">
        <v>480</v>
      </c>
      <c r="C385">
        <v>70</v>
      </c>
      <c r="D385">
        <v>1</v>
      </c>
      <c r="E385" s="35">
        <v>350</v>
      </c>
      <c r="F385" s="48">
        <v>44945</v>
      </c>
      <c r="G385" t="s">
        <v>10</v>
      </c>
      <c r="H385">
        <v>464</v>
      </c>
      <c r="I385" t="str">
        <f>VLOOKUP(Продажи[[#This Row],[id товара]],Товары[],2,0)</f>
        <v>Молоко</v>
      </c>
      <c r="J385" s="17">
        <f>AVERAGEIF(Продажи[Категория],Продажи[[#This Row],[Категория]],Продажи[цена за шт в рублях])</f>
        <v>294.95238095238096</v>
      </c>
      <c r="K385" s="16">
        <f>Продажи[[#This Row],[цена за шт в рублях]]/Продажи[[#This Row],[Средняя цена в категории за шт]]-1</f>
        <v>-0.76267355505327739</v>
      </c>
      <c r="L385" t="str">
        <f>VLOOKUP(Продажи[[#This Row],[id товара]],Товары[],3,0)</f>
        <v>Беллакт</v>
      </c>
      <c r="M385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385" s="16">
        <f>Продажи[[#This Row],[цена за шт в рублях]]/Продажи[[#This Row],[Средняя цена в категории за шт по поставщику]]-1</f>
        <v>-0.78297632468996614</v>
      </c>
      <c r="O385" s="48">
        <f>VLOOKUP(Продажи[[#This Row],[id клиента]],клиенты!$A$2:$E$435,5,0)</f>
        <v>44827</v>
      </c>
      <c r="P385">
        <f>Продажи[[#This Row],[дата создания чека]]-Продажи[[#This Row],[Дата регистрации]]</f>
        <v>118</v>
      </c>
      <c r="Q385" t="str">
        <f>VLOOKUP(Продажи[[#This Row],[id клиента]],клиенты!$A$2:$G$435,7,0)</f>
        <v>Россия</v>
      </c>
      <c r="R385">
        <f>IF(COUNTIF($H$2:H385, H385)=1, 1, 0)</f>
        <v>0</v>
      </c>
      <c r="S385" t="str">
        <f>VLOOKUP(Продажи[[#This Row],[id клиента]],клиенты!$A$2:$D$435,4,0)</f>
        <v>нет</v>
      </c>
      <c r="T385" s="54">
        <f>VLOOKUP(Продажи[[#This Row],[id клиента]],клиенты!$A$2:$I$435,9,0)</f>
        <v>17.905544147843944</v>
      </c>
    </row>
    <row r="386" spans="1:20" x14ac:dyDescent="0.25">
      <c r="A386">
        <v>385</v>
      </c>
      <c r="B386">
        <v>409</v>
      </c>
      <c r="C386">
        <v>386</v>
      </c>
      <c r="D386">
        <v>1</v>
      </c>
      <c r="E386" s="35">
        <v>1930</v>
      </c>
      <c r="F386" s="48">
        <v>45192</v>
      </c>
      <c r="G386" t="s">
        <v>13</v>
      </c>
      <c r="H386">
        <v>461</v>
      </c>
      <c r="I386" t="str">
        <f>VLOOKUP(Продажи[[#This Row],[id товара]],Товары[],2,0)</f>
        <v>Фрукты</v>
      </c>
      <c r="J386" s="17">
        <f>AVERAGEIF(Продажи[Категория],Продажи[[#This Row],[Категория]],Продажи[цена за шт в рублях])</f>
        <v>274.16279069767444</v>
      </c>
      <c r="K386" s="16">
        <f>Продажи[[#This Row],[цена за шт в рублях]]/Продажи[[#This Row],[Средняя цена в категории за шт]]-1</f>
        <v>0.4079226397489184</v>
      </c>
      <c r="L386" t="str">
        <f>VLOOKUP(Продажи[[#This Row],[id товара]],Товары[],3,0)</f>
        <v>Фруктовый Рай</v>
      </c>
      <c r="M386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386" s="16">
        <f>Продажи[[#This Row],[цена за шт в рублях]]/Продажи[[#This Row],[Средняя цена в категории за шт по поставщику]]-1</f>
        <v>0.49434187016080999</v>
      </c>
      <c r="O386" s="48">
        <f>VLOOKUP(Продажи[[#This Row],[id клиента]],клиенты!$A$2:$E$435,5,0)</f>
        <v>44667</v>
      </c>
      <c r="P386">
        <f>Продажи[[#This Row],[дата создания чека]]-Продажи[[#This Row],[Дата регистрации]]</f>
        <v>525</v>
      </c>
      <c r="Q386" t="str">
        <f>VLOOKUP(Продажи[[#This Row],[id клиента]],клиенты!$A$2:$G$435,7,0)</f>
        <v>Узбекистан</v>
      </c>
      <c r="R386">
        <f>IF(COUNTIF($H$2:H386, H386)=1, 1, 0)</f>
        <v>1</v>
      </c>
      <c r="S386" t="str">
        <f>VLOOKUP(Продажи[[#This Row],[id клиента]],клиенты!$A$2:$D$435,4,0)</f>
        <v>да</v>
      </c>
      <c r="T386" s="54">
        <f>VLOOKUP(Продажи[[#This Row],[id клиента]],клиенты!$A$2:$I$435,9,0)</f>
        <v>17.248459958932237</v>
      </c>
    </row>
    <row r="387" spans="1:20" x14ac:dyDescent="0.25">
      <c r="A387">
        <v>386</v>
      </c>
      <c r="B387">
        <v>129</v>
      </c>
      <c r="C387">
        <v>235</v>
      </c>
      <c r="D387">
        <v>2</v>
      </c>
      <c r="E387" s="35">
        <v>2350</v>
      </c>
      <c r="F387" s="48">
        <v>45207</v>
      </c>
      <c r="G387" t="s">
        <v>10</v>
      </c>
      <c r="H387">
        <v>149</v>
      </c>
      <c r="I387" t="str">
        <f>VLOOKUP(Продажи[[#This Row],[id товара]],Товары[],2,0)</f>
        <v>Мясо</v>
      </c>
      <c r="J387" s="17">
        <f>AVERAGEIF(Продажи[Категория],Продажи[[#This Row],[Категория]],Продажи[цена за шт в рублях])</f>
        <v>271.74545454545455</v>
      </c>
      <c r="K387" s="16">
        <f>Продажи[[#This Row],[цена за шт в рублях]]/Продажи[[#This Row],[Средняя цена в категории за шт]]-1</f>
        <v>-0.13522012578616349</v>
      </c>
      <c r="L387" t="str">
        <f>VLOOKUP(Продажи[[#This Row],[id товара]],Товары[],3,0)</f>
        <v>Агрокомплекс</v>
      </c>
      <c r="M387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387" s="16">
        <f>Продажи[[#This Row],[цена за шт в рублях]]/Продажи[[#This Row],[Средняя цена в категории за шт по поставщику]]-1</f>
        <v>-0.24485861182519275</v>
      </c>
      <c r="O387" s="48">
        <f>VLOOKUP(Продажи[[#This Row],[id клиента]],клиенты!$A$2:$E$435,5,0)</f>
        <v>44882</v>
      </c>
      <c r="P387">
        <f>Продажи[[#This Row],[дата создания чека]]-Продажи[[#This Row],[Дата регистрации]]</f>
        <v>325</v>
      </c>
      <c r="Q387" t="str">
        <f>VLOOKUP(Продажи[[#This Row],[id клиента]],клиенты!$A$2:$G$435,7,0)</f>
        <v>Таджикистан</v>
      </c>
      <c r="R387">
        <f>IF(COUNTIF($H$2:H387, H387)=1, 1, 0)</f>
        <v>0</v>
      </c>
      <c r="S387" t="str">
        <f>VLOOKUP(Продажи[[#This Row],[id клиента]],клиенты!$A$2:$D$435,4,0)</f>
        <v>да</v>
      </c>
      <c r="T387" s="54">
        <f>VLOOKUP(Продажи[[#This Row],[id клиента]],клиенты!$A$2:$I$435,9,0)</f>
        <v>10.677618069815194</v>
      </c>
    </row>
    <row r="388" spans="1:20" x14ac:dyDescent="0.25">
      <c r="A388">
        <v>387</v>
      </c>
      <c r="B388">
        <v>283</v>
      </c>
      <c r="C388">
        <v>107</v>
      </c>
      <c r="D388">
        <v>3</v>
      </c>
      <c r="E388" s="35">
        <v>1605</v>
      </c>
      <c r="F388" s="48">
        <v>45413</v>
      </c>
      <c r="G388" t="s">
        <v>18</v>
      </c>
      <c r="H388">
        <v>222</v>
      </c>
      <c r="I388" t="str">
        <f>VLOOKUP(Продажи[[#This Row],[id товара]],Товары[],2,0)</f>
        <v>Конфеты</v>
      </c>
      <c r="J388" s="17">
        <f>AVERAGEIF(Продажи[Категория],Продажи[[#This Row],[Категория]],Продажи[цена за шт в рублях])</f>
        <v>267.85483870967744</v>
      </c>
      <c r="K388" s="16">
        <f>Продажи[[#This Row],[цена за шт в рублях]]/Продажи[[#This Row],[Средняя цена в категории за шт]]-1</f>
        <v>-0.60052989703137238</v>
      </c>
      <c r="L388" t="str">
        <f>VLOOKUP(Продажи[[#This Row],[id товара]],Товары[],3,0)</f>
        <v>Рот Фронт</v>
      </c>
      <c r="M388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388" s="16">
        <f>Продажи[[#This Row],[цена за шт в рублях]]/Продажи[[#This Row],[Средняя цена в категории за шт по поставщику]]-1</f>
        <v>-0.62877911779283002</v>
      </c>
      <c r="O388" s="48">
        <f>VLOOKUP(Продажи[[#This Row],[id клиента]],клиенты!$A$2:$E$435,5,0)</f>
        <v>44694</v>
      </c>
      <c r="P388">
        <f>Продажи[[#This Row],[дата создания чека]]-Продажи[[#This Row],[Дата регистрации]]</f>
        <v>719</v>
      </c>
      <c r="Q388" t="str">
        <f>VLOOKUP(Продажи[[#This Row],[id клиента]],клиенты!$A$2:$G$435,7,0)</f>
        <v>Украина</v>
      </c>
      <c r="R388">
        <f>IF(COUNTIF($H$2:H388, H388)=1, 1, 0)</f>
        <v>0</v>
      </c>
      <c r="S388" t="str">
        <f>VLOOKUP(Продажи[[#This Row],[id клиента]],клиенты!$A$2:$D$435,4,0)</f>
        <v>да</v>
      </c>
      <c r="T388" s="54">
        <f>VLOOKUP(Продажи[[#This Row],[id клиента]],клиенты!$A$2:$I$435,9,0)</f>
        <v>23.622176591375769</v>
      </c>
    </row>
    <row r="389" spans="1:20" x14ac:dyDescent="0.25">
      <c r="A389">
        <v>388</v>
      </c>
      <c r="B389">
        <v>36</v>
      </c>
      <c r="C389">
        <v>83</v>
      </c>
      <c r="D389">
        <v>4</v>
      </c>
      <c r="E389" s="35">
        <v>1660</v>
      </c>
      <c r="F389" s="48">
        <v>45265</v>
      </c>
      <c r="G389" t="s">
        <v>13</v>
      </c>
      <c r="H389">
        <v>333</v>
      </c>
      <c r="I389" t="str">
        <f>VLOOKUP(Продажи[[#This Row],[id товара]],Товары[],2,0)</f>
        <v>Макароны</v>
      </c>
      <c r="J389" s="17">
        <f>AVERAGEIF(Продажи[Категория],Продажи[[#This Row],[Категория]],Продажи[цена за шт в рублях])</f>
        <v>265.47674418604652</v>
      </c>
      <c r="K389" s="16">
        <f>Продажи[[#This Row],[цена за шт в рублях]]/Продажи[[#This Row],[Средняя цена в категории за шт]]-1</f>
        <v>-0.6873549121808068</v>
      </c>
      <c r="L389" t="str">
        <f>VLOOKUP(Продажи[[#This Row],[id товара]],Товары[],3,0)</f>
        <v>Роллтон</v>
      </c>
      <c r="M389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389" s="16">
        <f>Продажи[[#This Row],[цена за шт в рублях]]/Продажи[[#This Row],[Средняя цена в категории за шт по поставщику]]-1</f>
        <v>-0.64764150943396226</v>
      </c>
      <c r="O389" s="48">
        <f>VLOOKUP(Продажи[[#This Row],[id клиента]],клиенты!$A$2:$E$435,5,0)</f>
        <v>44857</v>
      </c>
      <c r="P389">
        <f>Продажи[[#This Row],[дата создания чека]]-Продажи[[#This Row],[Дата регистрации]]</f>
        <v>408</v>
      </c>
      <c r="Q389" t="str">
        <f>VLOOKUP(Продажи[[#This Row],[id клиента]],клиенты!$A$2:$G$435,7,0)</f>
        <v>Россия</v>
      </c>
      <c r="R389">
        <f>IF(COUNTIF($H$2:H389, H389)=1, 1, 0)</f>
        <v>0</v>
      </c>
      <c r="S389" t="str">
        <f>VLOOKUP(Продажи[[#This Row],[id клиента]],клиенты!$A$2:$D$435,4,0)</f>
        <v>да</v>
      </c>
      <c r="T389" s="54">
        <f>VLOOKUP(Продажи[[#This Row],[id клиента]],клиенты!$A$2:$I$435,9,0)</f>
        <v>13.404517453798768</v>
      </c>
    </row>
    <row r="390" spans="1:20" x14ac:dyDescent="0.25">
      <c r="A390">
        <v>389</v>
      </c>
      <c r="B390">
        <v>290</v>
      </c>
      <c r="C390">
        <v>50</v>
      </c>
      <c r="D390">
        <v>5</v>
      </c>
      <c r="E390" s="35">
        <v>1250</v>
      </c>
      <c r="F390" s="48">
        <v>45052</v>
      </c>
      <c r="G390" t="s">
        <v>17</v>
      </c>
      <c r="H390">
        <v>495</v>
      </c>
      <c r="I390" t="str">
        <f>VLOOKUP(Продажи[[#This Row],[id товара]],Товары[],2,0)</f>
        <v>Сахар</v>
      </c>
      <c r="J390" s="17">
        <f>AVERAGEIF(Продажи[Категория],Продажи[[#This Row],[Категория]],Продажи[цена за шт в рублях])</f>
        <v>252.76271186440678</v>
      </c>
      <c r="K390" s="16">
        <f>Продажи[[#This Row],[цена за шт в рублях]]/Продажи[[#This Row],[Средняя цена в категории за шт]]-1</f>
        <v>-0.80218601220411723</v>
      </c>
      <c r="L390" t="str">
        <f>VLOOKUP(Продажи[[#This Row],[id товара]],Товары[],3,0)</f>
        <v>Продимекс</v>
      </c>
      <c r="M390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390" s="16">
        <f>Продажи[[#This Row],[цена за шт в рублях]]/Продажи[[#This Row],[Средняя цена в категории за шт по поставщику]]-1</f>
        <v>-0.79209979209979209</v>
      </c>
      <c r="O390" s="48">
        <f>VLOOKUP(Продажи[[#This Row],[id клиента]],клиенты!$A$2:$E$435,5,0)</f>
        <v>44654</v>
      </c>
      <c r="P390">
        <f>Продажи[[#This Row],[дата создания чека]]-Продажи[[#This Row],[Дата регистрации]]</f>
        <v>398</v>
      </c>
      <c r="Q390" t="str">
        <f>VLOOKUP(Продажи[[#This Row],[id клиента]],клиенты!$A$2:$G$435,7,0)</f>
        <v>Узбекистан</v>
      </c>
      <c r="R390">
        <f>IF(COUNTIF($H$2:H390, H390)=1, 1, 0)</f>
        <v>0</v>
      </c>
      <c r="S390" t="str">
        <f>VLOOKUP(Продажи[[#This Row],[id клиента]],клиенты!$A$2:$D$435,4,0)</f>
        <v>да</v>
      </c>
      <c r="T390" s="54">
        <f>VLOOKUP(Продажи[[#This Row],[id клиента]],клиенты!$A$2:$I$435,9,0)</f>
        <v>15.835728952772074</v>
      </c>
    </row>
    <row r="391" spans="1:20" x14ac:dyDescent="0.25">
      <c r="A391">
        <v>390</v>
      </c>
      <c r="B391">
        <v>229</v>
      </c>
      <c r="C391">
        <v>269</v>
      </c>
      <c r="D391">
        <v>5</v>
      </c>
      <c r="E391" s="35">
        <v>6725</v>
      </c>
      <c r="F391" s="48">
        <v>45011</v>
      </c>
      <c r="G391" t="s">
        <v>14</v>
      </c>
      <c r="H391">
        <v>278</v>
      </c>
      <c r="I391" t="str">
        <f>VLOOKUP(Продажи[[#This Row],[id товара]],Товары[],2,0)</f>
        <v>Мясо</v>
      </c>
      <c r="J391" s="17">
        <f>AVERAGEIF(Продажи[Категория],Продажи[[#This Row],[Категория]],Продажи[цена за шт в рублях])</f>
        <v>271.74545454545455</v>
      </c>
      <c r="K391" s="16">
        <f>Продажи[[#This Row],[цена за шт в рублях]]/Продажи[[#This Row],[Средняя цена в категории за шт]]-1</f>
        <v>-1.0103037602034015E-2</v>
      </c>
      <c r="L391" t="str">
        <f>VLOOKUP(Продажи[[#This Row],[id товара]],Товары[],3,0)</f>
        <v>Сава</v>
      </c>
      <c r="M391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391" s="16">
        <f>Продажи[[#This Row],[цена за шт в рублях]]/Продажи[[#This Row],[Средняя цена в категории за шт по поставщику]]-1</f>
        <v>0.26402349486049936</v>
      </c>
      <c r="O391" s="48">
        <f>VLOOKUP(Продажи[[#This Row],[id клиента]],клиенты!$A$2:$E$435,5,0)</f>
        <v>44920</v>
      </c>
      <c r="P391">
        <f>Продажи[[#This Row],[дата создания чека]]-Продажи[[#This Row],[Дата регистрации]]</f>
        <v>91</v>
      </c>
      <c r="Q391" t="str">
        <f>VLOOKUP(Продажи[[#This Row],[id клиента]],клиенты!$A$2:$G$435,7,0)</f>
        <v>Узбекистан</v>
      </c>
      <c r="R391">
        <f>IF(COUNTIF($H$2:H391, H391)=1, 1, 0)</f>
        <v>1</v>
      </c>
      <c r="S391" t="str">
        <f>VLOOKUP(Продажи[[#This Row],[id клиента]],клиенты!$A$2:$D$435,4,0)</f>
        <v>нет</v>
      </c>
      <c r="T391" s="54">
        <f>VLOOKUP(Продажи[[#This Row],[id клиента]],клиенты!$A$2:$I$435,9,0)</f>
        <v>2.9897330595482545</v>
      </c>
    </row>
    <row r="392" spans="1:20" x14ac:dyDescent="0.25">
      <c r="A392">
        <v>391</v>
      </c>
      <c r="B392">
        <v>313</v>
      </c>
      <c r="C392">
        <v>385</v>
      </c>
      <c r="D392">
        <v>4</v>
      </c>
      <c r="E392" s="35">
        <v>7700</v>
      </c>
      <c r="F392" s="48">
        <v>44982</v>
      </c>
      <c r="G392" t="s">
        <v>18</v>
      </c>
      <c r="H392">
        <v>246</v>
      </c>
      <c r="I392" t="str">
        <f>VLOOKUP(Продажи[[#This Row],[id товара]],Товары[],2,0)</f>
        <v>Конфеты</v>
      </c>
      <c r="J392" s="17">
        <f>AVERAGEIF(Продажи[Категория],Продажи[[#This Row],[Категория]],Продажи[цена за шт в рублях])</f>
        <v>267.85483870967744</v>
      </c>
      <c r="K392" s="16">
        <f>Продажи[[#This Row],[цена за шт в рублях]]/Продажи[[#This Row],[Средняя цена в категории за шт]]-1</f>
        <v>0.43734569759739861</v>
      </c>
      <c r="L392" t="str">
        <f>VLOOKUP(Продажи[[#This Row],[id товара]],Товары[],3,0)</f>
        <v>Бабаевский</v>
      </c>
      <c r="M392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392" s="16">
        <f>Продажи[[#This Row],[цена за шт в рублях]]/Продажи[[#This Row],[Средняя цена в категории за шт по поставщику]]-1</f>
        <v>0.53840461743377244</v>
      </c>
      <c r="O392" s="48">
        <f>VLOOKUP(Продажи[[#This Row],[id клиента]],клиенты!$A$2:$E$435,5,0)</f>
        <v>44805</v>
      </c>
      <c r="P392">
        <f>Продажи[[#This Row],[дата создания чека]]-Продажи[[#This Row],[Дата регистрации]]</f>
        <v>177</v>
      </c>
      <c r="Q392" t="str">
        <f>VLOOKUP(Продажи[[#This Row],[id клиента]],клиенты!$A$2:$G$435,7,0)</f>
        <v>Узбекистан</v>
      </c>
      <c r="R392">
        <f>IF(COUNTIF($H$2:H392, H392)=1, 1, 0)</f>
        <v>1</v>
      </c>
      <c r="S392" t="str">
        <f>VLOOKUP(Продажи[[#This Row],[id клиента]],клиенты!$A$2:$D$435,4,0)</f>
        <v>нет</v>
      </c>
      <c r="T392" s="54">
        <f>VLOOKUP(Продажи[[#This Row],[id клиента]],клиенты!$A$2:$I$435,9,0)</f>
        <v>12.451745379876797</v>
      </c>
    </row>
    <row r="393" spans="1:20" x14ac:dyDescent="0.25">
      <c r="A393">
        <v>392</v>
      </c>
      <c r="B393">
        <v>368</v>
      </c>
      <c r="C393">
        <v>64</v>
      </c>
      <c r="D393">
        <v>5</v>
      </c>
      <c r="E393" s="35">
        <v>1600</v>
      </c>
      <c r="F393" s="48">
        <v>45340</v>
      </c>
      <c r="G393" t="s">
        <v>12</v>
      </c>
      <c r="H393">
        <v>480</v>
      </c>
      <c r="I393" t="str">
        <f>VLOOKUP(Продажи[[#This Row],[id товара]],Товары[],2,0)</f>
        <v>Сыр</v>
      </c>
      <c r="J393" s="17">
        <f>AVERAGEIF(Продажи[Категория],Продажи[[#This Row],[Категория]],Продажи[цена за шт в рублях])</f>
        <v>262.63492063492066</v>
      </c>
      <c r="K393" s="16">
        <f>Продажи[[#This Row],[цена за шт в рублях]]/Продажи[[#This Row],[Средняя цена в категории за шт]]-1</f>
        <v>-0.75631572585519158</v>
      </c>
      <c r="L393" t="str">
        <f>VLOOKUP(Продажи[[#This Row],[id товара]],Товары[],3,0)</f>
        <v>Сырная долина</v>
      </c>
      <c r="M393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393" s="16">
        <f>Продажи[[#This Row],[цена за шт в рублях]]/Продажи[[#This Row],[Средняя цена в категории за шт по поставщику]]-1</f>
        <v>-0.76383763837638374</v>
      </c>
      <c r="O393" s="48">
        <f>VLOOKUP(Продажи[[#This Row],[id клиента]],клиенты!$A$2:$E$435,5,0)</f>
        <v>44568</v>
      </c>
      <c r="P393">
        <f>Продажи[[#This Row],[дата создания чека]]-Продажи[[#This Row],[Дата регистрации]]</f>
        <v>772</v>
      </c>
      <c r="Q393" t="str">
        <f>VLOOKUP(Продажи[[#This Row],[id клиента]],клиенты!$A$2:$G$435,7,0)</f>
        <v>Узбекистан</v>
      </c>
      <c r="R393">
        <f>IF(COUNTIF($H$2:H393, H393)=1, 1, 0)</f>
        <v>0</v>
      </c>
      <c r="S393" t="str">
        <f>VLOOKUP(Продажи[[#This Row],[id клиента]],клиенты!$A$2:$D$435,4,0)</f>
        <v>да</v>
      </c>
      <c r="T393" s="54">
        <f>VLOOKUP(Продажи[[#This Row],[id клиента]],клиенты!$A$2:$I$435,9,0)</f>
        <v>27.860369609856264</v>
      </c>
    </row>
    <row r="394" spans="1:20" x14ac:dyDescent="0.25">
      <c r="A394">
        <v>393</v>
      </c>
      <c r="B394">
        <v>322</v>
      </c>
      <c r="C394">
        <v>223</v>
      </c>
      <c r="D394">
        <v>2</v>
      </c>
      <c r="E394" s="35">
        <v>2230</v>
      </c>
      <c r="F394" s="48">
        <v>45254</v>
      </c>
      <c r="G394" t="s">
        <v>15</v>
      </c>
      <c r="H394">
        <v>205</v>
      </c>
      <c r="I394" t="str">
        <f>VLOOKUP(Продажи[[#This Row],[id товара]],Товары[],2,0)</f>
        <v>Крупа</v>
      </c>
      <c r="J394" s="17">
        <f>AVERAGEIF(Продажи[Категория],Продажи[[#This Row],[Категория]],Продажи[цена за шт в рублях])</f>
        <v>255.11627906976744</v>
      </c>
      <c r="K394" s="16">
        <f>Продажи[[#This Row],[цена за шт в рублях]]/Продажи[[#This Row],[Средняя цена в категории за шт]]-1</f>
        <v>-0.1258887876025524</v>
      </c>
      <c r="L394" t="str">
        <f>VLOOKUP(Продажи[[#This Row],[id товара]],Товары[],3,0)</f>
        <v>Увелка</v>
      </c>
      <c r="M394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394" s="16">
        <f>Продажи[[#This Row],[цена за шт в рублях]]/Продажи[[#This Row],[Средняя цена в категории за шт по поставщику]]-1</f>
        <v>-0.11478663579225934</v>
      </c>
      <c r="O394" s="48">
        <f>VLOOKUP(Продажи[[#This Row],[id клиента]],клиенты!$A$2:$E$435,5,0)</f>
        <v>44918</v>
      </c>
      <c r="P394">
        <f>Продажи[[#This Row],[дата создания чека]]-Продажи[[#This Row],[Дата регистрации]]</f>
        <v>336</v>
      </c>
      <c r="Q394" t="str">
        <f>VLOOKUP(Продажи[[#This Row],[id клиента]],клиенты!$A$2:$G$435,7,0)</f>
        <v>Россия</v>
      </c>
      <c r="R394">
        <f>IF(COUNTIF($H$2:H394, H394)=1, 1, 0)</f>
        <v>1</v>
      </c>
      <c r="S394" t="str">
        <f>VLOOKUP(Продажи[[#This Row],[id клиента]],клиенты!$A$2:$D$435,4,0)</f>
        <v>да</v>
      </c>
      <c r="T394" s="54">
        <f>VLOOKUP(Продажи[[#This Row],[id клиента]],клиенты!$A$2:$I$435,9,0)</f>
        <v>11.039014373716633</v>
      </c>
    </row>
    <row r="395" spans="1:20" x14ac:dyDescent="0.25">
      <c r="A395">
        <v>394</v>
      </c>
      <c r="B395">
        <v>206</v>
      </c>
      <c r="C395">
        <v>226</v>
      </c>
      <c r="D395">
        <v>2</v>
      </c>
      <c r="E395" s="35">
        <v>2260</v>
      </c>
      <c r="F395" s="48">
        <v>45264</v>
      </c>
      <c r="G395" t="s">
        <v>15</v>
      </c>
      <c r="H395">
        <v>357</v>
      </c>
      <c r="I395" t="str">
        <f>VLOOKUP(Продажи[[#This Row],[id товара]],Товары[],2,0)</f>
        <v>Молоко</v>
      </c>
      <c r="J395" s="17">
        <f>AVERAGEIF(Продажи[Категория],Продажи[[#This Row],[Категория]],Продажи[цена за шт в рублях])</f>
        <v>294.95238095238096</v>
      </c>
      <c r="K395" s="16">
        <f>Продажи[[#This Row],[цена за шт в рублях]]/Продажи[[#This Row],[Средняя цена в категории за шт]]-1</f>
        <v>-0.23377462060058118</v>
      </c>
      <c r="L395" t="str">
        <f>VLOOKUP(Продажи[[#This Row],[id товара]],Товары[],3,0)</f>
        <v>Домик в деревне</v>
      </c>
      <c r="M395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395" s="16">
        <f>Продажи[[#This Row],[цена за шт в рублях]]/Продажи[[#This Row],[Средняя цена в категории за шт по поставщику]]-1</f>
        <v>-0.17751718560452889</v>
      </c>
      <c r="O395" s="48">
        <f>VLOOKUP(Продажи[[#This Row],[id клиента]],клиенты!$A$2:$E$435,5,0)</f>
        <v>44913</v>
      </c>
      <c r="P395">
        <f>Продажи[[#This Row],[дата создания чека]]-Продажи[[#This Row],[Дата регистрации]]</f>
        <v>351</v>
      </c>
      <c r="Q395" t="str">
        <f>VLOOKUP(Продажи[[#This Row],[id клиента]],клиенты!$A$2:$G$435,7,0)</f>
        <v>Узбекистан</v>
      </c>
      <c r="R395">
        <f>IF(COUNTIF($H$2:H395, H395)=1, 1, 0)</f>
        <v>1</v>
      </c>
      <c r="S395" t="str">
        <f>VLOOKUP(Продажи[[#This Row],[id клиента]],клиенты!$A$2:$D$435,4,0)</f>
        <v>да</v>
      </c>
      <c r="T395" s="54">
        <f>VLOOKUP(Продажи[[#This Row],[id клиента]],клиенты!$A$2:$I$435,9,0)</f>
        <v>11.53182751540041</v>
      </c>
    </row>
    <row r="396" spans="1:20" x14ac:dyDescent="0.25">
      <c r="A396">
        <v>395</v>
      </c>
      <c r="B396">
        <v>18</v>
      </c>
      <c r="C396">
        <v>459</v>
      </c>
      <c r="D396">
        <v>3</v>
      </c>
      <c r="E396" s="35">
        <v>6885</v>
      </c>
      <c r="F396" s="48">
        <v>45342</v>
      </c>
      <c r="G396" t="s">
        <v>16</v>
      </c>
      <c r="H396">
        <v>152</v>
      </c>
      <c r="I396" t="str">
        <f>VLOOKUP(Продажи[[#This Row],[id товара]],Товары[],2,0)</f>
        <v>Рыба</v>
      </c>
      <c r="J396" s="17">
        <f>AVERAGEIF(Продажи[Категория],Продажи[[#This Row],[Категория]],Продажи[цена за шт в рублях])</f>
        <v>258.5128205128205</v>
      </c>
      <c r="K396" s="16">
        <f>Продажи[[#This Row],[цена за шт в рублях]]/Продажи[[#This Row],[Средняя цена в категории за шт]]-1</f>
        <v>0.77554056734774868</v>
      </c>
      <c r="L396" t="str">
        <f>VLOOKUP(Продажи[[#This Row],[id товара]],Товары[],3,0)</f>
        <v>Меридиан</v>
      </c>
      <c r="M396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396" s="16">
        <f>Продажи[[#This Row],[цена за шт в рублях]]/Продажи[[#This Row],[Средняя цена в категории за шт по поставщику]]-1</f>
        <v>0.76100203114421139</v>
      </c>
      <c r="O396" s="48">
        <f>VLOOKUP(Продажи[[#This Row],[id клиента]],клиенты!$A$2:$E$435,5,0)</f>
        <v>44791</v>
      </c>
      <c r="P396">
        <f>Продажи[[#This Row],[дата создания чека]]-Продажи[[#This Row],[Дата регистрации]]</f>
        <v>551</v>
      </c>
      <c r="Q396" t="str">
        <f>VLOOKUP(Продажи[[#This Row],[id клиента]],клиенты!$A$2:$G$435,7,0)</f>
        <v>Беларусь</v>
      </c>
      <c r="R396">
        <f>IF(COUNTIF($H$2:H396, H396)=1, 1, 0)</f>
        <v>1</v>
      </c>
      <c r="S396" t="str">
        <f>VLOOKUP(Продажи[[#This Row],[id клиента]],клиенты!$A$2:$D$435,4,0)</f>
        <v>нет</v>
      </c>
      <c r="T396" s="54">
        <f>VLOOKUP(Продажи[[#This Row],[id клиента]],клиенты!$A$2:$I$435,9,0)</f>
        <v>19.121149897330596</v>
      </c>
    </row>
    <row r="397" spans="1:20" x14ac:dyDescent="0.25">
      <c r="A397">
        <v>396</v>
      </c>
      <c r="B397">
        <v>145</v>
      </c>
      <c r="C397">
        <v>455</v>
      </c>
      <c r="D397">
        <v>3</v>
      </c>
      <c r="E397" s="35">
        <v>6825</v>
      </c>
      <c r="F397" s="48">
        <v>45373</v>
      </c>
      <c r="G397" t="s">
        <v>22</v>
      </c>
      <c r="H397">
        <v>323</v>
      </c>
      <c r="I397" t="str">
        <f>VLOOKUP(Продажи[[#This Row],[id товара]],Товары[],2,0)</f>
        <v>Овощи</v>
      </c>
      <c r="J397" s="17">
        <f>AVERAGEIF(Продажи[Категория],Продажи[[#This Row],[Категория]],Продажи[цена за шт в рублях])</f>
        <v>250.48780487804879</v>
      </c>
      <c r="K397" s="16">
        <f>Продажи[[#This Row],[цена за шт в рублях]]/Продажи[[#This Row],[Средняя цена в категории за шт]]-1</f>
        <v>0.81645569620253156</v>
      </c>
      <c r="L397" t="str">
        <f>VLOOKUP(Продажи[[#This Row],[id товара]],Товары[],3,0)</f>
        <v>Семко</v>
      </c>
      <c r="M397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397" s="16">
        <f>Продажи[[#This Row],[цена за шт в рублях]]/Продажи[[#This Row],[Средняя цена в категории за шт по поставщику]]-1</f>
        <v>1.1875</v>
      </c>
      <c r="O397" s="48">
        <f>VLOOKUP(Продажи[[#This Row],[id клиента]],клиенты!$A$2:$E$435,5,0)</f>
        <v>44821</v>
      </c>
      <c r="P397">
        <f>Продажи[[#This Row],[дата создания чека]]-Продажи[[#This Row],[Дата регистрации]]</f>
        <v>552</v>
      </c>
      <c r="Q397" t="str">
        <f>VLOOKUP(Продажи[[#This Row],[id клиента]],клиенты!$A$2:$G$435,7,0)</f>
        <v>Таджикистан</v>
      </c>
      <c r="R397">
        <f>IF(COUNTIF($H$2:H397, H397)=1, 1, 0)</f>
        <v>1</v>
      </c>
      <c r="S397" t="str">
        <f>VLOOKUP(Продажи[[#This Row],[id клиента]],клиенты!$A$2:$D$435,4,0)</f>
        <v>да</v>
      </c>
      <c r="T397" s="54">
        <f>VLOOKUP(Продажи[[#This Row],[id клиента]],клиенты!$A$2:$I$435,9,0)</f>
        <v>18.759753593429156</v>
      </c>
    </row>
    <row r="398" spans="1:20" x14ac:dyDescent="0.25">
      <c r="A398">
        <v>397</v>
      </c>
      <c r="B398">
        <v>491</v>
      </c>
      <c r="C398">
        <v>193</v>
      </c>
      <c r="D398">
        <v>1</v>
      </c>
      <c r="E398" s="35">
        <v>965</v>
      </c>
      <c r="F398" s="48">
        <v>45332</v>
      </c>
      <c r="G398" t="s">
        <v>14</v>
      </c>
      <c r="H398">
        <v>185</v>
      </c>
      <c r="I398" t="str">
        <f>VLOOKUP(Продажи[[#This Row],[id товара]],Товары[],2,0)</f>
        <v>Овощи</v>
      </c>
      <c r="J398" s="17">
        <f>AVERAGEIF(Продажи[Категория],Продажи[[#This Row],[Категория]],Продажи[цена за шт в рублях])</f>
        <v>250.48780487804879</v>
      </c>
      <c r="K398" s="16">
        <f>Продажи[[#This Row],[цена за шт в рублях]]/Продажи[[#This Row],[Средняя цена в категории за шт]]-1</f>
        <v>-0.2295034079844207</v>
      </c>
      <c r="L398" t="str">
        <f>VLOOKUP(Продажи[[#This Row],[id товара]],Товары[],3,0)</f>
        <v>Зеленая грядка</v>
      </c>
      <c r="M398" s="32">
        <f>AVERAGEIFS(Продажи[цена за шт в рублях],Продажи[Категория],Продажи[[#This Row],[Категория]],Продажи[Поставщик],Продажи[[#This Row],[Поставщик]])</f>
        <v>159.19999999999999</v>
      </c>
      <c r="N398" s="16">
        <f>Продажи[[#This Row],[цена за шт в рублях]]/Продажи[[#This Row],[Средняя цена в категории за шт по поставщику]]-1</f>
        <v>0.21231155778894473</v>
      </c>
      <c r="O398" s="48">
        <f>VLOOKUP(Продажи[[#This Row],[id клиента]],клиенты!$A$2:$E$435,5,0)</f>
        <v>44683</v>
      </c>
      <c r="P398">
        <f>Продажи[[#This Row],[дата создания чека]]-Продажи[[#This Row],[Дата регистрации]]</f>
        <v>649</v>
      </c>
      <c r="Q398" t="str">
        <f>VLOOKUP(Продажи[[#This Row],[id клиента]],клиенты!$A$2:$G$435,7,0)</f>
        <v>Узбекистан</v>
      </c>
      <c r="R398">
        <f>IF(COUNTIF($H$2:H398, H398)=1, 1, 0)</f>
        <v>1</v>
      </c>
      <c r="S398" t="str">
        <f>VLOOKUP(Продажи[[#This Row],[id клиента]],клиенты!$A$2:$D$435,4,0)</f>
        <v>нет</v>
      </c>
      <c r="T398" s="54">
        <f>VLOOKUP(Продажи[[#This Row],[id клиента]],клиенты!$A$2:$I$435,9,0)</f>
        <v>21.322381930184804</v>
      </c>
    </row>
    <row r="399" spans="1:20" x14ac:dyDescent="0.25">
      <c r="A399">
        <v>398</v>
      </c>
      <c r="B399">
        <v>258</v>
      </c>
      <c r="C399">
        <v>113</v>
      </c>
      <c r="D399">
        <v>1</v>
      </c>
      <c r="E399" s="35">
        <v>565</v>
      </c>
      <c r="F399" s="48">
        <v>45289</v>
      </c>
      <c r="G399" t="s">
        <v>24</v>
      </c>
      <c r="H399">
        <v>314</v>
      </c>
      <c r="I399" t="str">
        <f>VLOOKUP(Продажи[[#This Row],[id товара]],Товары[],2,0)</f>
        <v>Рыба</v>
      </c>
      <c r="J399" s="17">
        <f>AVERAGEIF(Продажи[Категория],Продажи[[#This Row],[Категория]],Продажи[цена за шт в рублях])</f>
        <v>258.5128205128205</v>
      </c>
      <c r="K399" s="16">
        <f>Продажи[[#This Row],[цена за шт в рублях]]/Продажи[[#This Row],[Средняя цена в категории за шт]]-1</f>
        <v>-0.56288434834358259</v>
      </c>
      <c r="L399" t="str">
        <f>VLOOKUP(Продажи[[#This Row],[id товара]],Товары[],3,0)</f>
        <v>Санта Бремор</v>
      </c>
      <c r="M399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399" s="16">
        <f>Продажи[[#This Row],[цена за шт в рублях]]/Продажи[[#This Row],[Средняя цена в категории за шт по поставщику]]-1</f>
        <v>-0.47781885397412205</v>
      </c>
      <c r="O399" s="48">
        <f>VLOOKUP(Продажи[[#This Row],[id клиента]],клиенты!$A$2:$E$435,5,0)</f>
        <v>44899</v>
      </c>
      <c r="P399">
        <f>Продажи[[#This Row],[дата создания чека]]-Продажи[[#This Row],[Дата регистрации]]</f>
        <v>390</v>
      </c>
      <c r="Q399" t="str">
        <f>VLOOKUP(Продажи[[#This Row],[id клиента]],клиенты!$A$2:$G$435,7,0)</f>
        <v>Россия</v>
      </c>
      <c r="R399">
        <f>IF(COUNTIF($H$2:H399, H399)=1, 1, 0)</f>
        <v>1</v>
      </c>
      <c r="S399" t="str">
        <f>VLOOKUP(Продажи[[#This Row],[id клиента]],клиенты!$A$2:$D$435,4,0)</f>
        <v>нет</v>
      </c>
      <c r="T399" s="54">
        <f>VLOOKUP(Продажи[[#This Row],[id клиента]],клиенты!$A$2:$I$435,9,0)</f>
        <v>12.813141683778234</v>
      </c>
    </row>
    <row r="400" spans="1:20" x14ac:dyDescent="0.25">
      <c r="A400">
        <v>399</v>
      </c>
      <c r="B400">
        <v>29</v>
      </c>
      <c r="C400">
        <v>91</v>
      </c>
      <c r="D400">
        <v>5</v>
      </c>
      <c r="E400" s="35">
        <v>2275</v>
      </c>
      <c r="F400" s="48">
        <v>45375</v>
      </c>
      <c r="G400" t="s">
        <v>8</v>
      </c>
      <c r="H400">
        <v>476</v>
      </c>
      <c r="I400" t="str">
        <f>VLOOKUP(Продажи[[#This Row],[id товара]],Товары[],2,0)</f>
        <v>Соль</v>
      </c>
      <c r="J400" s="17">
        <f>AVERAGEIF(Продажи[Категория],Продажи[[#This Row],[Категория]],Продажи[цена за шт в рублях])</f>
        <v>264.8679245283019</v>
      </c>
      <c r="K400" s="16">
        <f>Продажи[[#This Row],[цена за шт в рублях]]/Продажи[[#This Row],[Средняя цена в категории за шт]]-1</f>
        <v>-0.65643254024789854</v>
      </c>
      <c r="L400" t="str">
        <f>VLOOKUP(Продажи[[#This Row],[id товара]],Товары[],3,0)</f>
        <v>Илецкая</v>
      </c>
      <c r="M400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400" s="16">
        <f>Продажи[[#This Row],[цена за шт в рублях]]/Продажи[[#This Row],[Средняя цена в категории за шт по поставщику]]-1</f>
        <v>-0.61791462561231625</v>
      </c>
      <c r="O400" s="48">
        <f>VLOOKUP(Продажи[[#This Row],[id клиента]],клиенты!$A$2:$E$435,5,0)</f>
        <v>44703</v>
      </c>
      <c r="P400">
        <f>Продажи[[#This Row],[дата создания чека]]-Продажи[[#This Row],[Дата регистрации]]</f>
        <v>672</v>
      </c>
      <c r="Q400" t="str">
        <f>VLOOKUP(Продажи[[#This Row],[id клиента]],клиенты!$A$2:$G$435,7,0)</f>
        <v>Украина</v>
      </c>
      <c r="R400">
        <f>IF(COUNTIF($H$2:H400, H400)=1, 1, 0)</f>
        <v>1</v>
      </c>
      <c r="S400" t="str">
        <f>VLOOKUP(Продажи[[#This Row],[id клиента]],клиенты!$A$2:$D$435,4,0)</f>
        <v>да</v>
      </c>
      <c r="T400" s="54">
        <f>VLOOKUP(Продажи[[#This Row],[id клиента]],клиенты!$A$2:$I$435,9,0)</f>
        <v>22.078028747433265</v>
      </c>
    </row>
    <row r="401" spans="1:20" x14ac:dyDescent="0.25">
      <c r="A401">
        <v>400</v>
      </c>
      <c r="B401">
        <v>321</v>
      </c>
      <c r="C401">
        <v>61</v>
      </c>
      <c r="D401">
        <v>5</v>
      </c>
      <c r="E401" s="35">
        <v>1525</v>
      </c>
      <c r="F401" s="48">
        <v>45104</v>
      </c>
      <c r="G401" t="s">
        <v>20</v>
      </c>
      <c r="H401">
        <v>375</v>
      </c>
      <c r="I401" t="str">
        <f>VLOOKUP(Продажи[[#This Row],[id товара]],Товары[],2,0)</f>
        <v>Мясо</v>
      </c>
      <c r="J401" s="17">
        <f>AVERAGEIF(Продажи[Категория],Продажи[[#This Row],[Категория]],Продажи[цена за шт в рублях])</f>
        <v>271.74545454545455</v>
      </c>
      <c r="K401" s="16">
        <f>Продажи[[#This Row],[цена за шт в рублях]]/Продажи[[#This Row],[Средняя цена в категории за шт]]-1</f>
        <v>-0.77552522414023817</v>
      </c>
      <c r="L401" t="str">
        <f>VLOOKUP(Продажи[[#This Row],[id товара]],Товары[],3,0)</f>
        <v>Сава</v>
      </c>
      <c r="M401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401" s="16">
        <f>Продажи[[#This Row],[цена за шт в рублях]]/Продажи[[#This Row],[Средняя цена в категории за шт по поставщику]]-1</f>
        <v>-0.71336270190895745</v>
      </c>
      <c r="O401" s="48">
        <f>VLOOKUP(Продажи[[#This Row],[id клиента]],клиенты!$A$2:$E$435,5,0)</f>
        <v>44674</v>
      </c>
      <c r="P401">
        <f>Продажи[[#This Row],[дата создания чека]]-Продажи[[#This Row],[Дата регистрации]]</f>
        <v>430</v>
      </c>
      <c r="Q401" t="str">
        <f>VLOOKUP(Продажи[[#This Row],[id клиента]],клиенты!$A$2:$G$435,7,0)</f>
        <v>Россия</v>
      </c>
      <c r="R401">
        <f>IF(COUNTIF($H$2:H401, H401)=1, 1, 0)</f>
        <v>1</v>
      </c>
      <c r="S401" t="str">
        <f>VLOOKUP(Продажи[[#This Row],[id клиента]],клиенты!$A$2:$D$435,4,0)</f>
        <v>да</v>
      </c>
      <c r="T401" s="54">
        <f>VLOOKUP(Продажи[[#This Row],[id клиента]],клиенты!$A$2:$I$435,9,0)</f>
        <v>14.35728952772074</v>
      </c>
    </row>
    <row r="402" spans="1:20" x14ac:dyDescent="0.25">
      <c r="A402">
        <v>401</v>
      </c>
      <c r="B402">
        <v>50</v>
      </c>
      <c r="C402">
        <v>95</v>
      </c>
      <c r="D402">
        <v>4</v>
      </c>
      <c r="E402" s="35">
        <v>1900</v>
      </c>
      <c r="F402" s="48">
        <v>45069</v>
      </c>
      <c r="G402" t="s">
        <v>20</v>
      </c>
      <c r="H402">
        <v>376</v>
      </c>
      <c r="I402" t="str">
        <f>VLOOKUP(Продажи[[#This Row],[id товара]],Товары[],2,0)</f>
        <v>Сок</v>
      </c>
      <c r="J402" s="17">
        <f>AVERAGEIF(Продажи[Категория],Продажи[[#This Row],[Категория]],Продажи[цена за шт в рублях])</f>
        <v>268.60344827586209</v>
      </c>
      <c r="K402" s="16">
        <f>Продажи[[#This Row],[цена за шт в рублях]]/Продажи[[#This Row],[Средняя цена в категории за шт]]-1</f>
        <v>-0.64631876243661335</v>
      </c>
      <c r="L402" t="str">
        <f>VLOOKUP(Продажи[[#This Row],[id товара]],Товары[],3,0)</f>
        <v>Добрый</v>
      </c>
      <c r="M402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402" s="16">
        <f>Продажи[[#This Row],[цена за шт в рублях]]/Продажи[[#This Row],[Средняя цена в категории за шт по поставщику]]-1</f>
        <v>-0.60876076375889177</v>
      </c>
      <c r="O402" s="48">
        <f>VLOOKUP(Продажи[[#This Row],[id клиента]],клиенты!$A$2:$E$435,5,0)</f>
        <v>44730</v>
      </c>
      <c r="P402">
        <f>Продажи[[#This Row],[дата создания чека]]-Продажи[[#This Row],[Дата регистрации]]</f>
        <v>339</v>
      </c>
      <c r="Q402" t="str">
        <f>VLOOKUP(Продажи[[#This Row],[id клиента]],клиенты!$A$2:$G$435,7,0)</f>
        <v>Беларусь</v>
      </c>
      <c r="R402">
        <f>IF(COUNTIF($H$2:H402, H402)=1, 1, 0)</f>
        <v>0</v>
      </c>
      <c r="S402" t="str">
        <f>VLOOKUP(Продажи[[#This Row],[id клиента]],клиенты!$A$2:$D$435,4,0)</f>
        <v>да</v>
      </c>
      <c r="T402" s="54">
        <f>VLOOKUP(Продажи[[#This Row],[id клиента]],клиенты!$A$2:$I$435,9,0)</f>
        <v>22.406570841889117</v>
      </c>
    </row>
    <row r="403" spans="1:20" x14ac:dyDescent="0.25">
      <c r="A403">
        <v>402</v>
      </c>
      <c r="B403">
        <v>495</v>
      </c>
      <c r="C403">
        <v>469</v>
      </c>
      <c r="D403">
        <v>2</v>
      </c>
      <c r="E403" s="35">
        <v>4690</v>
      </c>
      <c r="F403" s="48">
        <v>45368</v>
      </c>
      <c r="G403" t="s">
        <v>24</v>
      </c>
      <c r="H403">
        <v>233</v>
      </c>
      <c r="I403" t="str">
        <f>VLOOKUP(Продажи[[#This Row],[id товара]],Товары[],2,0)</f>
        <v>Чай</v>
      </c>
      <c r="J403" s="17">
        <f>AVERAGEIF(Продажи[Категория],Продажи[[#This Row],[Категория]],Продажи[цена за шт в рублях])</f>
        <v>271.18181818181819</v>
      </c>
      <c r="K403" s="16">
        <f>Продажи[[#This Row],[цена за шт в рублях]]/Продажи[[#This Row],[Средняя цена в категории за шт]]-1</f>
        <v>0.72946697955078776</v>
      </c>
      <c r="L403" t="str">
        <f>VLOOKUP(Продажи[[#This Row],[id товара]],Товары[],3,0)</f>
        <v>Greenfield</v>
      </c>
      <c r="M403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403" s="16">
        <f>Продажи[[#This Row],[цена за шт в рублях]]/Продажи[[#This Row],[Средняя цена в категории за шт по поставщику]]-1</f>
        <v>0.60917030567685604</v>
      </c>
      <c r="O403" s="48">
        <f>VLOOKUP(Продажи[[#This Row],[id клиента]],клиенты!$A$2:$E$435,5,0)</f>
        <v>44616</v>
      </c>
      <c r="P403">
        <f>Продажи[[#This Row],[дата создания чека]]-Продажи[[#This Row],[Дата регистрации]]</f>
        <v>752</v>
      </c>
      <c r="Q403" t="str">
        <f>VLOOKUP(Продажи[[#This Row],[id клиента]],клиенты!$A$2:$G$435,7,0)</f>
        <v>Таджикистан</v>
      </c>
      <c r="R403">
        <f>IF(COUNTIF($H$2:H403, H403)=1, 1, 0)</f>
        <v>1</v>
      </c>
      <c r="S403" t="str">
        <f>VLOOKUP(Продажи[[#This Row],[id клиента]],клиенты!$A$2:$D$435,4,0)</f>
        <v>да</v>
      </c>
      <c r="T403" s="54">
        <f>VLOOKUP(Продажи[[#This Row],[id клиента]],клиенты!$A$2:$I$435,9,0)</f>
        <v>24.706365503080082</v>
      </c>
    </row>
    <row r="404" spans="1:20" x14ac:dyDescent="0.25">
      <c r="A404">
        <v>403</v>
      </c>
      <c r="B404">
        <v>207</v>
      </c>
      <c r="C404">
        <v>237</v>
      </c>
      <c r="D404">
        <v>2</v>
      </c>
      <c r="E404" s="35">
        <v>2370</v>
      </c>
      <c r="F404" s="48">
        <v>45081</v>
      </c>
      <c r="G404" t="s">
        <v>11</v>
      </c>
      <c r="H404">
        <v>69</v>
      </c>
      <c r="I404" t="str">
        <f>VLOOKUP(Продажи[[#This Row],[id товара]],Товары[],2,0)</f>
        <v>Сахар</v>
      </c>
      <c r="J404" s="17">
        <f>AVERAGEIF(Продажи[Категория],Продажи[[#This Row],[Категория]],Продажи[цена за шт в рублях])</f>
        <v>252.76271186440678</v>
      </c>
      <c r="K404" s="16">
        <f>Продажи[[#This Row],[цена за шт в рублях]]/Продажи[[#This Row],[Средняя цена в категории за шт]]-1</f>
        <v>-6.2361697847515551E-2</v>
      </c>
      <c r="L404" t="str">
        <f>VLOOKUP(Продажи[[#This Row],[id товара]],Товары[],3,0)</f>
        <v>Агросахар</v>
      </c>
      <c r="M404" s="32">
        <f>AVERAGEIFS(Продажи[цена за шт в рублях],Продажи[Категория],Продажи[[#This Row],[Категория]],Продажи[Поставщик],Продажи[[#This Row],[Поставщик]])</f>
        <v>215.85714285714286</v>
      </c>
      <c r="N404" s="16">
        <f>Продажи[[#This Row],[цена за шт в рублях]]/Продажи[[#This Row],[Средняя цена в категории за шт по поставщику]]-1</f>
        <v>9.7948378557246807E-2</v>
      </c>
      <c r="O404" s="48">
        <f>VLOOKUP(Продажи[[#This Row],[id клиента]],клиенты!$A$2:$E$435,5,0)</f>
        <v>44587</v>
      </c>
      <c r="P404">
        <f>Продажи[[#This Row],[дата создания чека]]-Продажи[[#This Row],[Дата регистрации]]</f>
        <v>494</v>
      </c>
      <c r="Q404" t="str">
        <f>VLOOKUP(Продажи[[#This Row],[id клиента]],клиенты!$A$2:$G$435,7,0)</f>
        <v>Таджикистан</v>
      </c>
      <c r="R404">
        <f>IF(COUNTIF($H$2:H404, H404)=1, 1, 0)</f>
        <v>1</v>
      </c>
      <c r="S404" t="str">
        <f>VLOOKUP(Продажи[[#This Row],[id клиента]],клиенты!$A$2:$D$435,4,0)</f>
        <v>нет</v>
      </c>
      <c r="T404" s="54">
        <f>VLOOKUP(Продажи[[#This Row],[id клиента]],клиенты!$A$2:$I$435,9,0)</f>
        <v>21.979466119096511</v>
      </c>
    </row>
    <row r="405" spans="1:20" x14ac:dyDescent="0.25">
      <c r="A405">
        <v>404</v>
      </c>
      <c r="B405">
        <v>145</v>
      </c>
      <c r="C405">
        <v>356</v>
      </c>
      <c r="D405">
        <v>3</v>
      </c>
      <c r="E405" s="35">
        <v>5340</v>
      </c>
      <c r="F405" s="48">
        <v>44928</v>
      </c>
      <c r="G405" t="s">
        <v>8</v>
      </c>
      <c r="H405">
        <v>254</v>
      </c>
      <c r="I405" t="str">
        <f>VLOOKUP(Продажи[[#This Row],[id товара]],Товары[],2,0)</f>
        <v>Овощи</v>
      </c>
      <c r="J405" s="17">
        <f>AVERAGEIF(Продажи[Категория],Продажи[[#This Row],[Категория]],Продажи[цена за шт в рублях])</f>
        <v>250.48780487804879</v>
      </c>
      <c r="K405" s="16">
        <f>Продажи[[#This Row],[цена за шт в рублях]]/Продажи[[#This Row],[Средняя цена в категории за шт]]-1</f>
        <v>0.42122687439143136</v>
      </c>
      <c r="L405" t="str">
        <f>VLOOKUP(Продажи[[#This Row],[id товара]],Товары[],3,0)</f>
        <v>Семко</v>
      </c>
      <c r="M405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405" s="16">
        <f>Продажи[[#This Row],[цена за шт в рублях]]/Продажи[[#This Row],[Средняя цена в категории за шт по поставщику]]-1</f>
        <v>0.71153846153846145</v>
      </c>
      <c r="O405" s="48">
        <f>VLOOKUP(Продажи[[#This Row],[id клиента]],клиенты!$A$2:$E$435,5,0)</f>
        <v>44862</v>
      </c>
      <c r="P405">
        <f>Продажи[[#This Row],[дата создания чека]]-Продажи[[#This Row],[Дата регистрации]]</f>
        <v>66</v>
      </c>
      <c r="Q405" t="str">
        <f>VLOOKUP(Продажи[[#This Row],[id клиента]],клиенты!$A$2:$G$435,7,0)</f>
        <v>Беларусь</v>
      </c>
      <c r="R405">
        <f>IF(COUNTIF($H$2:H405, H405)=1, 1, 0)</f>
        <v>1</v>
      </c>
      <c r="S405" t="str">
        <f>VLOOKUP(Продажи[[#This Row],[id клиента]],клиенты!$A$2:$D$435,4,0)</f>
        <v>да</v>
      </c>
      <c r="T405" s="54">
        <f>VLOOKUP(Продажи[[#This Row],[id клиента]],клиенты!$A$2:$I$435,9,0)</f>
        <v>10.973305954825461</v>
      </c>
    </row>
    <row r="406" spans="1:20" x14ac:dyDescent="0.25">
      <c r="A406">
        <v>405</v>
      </c>
      <c r="B406">
        <v>249</v>
      </c>
      <c r="C406">
        <v>275</v>
      </c>
      <c r="D406">
        <v>3</v>
      </c>
      <c r="E406" s="35">
        <v>4125</v>
      </c>
      <c r="F406" s="48">
        <v>45039</v>
      </c>
      <c r="G406" t="s">
        <v>23</v>
      </c>
      <c r="H406">
        <v>219</v>
      </c>
      <c r="I406" t="str">
        <f>VLOOKUP(Продажи[[#This Row],[id товара]],Товары[],2,0)</f>
        <v>Чай</v>
      </c>
      <c r="J406" s="17">
        <f>AVERAGEIF(Продажи[Категория],Продажи[[#This Row],[Категория]],Продажи[цена за шт в рублях])</f>
        <v>271.18181818181819</v>
      </c>
      <c r="K406" s="16">
        <f>Продажи[[#This Row],[цена за шт в рублях]]/Продажи[[#This Row],[Средняя цена в категории за шт]]-1</f>
        <v>1.4079785450888282E-2</v>
      </c>
      <c r="L406" t="str">
        <f>VLOOKUP(Продажи[[#This Row],[id товара]],Товары[],3,0)</f>
        <v>Lipton</v>
      </c>
      <c r="M406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406" s="16">
        <f>Продажи[[#This Row],[цена за шт в рублях]]/Продажи[[#This Row],[Средняя цена в категории за шт по поставщику]]-1</f>
        <v>5.7050374266639725E-2</v>
      </c>
      <c r="O406" s="48">
        <f>VLOOKUP(Продажи[[#This Row],[id клиента]],клиенты!$A$2:$E$435,5,0)</f>
        <v>44585</v>
      </c>
      <c r="P406">
        <f>Продажи[[#This Row],[дата создания чека]]-Продажи[[#This Row],[Дата регистрации]]</f>
        <v>454</v>
      </c>
      <c r="Q406" t="str">
        <f>VLOOKUP(Продажи[[#This Row],[id клиента]],клиенты!$A$2:$G$435,7,0)</f>
        <v>Таджикистан</v>
      </c>
      <c r="R406">
        <f>IF(COUNTIF($H$2:H406, H406)=1, 1, 0)</f>
        <v>1</v>
      </c>
      <c r="S406" t="str">
        <f>VLOOKUP(Продажи[[#This Row],[id клиента]],клиенты!$A$2:$D$435,4,0)</f>
        <v>да</v>
      </c>
      <c r="T406" s="54">
        <f>VLOOKUP(Продажи[[#This Row],[id клиента]],клиенты!$A$2:$I$435,9,0)</f>
        <v>24.542094455852155</v>
      </c>
    </row>
    <row r="407" spans="1:20" x14ac:dyDescent="0.25">
      <c r="A407">
        <v>406</v>
      </c>
      <c r="B407">
        <v>377</v>
      </c>
      <c r="C407">
        <v>129</v>
      </c>
      <c r="D407">
        <v>1</v>
      </c>
      <c r="E407" s="35">
        <v>645</v>
      </c>
      <c r="F407" s="48">
        <v>45231</v>
      </c>
      <c r="G407" t="s">
        <v>12</v>
      </c>
      <c r="H407">
        <v>456</v>
      </c>
      <c r="I407" t="str">
        <f>VLOOKUP(Продажи[[#This Row],[id товара]],Товары[],2,0)</f>
        <v>Колбаса</v>
      </c>
      <c r="J407" s="17">
        <f>AVERAGEIF(Продажи[Категория],Продажи[[#This Row],[Категория]],Продажи[цена за шт в рублях])</f>
        <v>286.92307692307691</v>
      </c>
      <c r="K407" s="16">
        <f>Продажи[[#This Row],[цена за шт в рублях]]/Продажи[[#This Row],[Средняя цена в категории за шт]]-1</f>
        <v>-0.55040214477211791</v>
      </c>
      <c r="L407" t="str">
        <f>VLOOKUP(Продажи[[#This Row],[id товара]],Товары[],3,0)</f>
        <v>Окраина</v>
      </c>
      <c r="M407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407" s="16">
        <f>Продажи[[#This Row],[цена за шт в рублях]]/Продажи[[#This Row],[Средняя цена в категории за шт по поставщику]]-1</f>
        <v>-0.52848004873591226</v>
      </c>
      <c r="O407" s="48">
        <f>VLOOKUP(Продажи[[#This Row],[id клиента]],клиенты!$A$2:$E$435,5,0)</f>
        <v>44618</v>
      </c>
      <c r="P407">
        <f>Продажи[[#This Row],[дата создания чека]]-Продажи[[#This Row],[Дата регистрации]]</f>
        <v>613</v>
      </c>
      <c r="Q407" t="str">
        <f>VLOOKUP(Продажи[[#This Row],[id клиента]],клиенты!$A$2:$G$435,7,0)</f>
        <v>Россия</v>
      </c>
      <c r="R407">
        <f>IF(COUNTIF($H$2:H407, H407)=1, 1, 0)</f>
        <v>0</v>
      </c>
      <c r="S407" t="str">
        <f>VLOOKUP(Продажи[[#This Row],[id клиента]],клиенты!$A$2:$D$435,4,0)</f>
        <v>да</v>
      </c>
      <c r="T407" s="54">
        <f>VLOOKUP(Продажи[[#This Row],[id клиента]],клиенты!$A$2:$I$435,9,0)</f>
        <v>20.139630390143736</v>
      </c>
    </row>
    <row r="408" spans="1:20" x14ac:dyDescent="0.25">
      <c r="A408">
        <v>407</v>
      </c>
      <c r="B408">
        <v>427</v>
      </c>
      <c r="C408">
        <v>499</v>
      </c>
      <c r="D408">
        <v>4</v>
      </c>
      <c r="E408" s="35">
        <v>9980</v>
      </c>
      <c r="F408" s="48">
        <v>45368</v>
      </c>
      <c r="G408" t="s">
        <v>23</v>
      </c>
      <c r="H408">
        <v>283</v>
      </c>
      <c r="I408" t="str">
        <f>VLOOKUP(Продажи[[#This Row],[id товара]],Товары[],2,0)</f>
        <v>Хлеб</v>
      </c>
      <c r="J408" s="17">
        <f>AVERAGEIF(Продажи[Категория],Продажи[[#This Row],[Категория]],Продажи[цена за шт в рублях])</f>
        <v>300.31818181818181</v>
      </c>
      <c r="K408" s="16">
        <f>Продажи[[#This Row],[цена за шт в рублях]]/Продажи[[#This Row],[Средняя цена в категории за шт]]-1</f>
        <v>0.66157106099591356</v>
      </c>
      <c r="L408" t="str">
        <f>VLOOKUP(Продажи[[#This Row],[id товара]],Товары[],3,0)</f>
        <v>Русский Хлеб</v>
      </c>
      <c r="M408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408" s="16">
        <f>Продажи[[#This Row],[цена за шт в рублях]]/Продажи[[#This Row],[Средняя цена в категории за шт по поставщику]]-1</f>
        <v>0.57612128869235613</v>
      </c>
      <c r="O408" s="48">
        <f>VLOOKUP(Продажи[[#This Row],[id клиента]],клиенты!$A$2:$E$435,5,0)</f>
        <v>44889</v>
      </c>
      <c r="P408">
        <f>Продажи[[#This Row],[дата создания чека]]-Продажи[[#This Row],[Дата регистрации]]</f>
        <v>479</v>
      </c>
      <c r="Q408" t="str">
        <f>VLOOKUP(Продажи[[#This Row],[id клиента]],клиенты!$A$2:$G$435,7,0)</f>
        <v>Таджикистан</v>
      </c>
      <c r="R408">
        <f>IF(COUNTIF($H$2:H408, H408)=1, 1, 0)</f>
        <v>0</v>
      </c>
      <c r="S408" t="str">
        <f>VLOOKUP(Продажи[[#This Row],[id клиента]],клиенты!$A$2:$D$435,4,0)</f>
        <v>нет</v>
      </c>
      <c r="T408" s="54">
        <f>VLOOKUP(Продажи[[#This Row],[id клиента]],клиенты!$A$2:$I$435,9,0)</f>
        <v>15.737166324435318</v>
      </c>
    </row>
    <row r="409" spans="1:20" x14ac:dyDescent="0.25">
      <c r="A409">
        <v>408</v>
      </c>
      <c r="B409">
        <v>445</v>
      </c>
      <c r="C409">
        <v>164</v>
      </c>
      <c r="D409">
        <v>2</v>
      </c>
      <c r="E409" s="35">
        <v>1640</v>
      </c>
      <c r="F409" s="48">
        <v>45258</v>
      </c>
      <c r="G409" t="s">
        <v>15</v>
      </c>
      <c r="H409">
        <v>232</v>
      </c>
      <c r="I409" t="str">
        <f>VLOOKUP(Продажи[[#This Row],[id товара]],Товары[],2,0)</f>
        <v>Сахар</v>
      </c>
      <c r="J409" s="17">
        <f>AVERAGEIF(Продажи[Категория],Продажи[[#This Row],[Категория]],Продажи[цена за шт в рублях])</f>
        <v>252.76271186440678</v>
      </c>
      <c r="K409" s="16">
        <f>Продажи[[#This Row],[цена за шт в рублях]]/Продажи[[#This Row],[Средняя цена в категории за шт]]-1</f>
        <v>-0.35117012002950443</v>
      </c>
      <c r="L409" t="str">
        <f>VLOOKUP(Продажи[[#This Row],[id товара]],Товары[],3,0)</f>
        <v>Сладов</v>
      </c>
      <c r="M409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409" s="16">
        <f>Продажи[[#This Row],[цена за шт в рублях]]/Продажи[[#This Row],[Средняя цена в категории за шт по поставщику]]-1</f>
        <v>-0.31742508324084351</v>
      </c>
      <c r="O409" s="48">
        <f>VLOOKUP(Продажи[[#This Row],[id клиента]],клиенты!$A$2:$E$435,5,0)</f>
        <v>44923</v>
      </c>
      <c r="P409">
        <f>Продажи[[#This Row],[дата создания чека]]-Продажи[[#This Row],[Дата регистрации]]</f>
        <v>335</v>
      </c>
      <c r="Q409" t="str">
        <f>VLOOKUP(Продажи[[#This Row],[id клиента]],клиенты!$A$2:$G$435,7,0)</f>
        <v>Таджикистан</v>
      </c>
      <c r="R409">
        <f>IF(COUNTIF($H$2:H409, H409)=1, 1, 0)</f>
        <v>1</v>
      </c>
      <c r="S409" t="str">
        <f>VLOOKUP(Продажи[[#This Row],[id клиента]],клиенты!$A$2:$D$435,4,0)</f>
        <v>да</v>
      </c>
      <c r="T409" s="54">
        <f>VLOOKUP(Продажи[[#This Row],[id клиента]],клиенты!$A$2:$I$435,9,0)</f>
        <v>11.006160164271048</v>
      </c>
    </row>
    <row r="410" spans="1:20" x14ac:dyDescent="0.25">
      <c r="A410">
        <v>409</v>
      </c>
      <c r="B410">
        <v>336</v>
      </c>
      <c r="C410">
        <v>265</v>
      </c>
      <c r="D410">
        <v>3</v>
      </c>
      <c r="E410" s="35">
        <v>3975</v>
      </c>
      <c r="F410" s="48">
        <v>45124</v>
      </c>
      <c r="G410" t="s">
        <v>9</v>
      </c>
      <c r="H410">
        <v>434</v>
      </c>
      <c r="I410" t="str">
        <f>VLOOKUP(Продажи[[#This Row],[id товара]],Товары[],2,0)</f>
        <v>Чипсы</v>
      </c>
      <c r="J410" s="17">
        <f>AVERAGEIF(Продажи[Категория],Продажи[[#This Row],[Категория]],Продажи[цена за шт в рублях])</f>
        <v>273.72549019607845</v>
      </c>
      <c r="K410" s="16">
        <f>Продажи[[#This Row],[цена за шт в рублях]]/Продажи[[#This Row],[Средняя цена в категории за шт]]-1</f>
        <v>-3.1876790830945634E-2</v>
      </c>
      <c r="L410" t="str">
        <f>VLOOKUP(Продажи[[#This Row],[id товара]],Товары[],3,0)</f>
        <v>Estrella</v>
      </c>
      <c r="M410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410" s="16">
        <f>Продажи[[#This Row],[цена за шт в рублях]]/Продажи[[#This Row],[Средняя цена в категории за шт по поставщику]]-1</f>
        <v>-4.7797883236598837E-3</v>
      </c>
      <c r="O410" s="48">
        <f>VLOOKUP(Продажи[[#This Row],[id клиента]],клиенты!$A$2:$E$435,5,0)</f>
        <v>44730</v>
      </c>
      <c r="P410">
        <f>Продажи[[#This Row],[дата создания чека]]-Продажи[[#This Row],[Дата регистрации]]</f>
        <v>394</v>
      </c>
      <c r="Q410" t="str">
        <f>VLOOKUP(Продажи[[#This Row],[id клиента]],клиенты!$A$2:$G$435,7,0)</f>
        <v>Украина</v>
      </c>
      <c r="R410">
        <f>IF(COUNTIF($H$2:H410, H410)=1, 1, 0)</f>
        <v>0</v>
      </c>
      <c r="S410" t="str">
        <f>VLOOKUP(Продажи[[#This Row],[id клиента]],клиенты!$A$2:$D$435,4,0)</f>
        <v>нет</v>
      </c>
      <c r="T410" s="54">
        <f>VLOOKUP(Продажи[[#This Row],[id клиента]],клиенты!$A$2:$I$435,9,0)</f>
        <v>22.406570841889117</v>
      </c>
    </row>
    <row r="411" spans="1:20" x14ac:dyDescent="0.25">
      <c r="A411">
        <v>410</v>
      </c>
      <c r="B411">
        <v>96</v>
      </c>
      <c r="C411">
        <v>386</v>
      </c>
      <c r="D411">
        <v>4</v>
      </c>
      <c r="E411" s="35">
        <v>7720</v>
      </c>
      <c r="F411" s="48">
        <v>45145</v>
      </c>
      <c r="G411" t="s">
        <v>17</v>
      </c>
      <c r="H411">
        <v>252</v>
      </c>
      <c r="I411" t="str">
        <f>VLOOKUP(Продажи[[#This Row],[id товара]],Товары[],2,0)</f>
        <v>Соль</v>
      </c>
      <c r="J411" s="17">
        <f>AVERAGEIF(Продажи[Категория],Продажи[[#This Row],[Категория]],Продажи[цена за шт в рублях])</f>
        <v>264.8679245283019</v>
      </c>
      <c r="K411" s="16">
        <f>Продажи[[#This Row],[цена за шт в рублях]]/Продажи[[#This Row],[Средняя цена в категории за шт]]-1</f>
        <v>0.45733010400341922</v>
      </c>
      <c r="L411" t="str">
        <f>VLOOKUP(Продажи[[#This Row],[id товара]],Товары[],3,0)</f>
        <v>Салта</v>
      </c>
      <c r="M411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411" s="16">
        <f>Продажи[[#This Row],[цена за шт в рублях]]/Продажи[[#This Row],[Средняя цена в категории за шт по поставщику]]-1</f>
        <v>0.41030325173547677</v>
      </c>
      <c r="O411" s="48">
        <f>VLOOKUP(Продажи[[#This Row],[id клиента]],клиенты!$A$2:$E$435,5,0)</f>
        <v>44643</v>
      </c>
      <c r="P411">
        <f>Продажи[[#This Row],[дата создания чека]]-Продажи[[#This Row],[Дата регистрации]]</f>
        <v>502</v>
      </c>
      <c r="Q411" t="str">
        <f>VLOOKUP(Продажи[[#This Row],[id клиента]],клиенты!$A$2:$G$435,7,0)</f>
        <v>Россия</v>
      </c>
      <c r="R411">
        <f>IF(COUNTIF($H$2:H411, H411)=1, 1, 0)</f>
        <v>0</v>
      </c>
      <c r="S411" t="str">
        <f>VLOOKUP(Продажи[[#This Row],[id клиента]],клиенты!$A$2:$D$435,4,0)</f>
        <v>нет</v>
      </c>
      <c r="T411" s="54">
        <f>VLOOKUP(Продажи[[#This Row],[id клиента]],клиенты!$A$2:$I$435,9,0)</f>
        <v>23.687885010266939</v>
      </c>
    </row>
    <row r="412" spans="1:20" x14ac:dyDescent="0.25">
      <c r="A412">
        <v>411</v>
      </c>
      <c r="B412">
        <v>117</v>
      </c>
      <c r="C412">
        <v>288</v>
      </c>
      <c r="D412">
        <v>5</v>
      </c>
      <c r="E412" s="35">
        <v>7200</v>
      </c>
      <c r="F412" s="48">
        <v>45348</v>
      </c>
      <c r="G412" t="s">
        <v>19</v>
      </c>
      <c r="H412">
        <v>372</v>
      </c>
      <c r="I412" t="str">
        <f>VLOOKUP(Продажи[[#This Row],[id товара]],Товары[],2,0)</f>
        <v>Макароны</v>
      </c>
      <c r="J412" s="17">
        <f>AVERAGEIF(Продажи[Категория],Продажи[[#This Row],[Категория]],Продажи[цена за шт в рублях])</f>
        <v>265.47674418604652</v>
      </c>
      <c r="K412" s="16">
        <f>Продажи[[#This Row],[цена за шт в рублях]]/Продажи[[#This Row],[Средняя цена в категории за шт]]-1</f>
        <v>8.4840786649730715E-2</v>
      </c>
      <c r="L412" t="str">
        <f>VLOOKUP(Продажи[[#This Row],[id товара]],Товары[],3,0)</f>
        <v>Роллтон</v>
      </c>
      <c r="M412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412" s="16">
        <f>Продажи[[#This Row],[цена за шт в рублях]]/Продажи[[#This Row],[Средняя цена в категории за шт по поставщику]]-1</f>
        <v>0.22264150943396244</v>
      </c>
      <c r="O412" s="48">
        <f>VLOOKUP(Продажи[[#This Row],[id клиента]],клиенты!$A$2:$E$435,5,0)</f>
        <v>44772</v>
      </c>
      <c r="P412">
        <f>Продажи[[#This Row],[дата создания чека]]-Продажи[[#This Row],[Дата регистрации]]</f>
        <v>576</v>
      </c>
      <c r="Q412" t="str">
        <f>VLOOKUP(Продажи[[#This Row],[id клиента]],клиенты!$A$2:$G$435,7,0)</f>
        <v>Таджикистан</v>
      </c>
      <c r="R412">
        <f>IF(COUNTIF($H$2:H412, H412)=1, 1, 0)</f>
        <v>1</v>
      </c>
      <c r="S412" t="str">
        <f>VLOOKUP(Продажи[[#This Row],[id клиента]],клиенты!$A$2:$D$435,4,0)</f>
        <v>нет</v>
      </c>
      <c r="T412" s="54">
        <f>VLOOKUP(Продажи[[#This Row],[id клиента]],клиенты!$A$2:$I$435,9,0)</f>
        <v>18.924024640657084</v>
      </c>
    </row>
    <row r="413" spans="1:20" x14ac:dyDescent="0.25">
      <c r="A413">
        <v>412</v>
      </c>
      <c r="B413">
        <v>440</v>
      </c>
      <c r="C413">
        <v>201</v>
      </c>
      <c r="D413">
        <v>5</v>
      </c>
      <c r="E413" s="35">
        <v>5025</v>
      </c>
      <c r="F413" s="48">
        <v>45233</v>
      </c>
      <c r="G413" t="s">
        <v>22</v>
      </c>
      <c r="H413">
        <v>432</v>
      </c>
      <c r="I413" t="str">
        <f>VLOOKUP(Продажи[[#This Row],[id товара]],Товары[],2,0)</f>
        <v>Фрукты</v>
      </c>
      <c r="J413" s="17">
        <f>AVERAGEIF(Продажи[Категория],Продажи[[#This Row],[Категория]],Продажи[цена за шт в рублях])</f>
        <v>274.16279069767444</v>
      </c>
      <c r="K413" s="16">
        <f>Продажи[[#This Row],[цена за шт в рублях]]/Продажи[[#This Row],[Средняя цена в категории за шт]]-1</f>
        <v>-0.26685893629654767</v>
      </c>
      <c r="L413" t="str">
        <f>VLOOKUP(Продажи[[#This Row],[id товара]],Товары[],3,0)</f>
        <v>Фруктовый Рай</v>
      </c>
      <c r="M413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413" s="16">
        <f>Продажи[[#This Row],[цена за шт в рублях]]/Продажи[[#This Row],[Средняя цена в категории за шт по поставщику]]-1</f>
        <v>-0.221858248957713</v>
      </c>
      <c r="O413" s="48">
        <f>VLOOKUP(Продажи[[#This Row],[id клиента]],клиенты!$A$2:$E$435,5,0)</f>
        <v>44718</v>
      </c>
      <c r="P413">
        <f>Продажи[[#This Row],[дата создания чека]]-Продажи[[#This Row],[Дата регистрации]]</f>
        <v>515</v>
      </c>
      <c r="Q413" t="str">
        <f>VLOOKUP(Продажи[[#This Row],[id клиента]],клиенты!$A$2:$G$435,7,0)</f>
        <v>Таджикистан</v>
      </c>
      <c r="R413">
        <f>IF(COUNTIF($H$2:H413, H413)=1, 1, 0)</f>
        <v>1</v>
      </c>
      <c r="S413" t="str">
        <f>VLOOKUP(Продажи[[#This Row],[id клиента]],клиенты!$A$2:$D$435,4,0)</f>
        <v>нет</v>
      </c>
      <c r="T413" s="54">
        <f>VLOOKUP(Продажи[[#This Row],[id клиента]],клиенты!$A$2:$I$435,9,0)</f>
        <v>16.919917864476385</v>
      </c>
    </row>
    <row r="414" spans="1:20" x14ac:dyDescent="0.25">
      <c r="A414">
        <v>413</v>
      </c>
      <c r="B414">
        <v>51</v>
      </c>
      <c r="C414">
        <v>271</v>
      </c>
      <c r="D414">
        <v>4</v>
      </c>
      <c r="E414" s="35">
        <v>5420</v>
      </c>
      <c r="F414" s="48">
        <v>45205</v>
      </c>
      <c r="G414" t="s">
        <v>15</v>
      </c>
      <c r="H414">
        <v>221</v>
      </c>
      <c r="I414" t="str">
        <f>VLOOKUP(Продажи[[#This Row],[id товара]],Товары[],2,0)</f>
        <v>Колбаса</v>
      </c>
      <c r="J414" s="17">
        <f>AVERAGEIF(Продажи[Категория],Продажи[[#This Row],[Категория]],Продажи[цена за шт в рублях])</f>
        <v>286.92307692307691</v>
      </c>
      <c r="K414" s="16">
        <f>Продажи[[#This Row],[цена за шт в рублях]]/Продажи[[#This Row],[Средняя цена в категории за шт]]-1</f>
        <v>-5.5495978552278724E-2</v>
      </c>
      <c r="L414" t="str">
        <f>VLOOKUP(Продажи[[#This Row],[id товара]],Товары[],3,0)</f>
        <v>Дымов</v>
      </c>
      <c r="M414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414" s="16">
        <f>Продажи[[#This Row],[цена за шт в рублях]]/Продажи[[#This Row],[Средняя цена в категории за шт по поставщику]]-1</f>
        <v>-0.13326226012793185</v>
      </c>
      <c r="O414" s="48">
        <f>VLOOKUP(Продажи[[#This Row],[id клиента]],клиенты!$A$2:$E$435,5,0)</f>
        <v>44820</v>
      </c>
      <c r="P414">
        <f>Продажи[[#This Row],[дата создания чека]]-Продажи[[#This Row],[Дата регистрации]]</f>
        <v>385</v>
      </c>
      <c r="Q414" t="str">
        <f>VLOOKUP(Продажи[[#This Row],[id клиента]],клиенты!$A$2:$G$435,7,0)</f>
        <v>Таджикистан</v>
      </c>
      <c r="R414">
        <f>IF(COUNTIF($H$2:H414, H414)=1, 1, 0)</f>
        <v>1</v>
      </c>
      <c r="S414" t="str">
        <f>VLOOKUP(Продажи[[#This Row],[id клиента]],клиенты!$A$2:$D$435,4,0)</f>
        <v>да</v>
      </c>
      <c r="T414" s="54">
        <f>VLOOKUP(Продажи[[#This Row],[id клиента]],клиенты!$A$2:$I$435,9,0)</f>
        <v>18.036960985626283</v>
      </c>
    </row>
    <row r="415" spans="1:20" x14ac:dyDescent="0.25">
      <c r="A415">
        <v>414</v>
      </c>
      <c r="B415">
        <v>398</v>
      </c>
      <c r="C415">
        <v>419</v>
      </c>
      <c r="D415">
        <v>2</v>
      </c>
      <c r="E415" s="35">
        <v>4190</v>
      </c>
      <c r="F415" s="48">
        <v>45335</v>
      </c>
      <c r="G415" t="s">
        <v>24</v>
      </c>
      <c r="H415">
        <v>164</v>
      </c>
      <c r="I415" t="str">
        <f>VLOOKUP(Продажи[[#This Row],[id товара]],Товары[],2,0)</f>
        <v>Сок</v>
      </c>
      <c r="J415" s="17">
        <f>AVERAGEIF(Продажи[Категория],Продажи[[#This Row],[Категория]],Продажи[цена за шт в рублях])</f>
        <v>268.60344827586209</v>
      </c>
      <c r="K415" s="16">
        <f>Продажи[[#This Row],[цена за шт в рублях]]/Продажи[[#This Row],[Средняя цена в категории за шт]]-1</f>
        <v>0.55992040567430501</v>
      </c>
      <c r="L415" t="str">
        <f>VLOOKUP(Продажи[[#This Row],[id товара]],Товары[],3,0)</f>
        <v>Фруктовый сад</v>
      </c>
      <c r="M41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415" s="16">
        <f>Продажи[[#This Row],[цена за шт в рублях]]/Продажи[[#This Row],[Средняя цена в категории за шт по поставщику]]-1</f>
        <v>0.48598027263659538</v>
      </c>
      <c r="O415" s="48">
        <f>VLOOKUP(Продажи[[#This Row],[id клиента]],клиенты!$A$2:$E$435,5,0)</f>
        <v>44678</v>
      </c>
      <c r="P415">
        <f>Продажи[[#This Row],[дата создания чека]]-Продажи[[#This Row],[Дата регистрации]]</f>
        <v>657</v>
      </c>
      <c r="Q415" t="str">
        <f>VLOOKUP(Продажи[[#This Row],[id клиента]],клиенты!$A$2:$G$435,7,0)</f>
        <v>Россия</v>
      </c>
      <c r="R415">
        <f>IF(COUNTIF($H$2:H415, H415)=1, 1, 0)</f>
        <v>0</v>
      </c>
      <c r="S415" t="str">
        <f>VLOOKUP(Продажи[[#This Row],[id клиента]],клиенты!$A$2:$D$435,4,0)</f>
        <v>нет</v>
      </c>
      <c r="T415" s="54">
        <f>VLOOKUP(Продажи[[#This Row],[id клиента]],клиенты!$A$2:$I$435,9,0)</f>
        <v>21.585215605749486</v>
      </c>
    </row>
    <row r="416" spans="1:20" x14ac:dyDescent="0.25">
      <c r="A416">
        <v>415</v>
      </c>
      <c r="B416">
        <v>443</v>
      </c>
      <c r="C416">
        <v>192</v>
      </c>
      <c r="D416">
        <v>5</v>
      </c>
      <c r="E416" s="35">
        <v>4800</v>
      </c>
      <c r="F416" s="48">
        <v>45241</v>
      </c>
      <c r="G416" t="s">
        <v>22</v>
      </c>
      <c r="H416">
        <v>413</v>
      </c>
      <c r="I416" t="str">
        <f>VLOOKUP(Продажи[[#This Row],[id товара]],Товары[],2,0)</f>
        <v>Кофе</v>
      </c>
      <c r="J416" s="17">
        <f>AVERAGEIF(Продажи[Категория],Продажи[[#This Row],[Категория]],Продажи[цена за шт в рублях])</f>
        <v>249.02380952380952</v>
      </c>
      <c r="K416" s="16">
        <f>Продажи[[#This Row],[цена за шт в рублях]]/Продажи[[#This Row],[Средняя цена в категории за шт]]-1</f>
        <v>-0.22898938713070083</v>
      </c>
      <c r="L416" t="str">
        <f>VLOOKUP(Продажи[[#This Row],[id товара]],Товары[],3,0)</f>
        <v>Jacobs</v>
      </c>
      <c r="M416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416" s="16">
        <f>Продажи[[#This Row],[цена за шт в рублях]]/Продажи[[#This Row],[Средняя цена в категории за шт по поставщику]]-1</f>
        <v>-0.30487804878048785</v>
      </c>
      <c r="O416" s="48">
        <f>VLOOKUP(Продажи[[#This Row],[id клиента]],клиенты!$A$2:$E$435,5,0)</f>
        <v>44699</v>
      </c>
      <c r="P416">
        <f>Продажи[[#This Row],[дата создания чека]]-Продажи[[#This Row],[Дата регистрации]]</f>
        <v>542</v>
      </c>
      <c r="Q416" t="str">
        <f>VLOOKUP(Продажи[[#This Row],[id клиента]],клиенты!$A$2:$G$435,7,0)</f>
        <v>Россия</v>
      </c>
      <c r="R416">
        <f>IF(COUNTIF($H$2:H416, H416)=1, 1, 0)</f>
        <v>0</v>
      </c>
      <c r="S416" t="str">
        <f>VLOOKUP(Продажи[[#This Row],[id клиента]],клиенты!$A$2:$D$435,4,0)</f>
        <v>нет</v>
      </c>
      <c r="T416" s="54">
        <f>VLOOKUP(Продажи[[#This Row],[id клиента]],клиенты!$A$2:$I$435,9,0)</f>
        <v>17.806981519507186</v>
      </c>
    </row>
    <row r="417" spans="1:20" x14ac:dyDescent="0.25">
      <c r="A417">
        <v>416</v>
      </c>
      <c r="B417">
        <v>118</v>
      </c>
      <c r="C417">
        <v>193</v>
      </c>
      <c r="D417">
        <v>2</v>
      </c>
      <c r="E417" s="35">
        <v>1930</v>
      </c>
      <c r="F417" s="48">
        <v>45356</v>
      </c>
      <c r="G417" t="s">
        <v>11</v>
      </c>
      <c r="H417">
        <v>148</v>
      </c>
      <c r="I417" t="str">
        <f>VLOOKUP(Продажи[[#This Row],[id товара]],Товары[],2,0)</f>
        <v>Сахар</v>
      </c>
      <c r="J417" s="17">
        <f>AVERAGEIF(Продажи[Категория],Продажи[[#This Row],[Категория]],Продажи[цена за шт в рублях])</f>
        <v>252.76271186440678</v>
      </c>
      <c r="K417" s="16">
        <f>Продажи[[#This Row],[цена за шт в рублях]]/Продажи[[#This Row],[Средняя цена в категории за шт]]-1</f>
        <v>-0.23643800710789242</v>
      </c>
      <c r="L417" t="str">
        <f>VLOOKUP(Продажи[[#This Row],[id товара]],Товары[],3,0)</f>
        <v>Продимекс</v>
      </c>
      <c r="M417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417" s="16">
        <f>Продажи[[#This Row],[цена за шт в рублях]]/Продажи[[#This Row],[Средняя цена в категории за шт по поставщику]]-1</f>
        <v>-0.19750519750519746</v>
      </c>
      <c r="O417" s="48">
        <f>VLOOKUP(Продажи[[#This Row],[id клиента]],клиенты!$A$2:$E$435,5,0)</f>
        <v>44700</v>
      </c>
      <c r="P417">
        <f>Продажи[[#This Row],[дата создания чека]]-Продажи[[#This Row],[Дата регистрации]]</f>
        <v>656</v>
      </c>
      <c r="Q417" t="str">
        <f>VLOOKUP(Продажи[[#This Row],[id клиента]],клиенты!$A$2:$G$435,7,0)</f>
        <v>Россия</v>
      </c>
      <c r="R417">
        <f>IF(COUNTIF($H$2:H417, H417)=1, 1, 0)</f>
        <v>1</v>
      </c>
      <c r="S417" t="str">
        <f>VLOOKUP(Продажи[[#This Row],[id клиента]],клиенты!$A$2:$D$435,4,0)</f>
        <v>да</v>
      </c>
      <c r="T417" s="54">
        <f>VLOOKUP(Продажи[[#This Row],[id клиента]],клиенты!$A$2:$I$435,9,0)</f>
        <v>22.373716632443532</v>
      </c>
    </row>
    <row r="418" spans="1:20" x14ac:dyDescent="0.25">
      <c r="A418">
        <v>417</v>
      </c>
      <c r="B418">
        <v>371</v>
      </c>
      <c r="C418">
        <v>245</v>
      </c>
      <c r="D418">
        <v>1</v>
      </c>
      <c r="E418" s="35">
        <v>1225</v>
      </c>
      <c r="F418" s="48">
        <v>44985</v>
      </c>
      <c r="G418" t="s">
        <v>27</v>
      </c>
      <c r="H418">
        <v>209</v>
      </c>
      <c r="I418" t="str">
        <f>VLOOKUP(Продажи[[#This Row],[id товара]],Товары[],2,0)</f>
        <v>Сахар</v>
      </c>
      <c r="J418" s="17">
        <f>AVERAGEIF(Продажи[Категория],Продажи[[#This Row],[Категория]],Продажи[цена за шт в рублях])</f>
        <v>252.76271186440678</v>
      </c>
      <c r="K418" s="16">
        <f>Продажи[[#This Row],[цена за шт в рублях]]/Продажи[[#This Row],[Средняя цена в категории за шт]]-1</f>
        <v>-3.0711459800174312E-2</v>
      </c>
      <c r="L418" t="str">
        <f>VLOOKUP(Продажи[[#This Row],[id товара]],Товары[],3,0)</f>
        <v>Русский сахар</v>
      </c>
      <c r="M418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418" s="16">
        <f>Продажи[[#This Row],[цена за шт в рублях]]/Продажи[[#This Row],[Средняя цена в категории за шт по поставщику]]-1</f>
        <v>-0.1649959903769046</v>
      </c>
      <c r="O418" s="48">
        <f>VLOOKUP(Продажи[[#This Row],[id клиента]],клиенты!$A$2:$E$435,5,0)</f>
        <v>44628</v>
      </c>
      <c r="P418">
        <f>Продажи[[#This Row],[дата создания чека]]-Продажи[[#This Row],[Дата регистрации]]</f>
        <v>357</v>
      </c>
      <c r="Q418" t="str">
        <f>VLOOKUP(Продажи[[#This Row],[id клиента]],клиенты!$A$2:$G$435,7,0)</f>
        <v>Россия</v>
      </c>
      <c r="R418">
        <f>IF(COUNTIF($H$2:H418, H418)=1, 1, 0)</f>
        <v>1</v>
      </c>
      <c r="S418" t="str">
        <f>VLOOKUP(Продажи[[#This Row],[id клиента]],клиенты!$A$2:$D$435,4,0)</f>
        <v>нет</v>
      </c>
      <c r="T418" s="54">
        <f>VLOOKUP(Продажи[[#This Row],[id клиента]],клиенты!$A$2:$I$435,9,0)</f>
        <v>13.930184804928132</v>
      </c>
    </row>
    <row r="419" spans="1:20" x14ac:dyDescent="0.25">
      <c r="A419">
        <v>418</v>
      </c>
      <c r="B419">
        <v>216</v>
      </c>
      <c r="C419">
        <v>209</v>
      </c>
      <c r="D419">
        <v>3</v>
      </c>
      <c r="E419" s="35">
        <v>3135</v>
      </c>
      <c r="F419" s="48">
        <v>45357</v>
      </c>
      <c r="G419" t="s">
        <v>16</v>
      </c>
      <c r="H419">
        <v>263</v>
      </c>
      <c r="I419" t="str">
        <f>VLOOKUP(Продажи[[#This Row],[id товара]],Товары[],2,0)</f>
        <v>Кофе</v>
      </c>
      <c r="J419" s="17">
        <f>AVERAGEIF(Продажи[Категория],Продажи[[#This Row],[Категория]],Продажи[цена за шт в рублях])</f>
        <v>249.02380952380952</v>
      </c>
      <c r="K419" s="16">
        <f>Продажи[[#This Row],[цена за шт в рублях]]/Продажи[[#This Row],[Средняя цена в категории за шт]]-1</f>
        <v>-0.16072282244956493</v>
      </c>
      <c r="L419" t="str">
        <f>VLOOKUP(Продажи[[#This Row],[id товара]],Товары[],3,0)</f>
        <v>Черная Карта</v>
      </c>
      <c r="M419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419" s="16">
        <f>Продажи[[#This Row],[цена за шт в рублях]]/Продажи[[#This Row],[Средняя цена в категории за шт по поставщику]]-1</f>
        <v>-5.9405940594059348E-2</v>
      </c>
      <c r="O419" s="48">
        <f>VLOOKUP(Продажи[[#This Row],[id клиента]],клиенты!$A$2:$E$435,5,0)</f>
        <v>44612</v>
      </c>
      <c r="P419">
        <f>Продажи[[#This Row],[дата создания чека]]-Продажи[[#This Row],[Дата регистрации]]</f>
        <v>745</v>
      </c>
      <c r="Q419" t="str">
        <f>VLOOKUP(Продажи[[#This Row],[id клиента]],клиенты!$A$2:$G$435,7,0)</f>
        <v>Таджикистан</v>
      </c>
      <c r="R419">
        <f>IF(COUNTIF($H$2:H419, H419)=1, 1, 0)</f>
        <v>1</v>
      </c>
      <c r="S419" t="str">
        <f>VLOOKUP(Продажи[[#This Row],[id клиента]],клиенты!$A$2:$D$435,4,0)</f>
        <v>да</v>
      </c>
      <c r="T419" s="54">
        <f>VLOOKUP(Продажи[[#This Row],[id клиента]],клиенты!$A$2:$I$435,9,0)</f>
        <v>24.476386036960985</v>
      </c>
    </row>
    <row r="420" spans="1:20" x14ac:dyDescent="0.25">
      <c r="A420">
        <v>419</v>
      </c>
      <c r="B420">
        <v>390</v>
      </c>
      <c r="C420">
        <v>120</v>
      </c>
      <c r="D420">
        <v>1</v>
      </c>
      <c r="E420" s="35">
        <v>600</v>
      </c>
      <c r="F420" s="48">
        <v>45176</v>
      </c>
      <c r="G420" t="s">
        <v>14</v>
      </c>
      <c r="H420">
        <v>449</v>
      </c>
      <c r="I420" t="str">
        <f>VLOOKUP(Продажи[[#This Row],[id товара]],Товары[],2,0)</f>
        <v>Сок</v>
      </c>
      <c r="J420" s="17">
        <f>AVERAGEIF(Продажи[Категория],Продажи[[#This Row],[Категория]],Продажи[цена за шт в рублях])</f>
        <v>268.60344827586209</v>
      </c>
      <c r="K420" s="16">
        <f>Продажи[[#This Row],[цена за шт в рублях]]/Продажи[[#This Row],[Средняя цена в категории за шт]]-1</f>
        <v>-0.55324475255151162</v>
      </c>
      <c r="L420" t="str">
        <f>VLOOKUP(Продажи[[#This Row],[id товара]],Товары[],3,0)</f>
        <v>Сады Придонья</v>
      </c>
      <c r="M420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420" s="16">
        <f>Продажи[[#This Row],[цена за шт в рублях]]/Продажи[[#This Row],[Средняя цена в категории за шт по поставщику]]-1</f>
        <v>-0.52789699570815452</v>
      </c>
      <c r="O420" s="48">
        <f>VLOOKUP(Продажи[[#This Row],[id клиента]],клиенты!$A$2:$E$435,5,0)</f>
        <v>44645</v>
      </c>
      <c r="P420">
        <f>Продажи[[#This Row],[дата создания чека]]-Продажи[[#This Row],[Дата регистрации]]</f>
        <v>531</v>
      </c>
      <c r="Q420" t="str">
        <f>VLOOKUP(Продажи[[#This Row],[id клиента]],клиенты!$A$2:$G$435,7,0)</f>
        <v>Таджикистан</v>
      </c>
      <c r="R420">
        <f>IF(COUNTIF($H$2:H420, H420)=1, 1, 0)</f>
        <v>0</v>
      </c>
      <c r="S420" t="str">
        <f>VLOOKUP(Продажи[[#This Row],[id клиента]],клиенты!$A$2:$D$435,4,0)</f>
        <v>нет</v>
      </c>
      <c r="T420" s="54">
        <f>VLOOKUP(Продажи[[#This Row],[id клиента]],клиенты!$A$2:$I$435,9,0)</f>
        <v>24.50924024640657</v>
      </c>
    </row>
    <row r="421" spans="1:20" x14ac:dyDescent="0.25">
      <c r="A421">
        <v>420</v>
      </c>
      <c r="B421">
        <v>14</v>
      </c>
      <c r="C421">
        <v>251</v>
      </c>
      <c r="D421">
        <v>1</v>
      </c>
      <c r="E421" s="35">
        <v>1255</v>
      </c>
      <c r="F421" s="48">
        <v>45272</v>
      </c>
      <c r="G421" t="s">
        <v>23</v>
      </c>
      <c r="H421">
        <v>321</v>
      </c>
      <c r="I421" t="str">
        <f>VLOOKUP(Продажи[[#This Row],[id товара]],Товары[],2,0)</f>
        <v>Сок</v>
      </c>
      <c r="J421" s="17">
        <f>AVERAGEIF(Продажи[Категория],Продажи[[#This Row],[Категория]],Продажи[цена за шт в рублях])</f>
        <v>268.60344827586209</v>
      </c>
      <c r="K421" s="16">
        <f>Продажи[[#This Row],[цена за шт в рублях]]/Продажи[[#This Row],[Средняя цена в категории за шт]]-1</f>
        <v>-6.5536940753578632E-2</v>
      </c>
      <c r="L421" t="str">
        <f>VLOOKUP(Продажи[[#This Row],[id товара]],Товары[],3,0)</f>
        <v>Rich</v>
      </c>
      <c r="M421" s="32">
        <f>AVERAGEIFS(Продажи[цена за шт в рублях],Продажи[Категория],Продажи[[#This Row],[Категория]],Продажи[Поставщик],Продажи[[#This Row],[Поставщик]])</f>
        <v>272.25</v>
      </c>
      <c r="N421" s="16">
        <f>Продажи[[#This Row],[цена за шт в рублях]]/Продажи[[#This Row],[Средняя цена в категории за шт по поставщику]]-1</f>
        <v>-7.8053259871441738E-2</v>
      </c>
      <c r="O421" s="48">
        <f>VLOOKUP(Продажи[[#This Row],[id клиента]],клиенты!$A$2:$E$435,5,0)</f>
        <v>44756</v>
      </c>
      <c r="P421">
        <f>Продажи[[#This Row],[дата создания чека]]-Продажи[[#This Row],[Дата регистрации]]</f>
        <v>516</v>
      </c>
      <c r="Q421" t="str">
        <f>VLOOKUP(Продажи[[#This Row],[id клиента]],клиенты!$A$2:$G$435,7,0)</f>
        <v>Таджикистан</v>
      </c>
      <c r="R421">
        <f>IF(COUNTIF($H$2:H421, H421)=1, 1, 0)</f>
        <v>0</v>
      </c>
      <c r="S421" t="str">
        <f>VLOOKUP(Продажи[[#This Row],[id клиента]],клиенты!$A$2:$D$435,4,0)</f>
        <v>нет</v>
      </c>
      <c r="T421" s="54">
        <f>VLOOKUP(Продажи[[#This Row],[id клиента]],клиенты!$A$2:$I$435,9,0)</f>
        <v>16.95277207392197</v>
      </c>
    </row>
    <row r="422" spans="1:20" x14ac:dyDescent="0.25">
      <c r="A422">
        <v>421</v>
      </c>
      <c r="B422">
        <v>451</v>
      </c>
      <c r="C422">
        <v>443</v>
      </c>
      <c r="D422">
        <v>4</v>
      </c>
      <c r="E422" s="35">
        <v>8860</v>
      </c>
      <c r="F422" s="48">
        <v>45210</v>
      </c>
      <c r="G422" t="s">
        <v>26</v>
      </c>
      <c r="H422">
        <v>101</v>
      </c>
      <c r="I422" t="str">
        <f>VLOOKUP(Продажи[[#This Row],[id товара]],Товары[],2,0)</f>
        <v>Рис</v>
      </c>
      <c r="J422" s="17">
        <f>AVERAGEIF(Продажи[Категория],Продажи[[#This Row],[Категория]],Продажи[цена за шт в рублях])</f>
        <v>258.375</v>
      </c>
      <c r="K422" s="16">
        <f>Продажи[[#This Row],[цена за шт в рублях]]/Продажи[[#This Row],[Средняя цена в категории за шт]]-1</f>
        <v>0.71456216739235612</v>
      </c>
      <c r="L422" t="str">
        <f>VLOOKUP(Продажи[[#This Row],[id товара]],Товары[],3,0)</f>
        <v>Белый Злат</v>
      </c>
      <c r="M422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422" s="16">
        <f>Продажи[[#This Row],[цена за шт в рублях]]/Продажи[[#This Row],[Средняя цена в категории за шт по поставщику]]-1</f>
        <v>0.6425299890948748</v>
      </c>
      <c r="O422" s="48">
        <f>VLOOKUP(Продажи[[#This Row],[id клиента]],клиенты!$A$2:$E$435,5,0)</f>
        <v>44727</v>
      </c>
      <c r="P422">
        <f>Продажи[[#This Row],[дата создания чека]]-Продажи[[#This Row],[Дата регистрации]]</f>
        <v>483</v>
      </c>
      <c r="Q422" t="str">
        <f>VLOOKUP(Продажи[[#This Row],[id клиента]],клиенты!$A$2:$G$435,7,0)</f>
        <v>Россия</v>
      </c>
      <c r="R422">
        <f>IF(COUNTIF($H$2:H422, H422)=1, 1, 0)</f>
        <v>1</v>
      </c>
      <c r="S422" t="str">
        <f>VLOOKUP(Продажи[[#This Row],[id клиента]],клиенты!$A$2:$D$435,4,0)</f>
        <v>нет</v>
      </c>
      <c r="T422" s="54">
        <f>VLOOKUP(Продажи[[#This Row],[id клиента]],клиенты!$A$2:$I$435,9,0)</f>
        <v>15.868583162217659</v>
      </c>
    </row>
    <row r="423" spans="1:20" x14ac:dyDescent="0.25">
      <c r="A423">
        <v>422</v>
      </c>
      <c r="B423">
        <v>312</v>
      </c>
      <c r="C423">
        <v>234</v>
      </c>
      <c r="D423">
        <v>1</v>
      </c>
      <c r="E423" s="35">
        <v>1170</v>
      </c>
      <c r="F423" s="48">
        <v>44954</v>
      </c>
      <c r="G423" t="s">
        <v>17</v>
      </c>
      <c r="H423">
        <v>124</v>
      </c>
      <c r="I423" t="str">
        <f>VLOOKUP(Продажи[[#This Row],[id товара]],Товары[],2,0)</f>
        <v>Хлеб</v>
      </c>
      <c r="J423" s="17">
        <f>AVERAGEIF(Продажи[Категория],Продажи[[#This Row],[Категория]],Продажи[цена за шт в рублях])</f>
        <v>300.31818181818181</v>
      </c>
      <c r="K423" s="16">
        <f>Продажи[[#This Row],[цена за шт в рублях]]/Продажи[[#This Row],[Средняя цена в категории за шт]]-1</f>
        <v>-0.22082639624640532</v>
      </c>
      <c r="L423" t="str">
        <f>VLOOKUP(Продажи[[#This Row],[id товара]],Товары[],3,0)</f>
        <v>Каравай</v>
      </c>
      <c r="M423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423" s="16">
        <f>Продажи[[#This Row],[цена за шт в рублях]]/Продажи[[#This Row],[Средняя цена в категории за шт по поставщику]]-1</f>
        <v>-0.29340714645193766</v>
      </c>
      <c r="O423" s="48">
        <f>VLOOKUP(Продажи[[#This Row],[id клиента]],клиенты!$A$2:$E$435,5,0)</f>
        <v>44795</v>
      </c>
      <c r="P423">
        <f>Продажи[[#This Row],[дата создания чека]]-Продажи[[#This Row],[Дата регистрации]]</f>
        <v>159</v>
      </c>
      <c r="Q423" t="str">
        <f>VLOOKUP(Продажи[[#This Row],[id клиента]],клиенты!$A$2:$G$435,7,0)</f>
        <v>Россия</v>
      </c>
      <c r="R423">
        <f>IF(COUNTIF($H$2:H423, H423)=1, 1, 0)</f>
        <v>1</v>
      </c>
      <c r="S423" t="str">
        <f>VLOOKUP(Продажи[[#This Row],[id клиента]],клиенты!$A$2:$D$435,4,0)</f>
        <v>да</v>
      </c>
      <c r="T423" s="54">
        <f>VLOOKUP(Продажи[[#This Row],[id клиента]],клиенты!$A$2:$I$435,9,0)</f>
        <v>20.238193018480494</v>
      </c>
    </row>
    <row r="424" spans="1:20" x14ac:dyDescent="0.25">
      <c r="A424">
        <v>423</v>
      </c>
      <c r="B424">
        <v>217</v>
      </c>
      <c r="C424">
        <v>260</v>
      </c>
      <c r="D424">
        <v>5</v>
      </c>
      <c r="E424" s="35">
        <v>6500</v>
      </c>
      <c r="F424" s="48">
        <v>45018</v>
      </c>
      <c r="G424" t="s">
        <v>12</v>
      </c>
      <c r="H424">
        <v>257</v>
      </c>
      <c r="I424" t="str">
        <f>VLOOKUP(Продажи[[#This Row],[id товара]],Товары[],2,0)</f>
        <v>Мясо</v>
      </c>
      <c r="J424" s="17">
        <f>AVERAGEIF(Продажи[Категория],Продажи[[#This Row],[Категория]],Продажи[цена за шт в рублях])</f>
        <v>271.74545454545455</v>
      </c>
      <c r="K424" s="16">
        <f>Продажи[[#This Row],[цена за шт в рублях]]/Продажи[[#This Row],[Средняя цена в категории за шт]]-1</f>
        <v>-4.3222266827244726E-2</v>
      </c>
      <c r="L424" t="str">
        <f>VLOOKUP(Продажи[[#This Row],[id товара]],Товары[],3,0)</f>
        <v>Агрокомплекс</v>
      </c>
      <c r="M424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424" s="16">
        <f>Продажи[[#This Row],[цена за шт в рублях]]/Продажи[[#This Row],[Средняя цена в категории за шт по поставщику]]-1</f>
        <v>-0.16452442159383029</v>
      </c>
      <c r="O424" s="48">
        <f>VLOOKUP(Продажи[[#This Row],[id клиента]],клиенты!$A$2:$E$435,5,0)</f>
        <v>44701</v>
      </c>
      <c r="P424">
        <f>Продажи[[#This Row],[дата создания чека]]-Продажи[[#This Row],[Дата регистрации]]</f>
        <v>317</v>
      </c>
      <c r="Q424" t="str">
        <f>VLOOKUP(Продажи[[#This Row],[id клиента]],клиенты!$A$2:$G$435,7,0)</f>
        <v>Россия</v>
      </c>
      <c r="R424">
        <f>IF(COUNTIF($H$2:H424, H424)=1, 1, 0)</f>
        <v>1</v>
      </c>
      <c r="S424" t="str">
        <f>VLOOKUP(Продажи[[#This Row],[id клиента]],клиенты!$A$2:$D$435,4,0)</f>
        <v>нет</v>
      </c>
      <c r="T424" s="54">
        <f>VLOOKUP(Продажи[[#This Row],[id клиента]],клиенты!$A$2:$I$435,9,0)</f>
        <v>10.414784394250514</v>
      </c>
    </row>
    <row r="425" spans="1:20" x14ac:dyDescent="0.25">
      <c r="A425">
        <v>424</v>
      </c>
      <c r="B425">
        <v>10</v>
      </c>
      <c r="C425">
        <v>203</v>
      </c>
      <c r="D425">
        <v>4</v>
      </c>
      <c r="E425" s="35">
        <v>4060</v>
      </c>
      <c r="F425" s="48">
        <v>45059</v>
      </c>
      <c r="G425" t="s">
        <v>12</v>
      </c>
      <c r="H425">
        <v>276</v>
      </c>
      <c r="I425" t="str">
        <f>VLOOKUP(Продажи[[#This Row],[id товара]],Товары[],2,0)</f>
        <v>Сок</v>
      </c>
      <c r="J425" s="17">
        <f>AVERAGEIF(Продажи[Категория],Продажи[[#This Row],[Категория]],Продажи[цена за шт в рублях])</f>
        <v>268.60344827586209</v>
      </c>
      <c r="K425" s="16">
        <f>Продажи[[#This Row],[цена за шт в рублях]]/Продажи[[#This Row],[Средняя цена в категории за шт]]-1</f>
        <v>-0.24423903973297389</v>
      </c>
      <c r="L425" t="str">
        <f>VLOOKUP(Продажи[[#This Row],[id товара]],Товары[],3,0)</f>
        <v>Фруктовый сад</v>
      </c>
      <c r="M42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425" s="16">
        <f>Продажи[[#This Row],[цена за шт в рублях]]/Продажи[[#This Row],[Средняя цена в категории за шт по поставщику]]-1</f>
        <v>-0.28006206361520558</v>
      </c>
      <c r="O425" s="48">
        <f>VLOOKUP(Продажи[[#This Row],[id клиента]],клиенты!$A$2:$E$435,5,0)</f>
        <v>44632</v>
      </c>
      <c r="P425">
        <f>Продажи[[#This Row],[дата создания чека]]-Продажи[[#This Row],[Дата регистрации]]</f>
        <v>427</v>
      </c>
      <c r="Q425" t="str">
        <f>VLOOKUP(Продажи[[#This Row],[id клиента]],клиенты!$A$2:$G$435,7,0)</f>
        <v>Таджикистан</v>
      </c>
      <c r="R425">
        <f>IF(COUNTIF($H$2:H425, H425)=1, 1, 0)</f>
        <v>0</v>
      </c>
      <c r="S425" t="str">
        <f>VLOOKUP(Продажи[[#This Row],[id клиента]],клиенты!$A$2:$D$435,4,0)</f>
        <v>нет</v>
      </c>
      <c r="T425" s="54">
        <f>VLOOKUP(Продажи[[#This Row],[id клиента]],клиенты!$A$2:$I$435,9,0)</f>
        <v>20.632443531827516</v>
      </c>
    </row>
    <row r="426" spans="1:20" x14ac:dyDescent="0.25">
      <c r="A426">
        <v>425</v>
      </c>
      <c r="B426">
        <v>60</v>
      </c>
      <c r="C426">
        <v>251</v>
      </c>
      <c r="D426">
        <v>2</v>
      </c>
      <c r="E426" s="35">
        <v>2510</v>
      </c>
      <c r="F426" s="48">
        <v>45202</v>
      </c>
      <c r="G426" t="s">
        <v>25</v>
      </c>
      <c r="H426">
        <v>309</v>
      </c>
      <c r="I426" t="str">
        <f>VLOOKUP(Продажи[[#This Row],[id товара]],Товары[],2,0)</f>
        <v>Кофе</v>
      </c>
      <c r="J426" s="17">
        <f>AVERAGEIF(Продажи[Категория],Продажи[[#This Row],[Категория]],Продажи[цена за шт в рублях])</f>
        <v>249.02380952380952</v>
      </c>
      <c r="K426" s="16">
        <f>Продажи[[#This Row],[цена за шт в рублях]]/Продажи[[#This Row],[Средняя цена в категории за шт]]-1</f>
        <v>7.9357491155942483E-3</v>
      </c>
      <c r="L426" t="str">
        <f>VLOOKUP(Продажи[[#This Row],[id товара]],Товары[],3,0)</f>
        <v>Jacobs</v>
      </c>
      <c r="M426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426" s="16">
        <f>Продажи[[#This Row],[цена за шт в рублях]]/Продажи[[#This Row],[Средняя цена в категории за шт по поставщику]]-1</f>
        <v>-9.1272865853658569E-2</v>
      </c>
      <c r="O426" s="48">
        <f>VLOOKUP(Продажи[[#This Row],[id клиента]],клиенты!$A$2:$E$435,5,0)</f>
        <v>44711</v>
      </c>
      <c r="P426">
        <f>Продажи[[#This Row],[дата создания чека]]-Продажи[[#This Row],[Дата регистрации]]</f>
        <v>491</v>
      </c>
      <c r="Q426" t="str">
        <f>VLOOKUP(Продажи[[#This Row],[id клиента]],клиенты!$A$2:$G$435,7,0)</f>
        <v>Россия</v>
      </c>
      <c r="R426">
        <f>IF(COUNTIF($H$2:H426, H426)=1, 1, 0)</f>
        <v>1</v>
      </c>
      <c r="S426" t="str">
        <f>VLOOKUP(Продажи[[#This Row],[id клиента]],клиенты!$A$2:$D$435,4,0)</f>
        <v>нет</v>
      </c>
      <c r="T426" s="54">
        <f>VLOOKUP(Продажи[[#This Row],[id клиента]],клиенты!$A$2:$I$435,9,0)</f>
        <v>16.131416837782339</v>
      </c>
    </row>
    <row r="427" spans="1:20" x14ac:dyDescent="0.25">
      <c r="A427">
        <v>426</v>
      </c>
      <c r="B427">
        <v>74</v>
      </c>
      <c r="C427">
        <v>210</v>
      </c>
      <c r="D427">
        <v>3</v>
      </c>
      <c r="E427" s="35">
        <v>3150</v>
      </c>
      <c r="F427" s="48">
        <v>45335</v>
      </c>
      <c r="G427" t="s">
        <v>17</v>
      </c>
      <c r="H427">
        <v>319</v>
      </c>
      <c r="I427" t="str">
        <f>VLOOKUP(Продажи[[#This Row],[id товара]],Товары[],2,0)</f>
        <v>Колбаса</v>
      </c>
      <c r="J427" s="17">
        <f>AVERAGEIF(Продажи[Категория],Продажи[[#This Row],[Категория]],Продажи[цена за шт в рублях])</f>
        <v>286.92307692307691</v>
      </c>
      <c r="K427" s="16">
        <f>Продажи[[#This Row],[цена за шт в рублях]]/Продажи[[#This Row],[Средняя цена в категории за шт]]-1</f>
        <v>-0.26809651474530827</v>
      </c>
      <c r="L427" t="str">
        <f>VLOOKUP(Продажи[[#This Row],[id товара]],Товары[],3,0)</f>
        <v>Черкизово</v>
      </c>
      <c r="M427" s="32">
        <f>AVERAGEIFS(Продажи[цена за шт в рублях],Продажи[Категория],Продажи[[#This Row],[Категория]],Продажи[Поставщик],Продажи[[#This Row],[Поставщик]])</f>
        <v>320.25</v>
      </c>
      <c r="N427" s="16">
        <f>Продажи[[#This Row],[цена за шт в рублях]]/Продажи[[#This Row],[Средняя цена в категории за шт по поставщику]]-1</f>
        <v>-0.34426229508196726</v>
      </c>
      <c r="O427" s="48">
        <f>VLOOKUP(Продажи[[#This Row],[id клиента]],клиенты!$A$2:$E$435,5,0)</f>
        <v>44674</v>
      </c>
      <c r="P427">
        <f>Продажи[[#This Row],[дата создания чека]]-Продажи[[#This Row],[Дата регистрации]]</f>
        <v>661</v>
      </c>
      <c r="Q427" t="str">
        <f>VLOOKUP(Продажи[[#This Row],[id клиента]],клиенты!$A$2:$G$435,7,0)</f>
        <v>Узбекистан</v>
      </c>
      <c r="R427">
        <f>IF(COUNTIF($H$2:H427, H427)=1, 1, 0)</f>
        <v>0</v>
      </c>
      <c r="S427" t="str">
        <f>VLOOKUP(Продажи[[#This Row],[id клиента]],клиенты!$A$2:$D$435,4,0)</f>
        <v>да</v>
      </c>
      <c r="T427" s="54">
        <f>VLOOKUP(Продажи[[#This Row],[id клиента]],клиенты!$A$2:$I$435,9,0)</f>
        <v>21.716632443531829</v>
      </c>
    </row>
    <row r="428" spans="1:20" x14ac:dyDescent="0.25">
      <c r="A428">
        <v>427</v>
      </c>
      <c r="B428">
        <v>116</v>
      </c>
      <c r="C428">
        <v>295</v>
      </c>
      <c r="D428">
        <v>1</v>
      </c>
      <c r="E428" s="35">
        <v>1475</v>
      </c>
      <c r="F428" s="48">
        <v>45336</v>
      </c>
      <c r="G428" t="s">
        <v>10</v>
      </c>
      <c r="H428">
        <v>359</v>
      </c>
      <c r="I428" t="str">
        <f>VLOOKUP(Продажи[[#This Row],[id товара]],Товары[],2,0)</f>
        <v>Соль</v>
      </c>
      <c r="J428" s="17">
        <f>AVERAGEIF(Продажи[Категория],Продажи[[#This Row],[Категория]],Продажи[цена за шт в рублях])</f>
        <v>264.8679245283019</v>
      </c>
      <c r="K428" s="16">
        <f>Продажи[[#This Row],[цена за шт в рублях]]/Продажи[[#This Row],[Средняя цена в категории за шт]]-1</f>
        <v>0.11376264425131777</v>
      </c>
      <c r="L428" t="str">
        <f>VLOOKUP(Продажи[[#This Row],[id товара]],Товары[],3,0)</f>
        <v>Экстра</v>
      </c>
      <c r="M428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428" s="16">
        <f>Продажи[[#This Row],[цена за шт в рублях]]/Продажи[[#This Row],[Средняя цена в категории за шт по поставщику]]-1</f>
        <v>-8.0556221529609284E-2</v>
      </c>
      <c r="O428" s="48">
        <f>VLOOKUP(Продажи[[#This Row],[id клиента]],клиенты!$A$2:$E$435,5,0)</f>
        <v>44584</v>
      </c>
      <c r="P428">
        <f>Продажи[[#This Row],[дата создания чека]]-Продажи[[#This Row],[Дата регистрации]]</f>
        <v>752</v>
      </c>
      <c r="Q428" t="str">
        <f>VLOOKUP(Продажи[[#This Row],[id клиента]],клиенты!$A$2:$G$435,7,0)</f>
        <v>Россия</v>
      </c>
      <c r="R428">
        <f>IF(COUNTIF($H$2:H428, H428)=1, 1, 0)</f>
        <v>0</v>
      </c>
      <c r="S428" t="str">
        <f>VLOOKUP(Продажи[[#This Row],[id клиента]],клиенты!$A$2:$D$435,4,0)</f>
        <v>нет</v>
      </c>
      <c r="T428" s="54">
        <f>VLOOKUP(Продажи[[#This Row],[id клиента]],клиенты!$A$2:$I$435,9,0)</f>
        <v>24.706365503080082</v>
      </c>
    </row>
    <row r="429" spans="1:20" x14ac:dyDescent="0.25">
      <c r="A429">
        <v>428</v>
      </c>
      <c r="B429">
        <v>401</v>
      </c>
      <c r="C429">
        <v>78</v>
      </c>
      <c r="D429">
        <v>3</v>
      </c>
      <c r="E429" s="35">
        <v>1170</v>
      </c>
      <c r="F429" s="48">
        <v>44986</v>
      </c>
      <c r="G429" t="s">
        <v>10</v>
      </c>
      <c r="H429">
        <v>395</v>
      </c>
      <c r="I429" t="str">
        <f>VLOOKUP(Продажи[[#This Row],[id товара]],Товары[],2,0)</f>
        <v>Чай</v>
      </c>
      <c r="J429" s="17">
        <f>AVERAGEIF(Продажи[Категория],Продажи[[#This Row],[Категория]],Продажи[цена за шт в рублях])</f>
        <v>271.18181818181819</v>
      </c>
      <c r="K429" s="16">
        <f>Продажи[[#This Row],[цена за шт в рублях]]/Продажи[[#This Row],[Средняя цена в категории за шт]]-1</f>
        <v>-0.71237009721756617</v>
      </c>
      <c r="L429" t="str">
        <f>VLOOKUP(Продажи[[#This Row],[id товара]],Товары[],3,0)</f>
        <v>Greenfield</v>
      </c>
      <c r="M429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429" s="16">
        <f>Продажи[[#This Row],[цена за шт в рублях]]/Продажи[[#This Row],[Средняя цена в категории за шт по поставщику]]-1</f>
        <v>-0.73237679351216467</v>
      </c>
      <c r="O429" s="48">
        <f>VLOOKUP(Продажи[[#This Row],[id клиента]],клиенты!$A$2:$E$435,5,0)</f>
        <v>44890</v>
      </c>
      <c r="P429">
        <f>Продажи[[#This Row],[дата создания чека]]-Продажи[[#This Row],[Дата регистрации]]</f>
        <v>96</v>
      </c>
      <c r="Q429" t="str">
        <f>VLOOKUP(Продажи[[#This Row],[id клиента]],клиенты!$A$2:$G$435,7,0)</f>
        <v>Узбекистан</v>
      </c>
      <c r="R429">
        <f>IF(COUNTIF($H$2:H429, H429)=1, 1, 0)</f>
        <v>0</v>
      </c>
      <c r="S429" t="str">
        <f>VLOOKUP(Продажи[[#This Row],[id клиента]],клиенты!$A$2:$D$435,4,0)</f>
        <v>нет</v>
      </c>
      <c r="T429" s="54">
        <f>VLOOKUP(Продажи[[#This Row],[id клиента]],клиенты!$A$2:$I$435,9,0)</f>
        <v>13.108829568788501</v>
      </c>
    </row>
    <row r="430" spans="1:20" x14ac:dyDescent="0.25">
      <c r="A430">
        <v>429</v>
      </c>
      <c r="B430">
        <v>348</v>
      </c>
      <c r="C430">
        <v>162</v>
      </c>
      <c r="D430">
        <v>2</v>
      </c>
      <c r="E430" s="35">
        <v>1620</v>
      </c>
      <c r="F430" s="48">
        <v>44931</v>
      </c>
      <c r="G430" t="s">
        <v>19</v>
      </c>
      <c r="H430">
        <v>107</v>
      </c>
      <c r="I430" t="str">
        <f>VLOOKUP(Продажи[[#This Row],[id товара]],Товары[],2,0)</f>
        <v>Чипсы</v>
      </c>
      <c r="J430" s="17">
        <f>AVERAGEIF(Продажи[Категория],Продажи[[#This Row],[Категория]],Продажи[цена за шт в рублях])</f>
        <v>273.72549019607845</v>
      </c>
      <c r="K430" s="16">
        <f>Продажи[[#This Row],[цена за шт в рублях]]/Продажи[[#This Row],[Средняя цена в категории за шт]]-1</f>
        <v>-0.40816618911174785</v>
      </c>
      <c r="L430" t="str">
        <f>VLOOKUP(Продажи[[#This Row],[id товара]],Товары[],3,0)</f>
        <v>Estrella</v>
      </c>
      <c r="M430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430" s="16">
        <f>Продажи[[#This Row],[цена за шт в рублях]]/Продажи[[#This Row],[Средняя цена в категории за шт по поставщику]]-1</f>
        <v>-0.39160122908842598</v>
      </c>
      <c r="O430" s="48">
        <f>VLOOKUP(Продажи[[#This Row],[id клиента]],клиенты!$A$2:$E$435,5,0)</f>
        <v>44744</v>
      </c>
      <c r="P430">
        <f>Продажи[[#This Row],[дата создания чека]]-Продажи[[#This Row],[Дата регистрации]]</f>
        <v>187</v>
      </c>
      <c r="Q430" t="str">
        <f>VLOOKUP(Продажи[[#This Row],[id клиента]],клиенты!$A$2:$G$435,7,0)</f>
        <v>Таджикистан</v>
      </c>
      <c r="R430">
        <f>IF(COUNTIF($H$2:H430, H430)=1, 1, 0)</f>
        <v>0</v>
      </c>
      <c r="S430" t="str">
        <f>VLOOKUP(Продажи[[#This Row],[id клиента]],клиенты!$A$2:$D$435,4,0)</f>
        <v>нет</v>
      </c>
      <c r="T430" s="54">
        <f>VLOOKUP(Продажи[[#This Row],[id клиента]],клиенты!$A$2:$I$435,9,0)</f>
        <v>19.482546201232033</v>
      </c>
    </row>
    <row r="431" spans="1:20" x14ac:dyDescent="0.25">
      <c r="A431">
        <v>430</v>
      </c>
      <c r="B431">
        <v>382</v>
      </c>
      <c r="C431">
        <v>278</v>
      </c>
      <c r="D431">
        <v>2</v>
      </c>
      <c r="E431" s="35">
        <v>2780</v>
      </c>
      <c r="F431" s="48">
        <v>45198</v>
      </c>
      <c r="G431" t="s">
        <v>25</v>
      </c>
      <c r="H431">
        <v>103</v>
      </c>
      <c r="I431" t="str">
        <f>VLOOKUP(Продажи[[#This Row],[id товара]],Товары[],2,0)</f>
        <v>Овощи</v>
      </c>
      <c r="J431" s="17">
        <f>AVERAGEIF(Продажи[Категория],Продажи[[#This Row],[Категория]],Продажи[цена за шт в рублях])</f>
        <v>250.48780487804879</v>
      </c>
      <c r="K431" s="16">
        <f>Продажи[[#This Row],[цена за шт в рублях]]/Продажи[[#This Row],[Средняя цена в категории за шт]]-1</f>
        <v>0.10983446932814012</v>
      </c>
      <c r="L431" t="str">
        <f>VLOOKUP(Продажи[[#This Row],[id товара]],Товары[],3,0)</f>
        <v>Овощной ряд</v>
      </c>
      <c r="M431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431" s="16">
        <f>Продажи[[#This Row],[цена за шт в рублях]]/Продажи[[#This Row],[Средняя цена в категории за шт по поставщику]]-1</f>
        <v>-8.499515972894478E-2</v>
      </c>
      <c r="O431" s="48">
        <f>VLOOKUP(Продажи[[#This Row],[id клиента]],клиенты!$A$2:$E$435,5,0)</f>
        <v>44787</v>
      </c>
      <c r="P431">
        <f>Продажи[[#This Row],[дата создания чека]]-Продажи[[#This Row],[Дата регистрации]]</f>
        <v>411</v>
      </c>
      <c r="Q431" t="str">
        <f>VLOOKUP(Продажи[[#This Row],[id клиента]],клиенты!$A$2:$G$435,7,0)</f>
        <v>Узбекистан</v>
      </c>
      <c r="R431">
        <f>IF(COUNTIF($H$2:H431, H431)=1, 1, 0)</f>
        <v>1</v>
      </c>
      <c r="S431" t="str">
        <f>VLOOKUP(Продажи[[#This Row],[id клиента]],клиенты!$A$2:$D$435,4,0)</f>
        <v>да</v>
      </c>
      <c r="T431" s="54">
        <f>VLOOKUP(Продажи[[#This Row],[id клиента]],клиенты!$A$2:$I$435,9,0)</f>
        <v>13.503080082135524</v>
      </c>
    </row>
    <row r="432" spans="1:20" x14ac:dyDescent="0.25">
      <c r="A432">
        <v>431</v>
      </c>
      <c r="B432">
        <v>477</v>
      </c>
      <c r="C432">
        <v>420</v>
      </c>
      <c r="D432">
        <v>1</v>
      </c>
      <c r="E432" s="35">
        <v>2100</v>
      </c>
      <c r="F432" s="48">
        <v>45232</v>
      </c>
      <c r="G432" t="s">
        <v>11</v>
      </c>
      <c r="H432">
        <v>221</v>
      </c>
      <c r="I432" t="str">
        <f>VLOOKUP(Продажи[[#This Row],[id товара]],Товары[],2,0)</f>
        <v>Макароны</v>
      </c>
      <c r="J432" s="17">
        <f>AVERAGEIF(Продажи[Категория],Продажи[[#This Row],[Категория]],Продажи[цена за шт в рублях])</f>
        <v>265.47674418604652</v>
      </c>
      <c r="K432" s="16">
        <f>Продажи[[#This Row],[цена за шт в рублях]]/Продажи[[#This Row],[Средняя цена в категории за шт]]-1</f>
        <v>0.58205948053085721</v>
      </c>
      <c r="L432" t="str">
        <f>VLOOKUP(Продажи[[#This Row],[id товара]],Товары[],3,0)</f>
        <v>Борилла</v>
      </c>
      <c r="M432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432" s="16">
        <f>Продажи[[#This Row],[цена за шт в рублях]]/Продажи[[#This Row],[Средняя цена в категории за шт по поставщику]]-1</f>
        <v>0.77758318739054277</v>
      </c>
      <c r="O432" s="48">
        <f>VLOOKUP(Продажи[[#This Row],[id клиента]],клиенты!$A$2:$E$435,5,0)</f>
        <v>44820</v>
      </c>
      <c r="P432">
        <f>Продажи[[#This Row],[дата создания чека]]-Продажи[[#This Row],[Дата регистрации]]</f>
        <v>412</v>
      </c>
      <c r="Q432" t="str">
        <f>VLOOKUP(Продажи[[#This Row],[id клиента]],клиенты!$A$2:$G$435,7,0)</f>
        <v>Таджикистан</v>
      </c>
      <c r="R432">
        <f>IF(COUNTIF($H$2:H432, H432)=1, 1, 0)</f>
        <v>0</v>
      </c>
      <c r="S432" t="str">
        <f>VLOOKUP(Продажи[[#This Row],[id клиента]],клиенты!$A$2:$D$435,4,0)</f>
        <v>да</v>
      </c>
      <c r="T432" s="54">
        <f>VLOOKUP(Продажи[[#This Row],[id клиента]],клиенты!$A$2:$I$435,9,0)</f>
        <v>18.036960985626283</v>
      </c>
    </row>
    <row r="433" spans="1:20" x14ac:dyDescent="0.25">
      <c r="A433">
        <v>432</v>
      </c>
      <c r="B433">
        <v>91</v>
      </c>
      <c r="C433">
        <v>413</v>
      </c>
      <c r="D433">
        <v>2</v>
      </c>
      <c r="E433" s="35">
        <v>4130</v>
      </c>
      <c r="F433" s="48">
        <v>45183</v>
      </c>
      <c r="G433" t="s">
        <v>19</v>
      </c>
      <c r="H433">
        <v>31</v>
      </c>
      <c r="I433" t="str">
        <f>VLOOKUP(Продажи[[#This Row],[id товара]],Товары[],2,0)</f>
        <v>Сыр</v>
      </c>
      <c r="J433" s="17">
        <f>AVERAGEIF(Продажи[Категория],Продажи[[#This Row],[Категория]],Продажи[цена за шт в рублях])</f>
        <v>262.63492063492066</v>
      </c>
      <c r="K433" s="16">
        <f>Продажи[[#This Row],[цена за шт в рублях]]/Продажи[[#This Row],[Средняя цена в категории за шт]]-1</f>
        <v>0.57252508159071658</v>
      </c>
      <c r="L433" t="str">
        <f>VLOOKUP(Продажи[[#This Row],[id товара]],Товары[],3,0)</f>
        <v>Сырная долина</v>
      </c>
      <c r="M433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433" s="16">
        <f>Продажи[[#This Row],[цена за шт в рублях]]/Продажи[[#This Row],[Средняя цена в категории за шт по поставщику]]-1</f>
        <v>0.52398523985239853</v>
      </c>
      <c r="O433" s="48">
        <f>VLOOKUP(Продажи[[#This Row],[id клиента]],клиенты!$A$2:$E$435,5,0)</f>
        <v>44580</v>
      </c>
      <c r="P433">
        <f>Продажи[[#This Row],[дата создания чека]]-Продажи[[#This Row],[Дата регистрации]]</f>
        <v>603</v>
      </c>
      <c r="Q433" t="str">
        <f>VLOOKUP(Продажи[[#This Row],[id клиента]],клиенты!$A$2:$G$435,7,0)</f>
        <v>Украина</v>
      </c>
      <c r="R433">
        <f>IF(COUNTIF($H$2:H433, H433)=1, 1, 0)</f>
        <v>1</v>
      </c>
      <c r="S433" t="str">
        <f>VLOOKUP(Продажи[[#This Row],[id клиента]],клиенты!$A$2:$D$435,4,0)</f>
        <v>нет</v>
      </c>
      <c r="T433" s="54">
        <f>VLOOKUP(Продажи[[#This Row],[id клиента]],клиенты!$A$2:$I$435,9,0)</f>
        <v>19.811088295687885</v>
      </c>
    </row>
    <row r="434" spans="1:20" x14ac:dyDescent="0.25">
      <c r="A434">
        <v>433</v>
      </c>
      <c r="B434">
        <v>52</v>
      </c>
      <c r="C434">
        <v>272</v>
      </c>
      <c r="D434">
        <v>3</v>
      </c>
      <c r="E434" s="35">
        <v>4080</v>
      </c>
      <c r="F434" s="48">
        <v>45377</v>
      </c>
      <c r="G434" t="s">
        <v>9</v>
      </c>
      <c r="H434">
        <v>306</v>
      </c>
      <c r="I434" t="str">
        <f>VLOOKUP(Продажи[[#This Row],[id товара]],Товары[],2,0)</f>
        <v>Соль</v>
      </c>
      <c r="J434" s="17">
        <f>AVERAGEIF(Продажи[Категория],Продажи[[#This Row],[Категория]],Продажи[цена за шт в рублях])</f>
        <v>264.8679245283019</v>
      </c>
      <c r="K434" s="16">
        <f>Продажи[[#This Row],[цена за шт в рублях]]/Продажи[[#This Row],[Средняя цена в категории за шт]]-1</f>
        <v>2.6926912665621749E-2</v>
      </c>
      <c r="L434" t="str">
        <f>VLOOKUP(Продажи[[#This Row],[id товара]],Товары[],3,0)</f>
        <v>Илецкая</v>
      </c>
      <c r="M434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434" s="16">
        <f>Продажи[[#This Row],[цена за шт в рублях]]/Продажи[[#This Row],[Средняя цена в категории за шт по поставщику]]-1</f>
        <v>0.14205738278516455</v>
      </c>
      <c r="O434" s="48">
        <f>VLOOKUP(Продажи[[#This Row],[id клиента]],клиенты!$A$2:$E$435,5,0)</f>
        <v>44872</v>
      </c>
      <c r="P434">
        <f>Продажи[[#This Row],[дата создания чека]]-Продажи[[#This Row],[Дата регистрации]]</f>
        <v>505</v>
      </c>
      <c r="Q434" t="str">
        <f>VLOOKUP(Продажи[[#This Row],[id клиента]],клиенты!$A$2:$G$435,7,0)</f>
        <v>Украина</v>
      </c>
      <c r="R434">
        <f>IF(COUNTIF($H$2:H434, H434)=1, 1, 0)</f>
        <v>1</v>
      </c>
      <c r="S434" t="str">
        <f>VLOOKUP(Продажи[[#This Row],[id клиента]],клиенты!$A$2:$D$435,4,0)</f>
        <v>да</v>
      </c>
      <c r="T434" s="54">
        <f>VLOOKUP(Продажи[[#This Row],[id клиента]],клиенты!$A$2:$I$435,9,0)</f>
        <v>16.591375770020534</v>
      </c>
    </row>
    <row r="435" spans="1:20" x14ac:dyDescent="0.25">
      <c r="A435">
        <v>434</v>
      </c>
      <c r="B435">
        <v>438</v>
      </c>
      <c r="C435">
        <v>435</v>
      </c>
      <c r="D435">
        <v>1</v>
      </c>
      <c r="E435" s="35">
        <v>2175</v>
      </c>
      <c r="F435" s="48">
        <v>45142</v>
      </c>
      <c r="G435" t="s">
        <v>27</v>
      </c>
      <c r="H435">
        <v>383</v>
      </c>
      <c r="I435" t="str">
        <f>VLOOKUP(Продажи[[#This Row],[id товара]],Товары[],2,0)</f>
        <v>Кофе</v>
      </c>
      <c r="J435" s="17">
        <f>AVERAGEIF(Продажи[Категория],Продажи[[#This Row],[Категория]],Продажи[цена за шт в рублях])</f>
        <v>249.02380952380952</v>
      </c>
      <c r="K435" s="16">
        <f>Продажи[[#This Row],[цена за шт в рублях]]/Продажи[[#This Row],[Средняя цена в категории за шт]]-1</f>
        <v>0.74682091978200593</v>
      </c>
      <c r="L435" t="str">
        <f>VLOOKUP(Продажи[[#This Row],[id товара]],Товары[],3,0)</f>
        <v>Nescafe</v>
      </c>
      <c r="M435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435" s="16">
        <f>Продажи[[#This Row],[цена за шт в рублях]]/Продажи[[#This Row],[Средняя цена в категории за шт по поставщику]]-1</f>
        <v>0.69326586220319197</v>
      </c>
      <c r="O435" s="48">
        <f>VLOOKUP(Продажи[[#This Row],[id клиента]],клиенты!$A$2:$E$435,5,0)</f>
        <v>44876</v>
      </c>
      <c r="P435">
        <f>Продажи[[#This Row],[дата создания чека]]-Продажи[[#This Row],[Дата регистрации]]</f>
        <v>266</v>
      </c>
      <c r="Q435" t="str">
        <f>VLOOKUP(Продажи[[#This Row],[id клиента]],клиенты!$A$2:$G$435,7,0)</f>
        <v>Украина</v>
      </c>
      <c r="R435">
        <f>IF(COUNTIF($H$2:H435, H435)=1, 1, 0)</f>
        <v>1</v>
      </c>
      <c r="S435" t="str">
        <f>VLOOKUP(Продажи[[#This Row],[id клиента]],клиенты!$A$2:$D$435,4,0)</f>
        <v>нет</v>
      </c>
      <c r="T435" s="54">
        <f>VLOOKUP(Продажи[[#This Row],[id клиента]],клиенты!$A$2:$I$435,9,0)</f>
        <v>8.7392197125256672</v>
      </c>
    </row>
    <row r="436" spans="1:20" x14ac:dyDescent="0.25">
      <c r="A436">
        <v>435</v>
      </c>
      <c r="B436">
        <v>384</v>
      </c>
      <c r="C436">
        <v>303</v>
      </c>
      <c r="D436">
        <v>2</v>
      </c>
      <c r="E436" s="35">
        <v>3030</v>
      </c>
      <c r="F436" s="48">
        <v>45151</v>
      </c>
      <c r="G436" t="s">
        <v>14</v>
      </c>
      <c r="H436">
        <v>235</v>
      </c>
      <c r="I436" t="str">
        <f>VLOOKUP(Продажи[[#This Row],[id товара]],Товары[],2,0)</f>
        <v>Сахар</v>
      </c>
      <c r="J436" s="17">
        <f>AVERAGEIF(Продажи[Категория],Продажи[[#This Row],[Категория]],Продажи[цена за шт в рублях])</f>
        <v>252.76271186440678</v>
      </c>
      <c r="K436" s="16">
        <f>Продажи[[#This Row],[цена за шт в рублях]]/Продажи[[#This Row],[Средняя цена в категории за шт]]-1</f>
        <v>0.1987527660430497</v>
      </c>
      <c r="L436" t="str">
        <f>VLOOKUP(Продажи[[#This Row],[id товара]],Товары[],3,0)</f>
        <v>Сладов</v>
      </c>
      <c r="M436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436" s="16">
        <f>Продажи[[#This Row],[цена за шт в рублях]]/Продажи[[#This Row],[Средняя цена в категории за шт по поставщику]]-1</f>
        <v>0.26109877913429513</v>
      </c>
      <c r="O436" s="48">
        <f>VLOOKUP(Продажи[[#This Row],[id клиента]],клиенты!$A$2:$E$435,5,0)</f>
        <v>44635</v>
      </c>
      <c r="P436">
        <f>Продажи[[#This Row],[дата создания чека]]-Продажи[[#This Row],[Дата регистрации]]</f>
        <v>516</v>
      </c>
      <c r="Q436" t="str">
        <f>VLOOKUP(Продажи[[#This Row],[id клиента]],клиенты!$A$2:$G$435,7,0)</f>
        <v>Узбекистан</v>
      </c>
      <c r="R436">
        <f>IF(COUNTIF($H$2:H436, H436)=1, 1, 0)</f>
        <v>0</v>
      </c>
      <c r="S436" t="str">
        <f>VLOOKUP(Продажи[[#This Row],[id клиента]],клиенты!$A$2:$D$435,4,0)</f>
        <v>нет</v>
      </c>
      <c r="T436" s="54">
        <f>VLOOKUP(Продажи[[#This Row],[id клиента]],клиенты!$A$2:$I$435,9,0)</f>
        <v>25.363449691991786</v>
      </c>
    </row>
    <row r="437" spans="1:20" x14ac:dyDescent="0.25">
      <c r="A437">
        <v>436</v>
      </c>
      <c r="B437">
        <v>473</v>
      </c>
      <c r="C437">
        <v>231</v>
      </c>
      <c r="D437">
        <v>3</v>
      </c>
      <c r="E437" s="35">
        <v>3465</v>
      </c>
      <c r="F437" s="48">
        <v>45074</v>
      </c>
      <c r="G437" t="s">
        <v>11</v>
      </c>
      <c r="H437">
        <v>448</v>
      </c>
      <c r="I437" t="str">
        <f>VLOOKUP(Продажи[[#This Row],[id товара]],Товары[],2,0)</f>
        <v>Хлеб</v>
      </c>
      <c r="J437" s="17">
        <f>AVERAGEIF(Продажи[Категория],Продажи[[#This Row],[Категория]],Продажи[цена за шт в рублях])</f>
        <v>300.31818181818181</v>
      </c>
      <c r="K437" s="16">
        <f>Продажи[[#This Row],[цена за шт в рублях]]/Продажи[[#This Row],[Средняя цена в категории за шт]]-1</f>
        <v>-0.2308158014227335</v>
      </c>
      <c r="L437" t="str">
        <f>VLOOKUP(Продажи[[#This Row],[id товара]],Товары[],3,0)</f>
        <v>Хлебный Дом</v>
      </c>
      <c r="M437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437" s="16">
        <f>Продажи[[#This Row],[цена за шт в рублях]]/Продажи[[#This Row],[Средняя цена в категории за шт по поставщику]]-1</f>
        <v>-0.18007572172266928</v>
      </c>
      <c r="O437" s="48">
        <f>VLOOKUP(Продажи[[#This Row],[id клиента]],клиенты!$A$2:$E$435,5,0)</f>
        <v>44770</v>
      </c>
      <c r="P437">
        <f>Продажи[[#This Row],[дата создания чека]]-Продажи[[#This Row],[Дата регистрации]]</f>
        <v>304</v>
      </c>
      <c r="Q437" t="str">
        <f>VLOOKUP(Продажи[[#This Row],[id клиента]],клиенты!$A$2:$G$435,7,0)</f>
        <v>Россия</v>
      </c>
      <c r="R437">
        <f>IF(COUNTIF($H$2:H437, H437)=1, 1, 0)</f>
        <v>0</v>
      </c>
      <c r="S437" t="str">
        <f>VLOOKUP(Продажи[[#This Row],[id клиента]],клиенты!$A$2:$D$435,4,0)</f>
        <v>нет</v>
      </c>
      <c r="T437" s="54">
        <f>VLOOKUP(Продажи[[#This Row],[id клиента]],клиенты!$A$2:$I$435,9,0)</f>
        <v>17.905544147843944</v>
      </c>
    </row>
    <row r="438" spans="1:20" x14ac:dyDescent="0.25">
      <c r="A438">
        <v>437</v>
      </c>
      <c r="B438">
        <v>383</v>
      </c>
      <c r="C438">
        <v>429</v>
      </c>
      <c r="D438">
        <v>4</v>
      </c>
      <c r="E438" s="35">
        <v>8580</v>
      </c>
      <c r="F438" s="48">
        <v>45120</v>
      </c>
      <c r="G438" t="s">
        <v>20</v>
      </c>
      <c r="H438">
        <v>367</v>
      </c>
      <c r="I438" t="str">
        <f>VLOOKUP(Продажи[[#This Row],[id товара]],Товары[],2,0)</f>
        <v>Фрукты</v>
      </c>
      <c r="J438" s="17">
        <f>AVERAGEIF(Продажи[Категория],Продажи[[#This Row],[Категория]],Продажи[цена за шт в рублях])</f>
        <v>274.16279069767444</v>
      </c>
      <c r="K438" s="16">
        <f>Продажи[[#This Row],[цена за шт в рублях]]/Продажи[[#This Row],[Средняя цена в категории за шт]]-1</f>
        <v>0.56476376282975638</v>
      </c>
      <c r="L438" t="str">
        <f>VLOOKUP(Продажи[[#This Row],[id товара]],Товары[],3,0)</f>
        <v>Фруктовый Рай</v>
      </c>
      <c r="M438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438" s="16">
        <f>Продажи[[#This Row],[цена за шт в рублях]]/Продажи[[#This Row],[Средняя цена в категории за шт по поставщику]]-1</f>
        <v>0.66081000595592609</v>
      </c>
      <c r="O438" s="48">
        <f>VLOOKUP(Продажи[[#This Row],[id клиента]],клиенты!$A$2:$E$435,5,0)</f>
        <v>44867</v>
      </c>
      <c r="P438">
        <f>Продажи[[#This Row],[дата создания чека]]-Продажи[[#This Row],[Дата регистрации]]</f>
        <v>253</v>
      </c>
      <c r="Q438" t="str">
        <f>VLOOKUP(Продажи[[#This Row],[id клиента]],клиенты!$A$2:$G$435,7,0)</f>
        <v>Таджикистан</v>
      </c>
      <c r="R438">
        <f>IF(COUNTIF($H$2:H438, H438)=1, 1, 0)</f>
        <v>1</v>
      </c>
      <c r="S438" t="str">
        <f>VLOOKUP(Продажи[[#This Row],[id клиента]],клиенты!$A$2:$D$435,4,0)</f>
        <v>нет</v>
      </c>
      <c r="T438" s="54">
        <f>VLOOKUP(Продажи[[#This Row],[id клиента]],клиенты!$A$2:$I$435,9,0)</f>
        <v>8.3121149897330593</v>
      </c>
    </row>
    <row r="439" spans="1:20" x14ac:dyDescent="0.25">
      <c r="A439">
        <v>438</v>
      </c>
      <c r="B439">
        <v>406</v>
      </c>
      <c r="C439">
        <v>87</v>
      </c>
      <c r="D439">
        <v>2</v>
      </c>
      <c r="E439" s="35">
        <v>870</v>
      </c>
      <c r="F439" s="48">
        <v>45066</v>
      </c>
      <c r="G439" t="s">
        <v>19</v>
      </c>
      <c r="H439">
        <v>255</v>
      </c>
      <c r="I439" t="str">
        <f>VLOOKUP(Продажи[[#This Row],[id товара]],Товары[],2,0)</f>
        <v>Сок</v>
      </c>
      <c r="J439" s="17">
        <f>AVERAGEIF(Продажи[Категория],Продажи[[#This Row],[Категория]],Продажи[цена за шт в рублях])</f>
        <v>268.60344827586209</v>
      </c>
      <c r="K439" s="16">
        <f>Продажи[[#This Row],[цена за шт в рублях]]/Продажи[[#This Row],[Средняя цена в категории за шт]]-1</f>
        <v>-0.676102445599846</v>
      </c>
      <c r="L439" t="str">
        <f>VLOOKUP(Продажи[[#This Row],[id товара]],Товары[],3,0)</f>
        <v>Фруктовый сад</v>
      </c>
      <c r="M439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439" s="16">
        <f>Продажи[[#This Row],[цена за шт в рублях]]/Продажи[[#This Row],[Средняя цена в категории за шт по поставщику]]-1</f>
        <v>-0.69145517012080238</v>
      </c>
      <c r="O439" s="48">
        <f>VLOOKUP(Продажи[[#This Row],[id клиента]],клиенты!$A$2:$E$435,5,0)</f>
        <v>44793</v>
      </c>
      <c r="P439">
        <f>Продажи[[#This Row],[дата создания чека]]-Продажи[[#This Row],[Дата регистрации]]</f>
        <v>273</v>
      </c>
      <c r="Q439" t="str">
        <f>VLOOKUP(Продажи[[#This Row],[id клиента]],клиенты!$A$2:$G$435,7,0)</f>
        <v>Украина</v>
      </c>
      <c r="R439">
        <f>IF(COUNTIF($H$2:H439, H439)=1, 1, 0)</f>
        <v>0</v>
      </c>
      <c r="S439" t="str">
        <f>VLOOKUP(Продажи[[#This Row],[id клиента]],клиенты!$A$2:$D$435,4,0)</f>
        <v>да</v>
      </c>
      <c r="T439" s="54">
        <f>VLOOKUP(Продажи[[#This Row],[id клиента]],клиенты!$A$2:$I$435,9,0)</f>
        <v>19.219712525667351</v>
      </c>
    </row>
    <row r="440" spans="1:20" x14ac:dyDescent="0.25">
      <c r="A440">
        <v>439</v>
      </c>
      <c r="B440">
        <v>252</v>
      </c>
      <c r="C440">
        <v>50</v>
      </c>
      <c r="D440">
        <v>1</v>
      </c>
      <c r="E440" s="35">
        <v>250</v>
      </c>
      <c r="F440" s="48">
        <v>44960</v>
      </c>
      <c r="G440" t="s">
        <v>15</v>
      </c>
      <c r="H440">
        <v>138</v>
      </c>
      <c r="I440" t="str">
        <f>VLOOKUP(Продажи[[#This Row],[id товара]],Товары[],2,0)</f>
        <v>Чай</v>
      </c>
      <c r="J440" s="17">
        <f>AVERAGEIF(Продажи[Категория],Продажи[[#This Row],[Категория]],Продажи[цена за шт в рублях])</f>
        <v>271.18181818181819</v>
      </c>
      <c r="K440" s="16">
        <f>Продажи[[#This Row],[цена за шт в рублях]]/Продажи[[#This Row],[Средняя цена в категории за шт]]-1</f>
        <v>-0.81562185719074753</v>
      </c>
      <c r="L440" t="str">
        <f>VLOOKUP(Продажи[[#This Row],[id товара]],Товары[],3,0)</f>
        <v>Lipton</v>
      </c>
      <c r="M440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440" s="16">
        <f>Продажи[[#This Row],[цена за шт в рублях]]/Продажи[[#This Row],[Средняя цена в категории за шт по поставщику]]-1</f>
        <v>-0.80780902286061096</v>
      </c>
      <c r="O440" s="48">
        <f>VLOOKUP(Продажи[[#This Row],[id клиента]],клиенты!$A$2:$E$435,5,0)</f>
        <v>44723</v>
      </c>
      <c r="P440">
        <f>Продажи[[#This Row],[дата создания чека]]-Продажи[[#This Row],[Дата регистрации]]</f>
        <v>237</v>
      </c>
      <c r="Q440" t="str">
        <f>VLOOKUP(Продажи[[#This Row],[id клиента]],клиенты!$A$2:$G$435,7,0)</f>
        <v>Украина</v>
      </c>
      <c r="R440">
        <f>IF(COUNTIF($H$2:H440, H440)=1, 1, 0)</f>
        <v>1</v>
      </c>
      <c r="S440" t="str">
        <f>VLOOKUP(Продажи[[#This Row],[id клиента]],клиенты!$A$2:$D$435,4,0)</f>
        <v>да</v>
      </c>
      <c r="T440" s="54">
        <f>VLOOKUP(Продажи[[#This Row],[id клиента]],клиенты!$A$2:$I$435,9,0)</f>
        <v>15.770020533880903</v>
      </c>
    </row>
    <row r="441" spans="1:20" x14ac:dyDescent="0.25">
      <c r="A441">
        <v>440</v>
      </c>
      <c r="B441">
        <v>365</v>
      </c>
      <c r="C441">
        <v>127</v>
      </c>
      <c r="D441">
        <v>1</v>
      </c>
      <c r="E441" s="35">
        <v>635</v>
      </c>
      <c r="F441" s="48">
        <v>45351</v>
      </c>
      <c r="G441" t="s">
        <v>19</v>
      </c>
      <c r="H441">
        <v>158</v>
      </c>
      <c r="I441" t="str">
        <f>VLOOKUP(Продажи[[#This Row],[id товара]],Товары[],2,0)</f>
        <v>Мясо</v>
      </c>
      <c r="J441" s="17">
        <f>AVERAGEIF(Продажи[Категория],Продажи[[#This Row],[Категория]],Продажи[цена за шт в рублях])</f>
        <v>271.74545454545455</v>
      </c>
      <c r="K441" s="16">
        <f>Продажи[[#This Row],[цена за шт в рублях]]/Продажи[[#This Row],[Средняя цена в категории за шт]]-1</f>
        <v>-0.53265087648869258</v>
      </c>
      <c r="L441" t="str">
        <f>VLOOKUP(Продажи[[#This Row],[id товара]],Товары[],3,0)</f>
        <v>Агрокомплекс</v>
      </c>
      <c r="M441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441" s="16">
        <f>Продажи[[#This Row],[цена за шт в рублях]]/Продажи[[#This Row],[Средняя цена в категории за шт по поставщику]]-1</f>
        <v>-0.5919023136246786</v>
      </c>
      <c r="O441" s="48">
        <f>VLOOKUP(Продажи[[#This Row],[id клиента]],клиенты!$A$2:$E$435,5,0)</f>
        <v>44752</v>
      </c>
      <c r="P441">
        <f>Продажи[[#This Row],[дата создания чека]]-Продажи[[#This Row],[Дата регистрации]]</f>
        <v>599</v>
      </c>
      <c r="Q441" t="str">
        <f>VLOOKUP(Продажи[[#This Row],[id клиента]],клиенты!$A$2:$G$435,7,0)</f>
        <v>Узбекистан</v>
      </c>
      <c r="R441">
        <f>IF(COUNTIF($H$2:H441, H441)=1, 1, 0)</f>
        <v>1</v>
      </c>
      <c r="S441" t="str">
        <f>VLOOKUP(Продажи[[#This Row],[id клиента]],клиенты!$A$2:$D$435,4,0)</f>
        <v>нет</v>
      </c>
      <c r="T441" s="54">
        <f>VLOOKUP(Продажи[[#This Row],[id клиента]],клиенты!$A$2:$I$435,9,0)</f>
        <v>19.679671457905545</v>
      </c>
    </row>
    <row r="442" spans="1:20" x14ac:dyDescent="0.25">
      <c r="A442">
        <v>441</v>
      </c>
      <c r="B442">
        <v>420</v>
      </c>
      <c r="C442">
        <v>390</v>
      </c>
      <c r="D442">
        <v>3</v>
      </c>
      <c r="E442" s="35">
        <v>5850</v>
      </c>
      <c r="F442" s="48">
        <v>45183</v>
      </c>
      <c r="G442" t="s">
        <v>9</v>
      </c>
      <c r="H442">
        <v>217</v>
      </c>
      <c r="I442" t="str">
        <f>VLOOKUP(Продажи[[#This Row],[id товара]],Товары[],2,0)</f>
        <v>Хлеб</v>
      </c>
      <c r="J442" s="17">
        <f>AVERAGEIF(Продажи[Категория],Продажи[[#This Row],[Категория]],Продажи[цена за шт в рублях])</f>
        <v>300.31818181818181</v>
      </c>
      <c r="K442" s="16">
        <f>Продажи[[#This Row],[цена за шт в рублях]]/Продажи[[#This Row],[Средняя цена в категории за шт]]-1</f>
        <v>0.29862267292265776</v>
      </c>
      <c r="L442" t="str">
        <f>VLOOKUP(Продажи[[#This Row],[id товара]],Товары[],3,0)</f>
        <v>Хлебный Дом</v>
      </c>
      <c r="M442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442" s="16">
        <f>Продажи[[#This Row],[цена за шт в рублях]]/Продажи[[#This Row],[Средняя цена в категории за шт по поставщику]]-1</f>
        <v>0.38428774254614284</v>
      </c>
      <c r="O442" s="48">
        <f>VLOOKUP(Продажи[[#This Row],[id клиента]],клиенты!$A$2:$E$435,5,0)</f>
        <v>44826</v>
      </c>
      <c r="P442">
        <f>Продажи[[#This Row],[дата создания чека]]-Продажи[[#This Row],[Дата регистрации]]</f>
        <v>357</v>
      </c>
      <c r="Q442" t="str">
        <f>VLOOKUP(Продажи[[#This Row],[id клиента]],клиенты!$A$2:$G$435,7,0)</f>
        <v>Россия</v>
      </c>
      <c r="R442">
        <f>IF(COUNTIF($H$2:H442, H442)=1, 1, 0)</f>
        <v>1</v>
      </c>
      <c r="S442" t="str">
        <f>VLOOKUP(Продажи[[#This Row],[id клиента]],клиенты!$A$2:$D$435,4,0)</f>
        <v>нет</v>
      </c>
      <c r="T442" s="54">
        <f>VLOOKUP(Продажи[[#This Row],[id клиента]],клиенты!$A$2:$I$435,9,0)</f>
        <v>11.728952772073923</v>
      </c>
    </row>
    <row r="443" spans="1:20" x14ac:dyDescent="0.25">
      <c r="A443">
        <v>442</v>
      </c>
      <c r="B443">
        <v>97</v>
      </c>
      <c r="C443">
        <v>298</v>
      </c>
      <c r="D443">
        <v>2</v>
      </c>
      <c r="E443" s="35">
        <v>2980</v>
      </c>
      <c r="F443" s="48">
        <v>45102</v>
      </c>
      <c r="G443" t="s">
        <v>17</v>
      </c>
      <c r="H443">
        <v>102</v>
      </c>
      <c r="I443" t="str">
        <f>VLOOKUP(Продажи[[#This Row],[id товара]],Товары[],2,0)</f>
        <v>Печенье</v>
      </c>
      <c r="J443" s="17">
        <f>AVERAGEIF(Продажи[Категория],Продажи[[#This Row],[Категория]],Продажи[цена за шт в рублях])</f>
        <v>283.468085106383</v>
      </c>
      <c r="K443" s="16">
        <f>Продажи[[#This Row],[цена за шт в рублях]]/Продажи[[#This Row],[Средняя цена в категории за шт]]-1</f>
        <v>5.1264730165878403E-2</v>
      </c>
      <c r="L443" t="str">
        <f>VLOOKUP(Продажи[[#This Row],[id товара]],Товары[],3,0)</f>
        <v>КДВ</v>
      </c>
      <c r="M443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443" s="16">
        <f>Продажи[[#This Row],[цена за шт в рублях]]/Продажи[[#This Row],[Средняя цена в категории за шт по поставщику]]-1</f>
        <v>-7.7619047619047699E-2</v>
      </c>
      <c r="O443" s="48">
        <f>VLOOKUP(Продажи[[#This Row],[id клиента]],клиенты!$A$2:$E$435,5,0)</f>
        <v>44723</v>
      </c>
      <c r="P443">
        <f>Продажи[[#This Row],[дата создания чека]]-Продажи[[#This Row],[Дата регистрации]]</f>
        <v>379</v>
      </c>
      <c r="Q443" t="str">
        <f>VLOOKUP(Продажи[[#This Row],[id клиента]],клиенты!$A$2:$G$435,7,0)</f>
        <v>Узбекистан</v>
      </c>
      <c r="R443">
        <f>IF(COUNTIF($H$2:H443, H443)=1, 1, 0)</f>
        <v>1</v>
      </c>
      <c r="S443" t="str">
        <f>VLOOKUP(Продажи[[#This Row],[id клиента]],клиенты!$A$2:$D$435,4,0)</f>
        <v>нет</v>
      </c>
      <c r="T443" s="54">
        <f>VLOOKUP(Продажи[[#This Row],[id клиента]],клиенты!$A$2:$I$435,9,0)</f>
        <v>22.143737166324435</v>
      </c>
    </row>
    <row r="444" spans="1:20" x14ac:dyDescent="0.25">
      <c r="A444">
        <v>443</v>
      </c>
      <c r="B444">
        <v>217</v>
      </c>
      <c r="C444">
        <v>471</v>
      </c>
      <c r="D444">
        <v>3</v>
      </c>
      <c r="E444" s="35">
        <v>7065</v>
      </c>
      <c r="F444" s="48">
        <v>45206</v>
      </c>
      <c r="G444" t="s">
        <v>14</v>
      </c>
      <c r="H444">
        <v>425</v>
      </c>
      <c r="I444" t="str">
        <f>VLOOKUP(Продажи[[#This Row],[id товара]],Товары[],2,0)</f>
        <v>Мясо</v>
      </c>
      <c r="J444" s="17">
        <f>AVERAGEIF(Продажи[Категория],Продажи[[#This Row],[Категория]],Продажи[цена за шт в рублях])</f>
        <v>271.74545454545455</v>
      </c>
      <c r="K444" s="16">
        <f>Продажи[[#This Row],[цена за шт в рублях]]/Продажи[[#This Row],[Средняя цена в категории за шт]]-1</f>
        <v>0.73323966278602959</v>
      </c>
      <c r="L444" t="str">
        <f>VLOOKUP(Продажи[[#This Row],[id товара]],Товары[],3,0)</f>
        <v>Агрокомплекс</v>
      </c>
      <c r="M444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444" s="16">
        <f>Продажи[[#This Row],[цена за шт в рублях]]/Продажи[[#This Row],[Средняя цена в категории за шт по поставщику]]-1</f>
        <v>0.513496143958869</v>
      </c>
      <c r="O444" s="48">
        <f>VLOOKUP(Продажи[[#This Row],[id клиента]],клиенты!$A$2:$E$435,5,0)</f>
        <v>44782</v>
      </c>
      <c r="P444">
        <f>Продажи[[#This Row],[дата создания чека]]-Продажи[[#This Row],[Дата регистрации]]</f>
        <v>424</v>
      </c>
      <c r="Q444" t="str">
        <f>VLOOKUP(Продажи[[#This Row],[id клиента]],клиенты!$A$2:$G$435,7,0)</f>
        <v>Узбекистан</v>
      </c>
      <c r="R444">
        <f>IF(COUNTIF($H$2:H444, H444)=1, 1, 0)</f>
        <v>1</v>
      </c>
      <c r="S444" t="str">
        <f>VLOOKUP(Продажи[[#This Row],[id клиента]],клиенты!$A$2:$D$435,4,0)</f>
        <v>нет</v>
      </c>
      <c r="T444" s="54">
        <f>VLOOKUP(Продажи[[#This Row],[id клиента]],клиенты!$A$2:$I$435,9,0)</f>
        <v>13.930184804928132</v>
      </c>
    </row>
    <row r="445" spans="1:20" x14ac:dyDescent="0.25">
      <c r="A445">
        <v>444</v>
      </c>
      <c r="B445">
        <v>47</v>
      </c>
      <c r="C445">
        <v>315</v>
      </c>
      <c r="D445">
        <v>3</v>
      </c>
      <c r="E445" s="35">
        <v>4725</v>
      </c>
      <c r="F445" s="48">
        <v>45362</v>
      </c>
      <c r="G445" t="s">
        <v>22</v>
      </c>
      <c r="H445">
        <v>140</v>
      </c>
      <c r="I445" t="str">
        <f>VLOOKUP(Продажи[[#This Row],[id товара]],Товары[],2,0)</f>
        <v>Мясо</v>
      </c>
      <c r="J445" s="17">
        <f>AVERAGEIF(Продажи[Категория],Продажи[[#This Row],[Категория]],Продажи[цена за шт в рублях])</f>
        <v>271.74545454545455</v>
      </c>
      <c r="K445" s="16">
        <f>Продажи[[#This Row],[цена за шт в рублях]]/Продажи[[#This Row],[Средняя цена в категории за шт]]-1</f>
        <v>0.15917302288237645</v>
      </c>
      <c r="L445" t="str">
        <f>VLOOKUP(Продажи[[#This Row],[id товара]],Товары[],3,0)</f>
        <v>Снежана</v>
      </c>
      <c r="M445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445" s="16">
        <f>Продажи[[#This Row],[цена за шт в рублях]]/Продажи[[#This Row],[Средняя цена в категории за шт по поставщику]]-1</f>
        <v>0.15658747300215969</v>
      </c>
      <c r="O445" s="48">
        <f>VLOOKUP(Продажи[[#This Row],[id клиента]],клиенты!$A$2:$E$435,5,0)</f>
        <v>44627</v>
      </c>
      <c r="P445">
        <f>Продажи[[#This Row],[дата создания чека]]-Продажи[[#This Row],[Дата регистрации]]</f>
        <v>735</v>
      </c>
      <c r="Q445" t="str">
        <f>VLOOKUP(Продажи[[#This Row],[id клиента]],клиенты!$A$2:$G$435,7,0)</f>
        <v>Россия</v>
      </c>
      <c r="R445">
        <f>IF(COUNTIF($H$2:H445, H445)=1, 1, 0)</f>
        <v>0</v>
      </c>
      <c r="S445" t="str">
        <f>VLOOKUP(Продажи[[#This Row],[id клиента]],клиенты!$A$2:$D$435,4,0)</f>
        <v>да</v>
      </c>
      <c r="T445" s="54">
        <f>VLOOKUP(Продажи[[#This Row],[id клиента]],клиенты!$A$2:$I$435,9,0)</f>
        <v>24.147843942505133</v>
      </c>
    </row>
    <row r="446" spans="1:20" x14ac:dyDescent="0.25">
      <c r="A446">
        <v>445</v>
      </c>
      <c r="B446">
        <v>346</v>
      </c>
      <c r="C446">
        <v>267</v>
      </c>
      <c r="D446">
        <v>3</v>
      </c>
      <c r="E446" s="35">
        <v>4005</v>
      </c>
      <c r="F446" s="48">
        <v>45406</v>
      </c>
      <c r="G446" t="s">
        <v>21</v>
      </c>
      <c r="H446">
        <v>385</v>
      </c>
      <c r="I446" t="str">
        <f>VLOOKUP(Продажи[[#This Row],[id товара]],Товары[],2,0)</f>
        <v>Чай</v>
      </c>
      <c r="J446" s="17">
        <f>AVERAGEIF(Продажи[Категория],Продажи[[#This Row],[Категория]],Продажи[цена за шт в рублях])</f>
        <v>271.18181818181819</v>
      </c>
      <c r="K446" s="16">
        <f>Продажи[[#This Row],[цена за шт в рублях]]/Продажи[[#This Row],[Средняя цена в категории за шт]]-1</f>
        <v>-1.5420717398592076E-2</v>
      </c>
      <c r="L446" t="str">
        <f>VLOOKUP(Продажи[[#This Row],[id товара]],Товары[],3,0)</f>
        <v>Greenfield</v>
      </c>
      <c r="M446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446" s="16">
        <f>Продажи[[#This Row],[цена за шт в рублях]]/Продажи[[#This Row],[Средняя цена в категории за шт по поставщику]]-1</f>
        <v>-8.3905177791640639E-2</v>
      </c>
      <c r="O446" s="48">
        <f>VLOOKUP(Продажи[[#This Row],[id клиента]],клиенты!$A$2:$E$435,5,0)</f>
        <v>44753</v>
      </c>
      <c r="P446">
        <f>Продажи[[#This Row],[дата создания чека]]-Продажи[[#This Row],[Дата регистрации]]</f>
        <v>653</v>
      </c>
      <c r="Q446" t="str">
        <f>VLOOKUP(Продажи[[#This Row],[id клиента]],клиенты!$A$2:$G$435,7,0)</f>
        <v>Украина</v>
      </c>
      <c r="R446">
        <f>IF(COUNTIF($H$2:H446, H446)=1, 1, 0)</f>
        <v>0</v>
      </c>
      <c r="S446" t="str">
        <f>VLOOKUP(Продажи[[#This Row],[id клиента]],клиенты!$A$2:$D$435,4,0)</f>
        <v>нет</v>
      </c>
      <c r="T446" s="54">
        <f>VLOOKUP(Продажи[[#This Row],[id клиента]],клиенты!$A$2:$I$435,9,0)</f>
        <v>21.453798767967147</v>
      </c>
    </row>
    <row r="447" spans="1:20" x14ac:dyDescent="0.25">
      <c r="A447">
        <v>446</v>
      </c>
      <c r="B447">
        <v>47</v>
      </c>
      <c r="C447">
        <v>476</v>
      </c>
      <c r="D447">
        <v>4</v>
      </c>
      <c r="E447" s="35">
        <v>9520</v>
      </c>
      <c r="F447" s="48">
        <v>45425</v>
      </c>
      <c r="G447" t="s">
        <v>13</v>
      </c>
      <c r="H447">
        <v>43</v>
      </c>
      <c r="I447" t="str">
        <f>VLOOKUP(Продажи[[#This Row],[id товара]],Товары[],2,0)</f>
        <v>Мясо</v>
      </c>
      <c r="J447" s="17">
        <f>AVERAGEIF(Продажи[Категория],Продажи[[#This Row],[Категория]],Продажи[цена за шт в рублях])</f>
        <v>271.74545454545455</v>
      </c>
      <c r="K447" s="16">
        <f>Продажи[[#This Row],[цена за шт в рублях]]/Продажи[[#This Row],[Средняя цена в категории за шт]]-1</f>
        <v>0.75163923457781334</v>
      </c>
      <c r="L447" t="str">
        <f>VLOOKUP(Продажи[[#This Row],[id товара]],Товары[],3,0)</f>
        <v>Снежана</v>
      </c>
      <c r="M447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447" s="16">
        <f>Продажи[[#This Row],[цена за шт в рублях]]/Продажи[[#This Row],[Средняя цена в категории за шт по поставщику]]-1</f>
        <v>0.74773218142548581</v>
      </c>
      <c r="O447" s="48">
        <f>VLOOKUP(Продажи[[#This Row],[id клиента]],клиенты!$A$2:$E$435,5,0)</f>
        <v>44912</v>
      </c>
      <c r="P447">
        <f>Продажи[[#This Row],[дата создания чека]]-Продажи[[#This Row],[Дата регистрации]]</f>
        <v>513</v>
      </c>
      <c r="Q447" t="str">
        <f>VLOOKUP(Продажи[[#This Row],[id клиента]],клиенты!$A$2:$G$435,7,0)</f>
        <v>Россия</v>
      </c>
      <c r="R447">
        <f>IF(COUNTIF($H$2:H447, H447)=1, 1, 0)</f>
        <v>1</v>
      </c>
      <c r="S447" t="str">
        <f>VLOOKUP(Продажи[[#This Row],[id клиента]],клиенты!$A$2:$D$435,4,0)</f>
        <v>да</v>
      </c>
      <c r="T447" s="54">
        <f>VLOOKUP(Продажи[[#This Row],[id клиента]],клиенты!$A$2:$I$435,9,0)</f>
        <v>16.854209445585216</v>
      </c>
    </row>
    <row r="448" spans="1:20" x14ac:dyDescent="0.25">
      <c r="A448">
        <v>447</v>
      </c>
      <c r="B448">
        <v>290</v>
      </c>
      <c r="C448">
        <v>97</v>
      </c>
      <c r="D448">
        <v>4</v>
      </c>
      <c r="E448" s="35">
        <v>1940</v>
      </c>
      <c r="F448" s="48">
        <v>45256</v>
      </c>
      <c r="G448" t="s">
        <v>19</v>
      </c>
      <c r="H448">
        <v>326</v>
      </c>
      <c r="I448" t="str">
        <f>VLOOKUP(Продажи[[#This Row],[id товара]],Товары[],2,0)</f>
        <v>Сахар</v>
      </c>
      <c r="J448" s="17">
        <f>AVERAGEIF(Продажи[Категория],Продажи[[#This Row],[Категория]],Продажи[цена за шт в рублях])</f>
        <v>252.76271186440678</v>
      </c>
      <c r="K448" s="16">
        <f>Продажи[[#This Row],[цена за шт в рублях]]/Продажи[[#This Row],[Средняя цена в категории за шт]]-1</f>
        <v>-0.6162408636759874</v>
      </c>
      <c r="L448" t="str">
        <f>VLOOKUP(Продажи[[#This Row],[id товара]],Товары[],3,0)</f>
        <v>Продимекс</v>
      </c>
      <c r="M448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448" s="16">
        <f>Продажи[[#This Row],[цена за шт в рублях]]/Продажи[[#This Row],[Средняя цена в категории за шт по поставщику]]-1</f>
        <v>-0.59667359667359665</v>
      </c>
      <c r="O448" s="48">
        <f>VLOOKUP(Продажи[[#This Row],[id клиента]],клиенты!$A$2:$E$435,5,0)</f>
        <v>44655</v>
      </c>
      <c r="P448">
        <f>Продажи[[#This Row],[дата создания чека]]-Продажи[[#This Row],[Дата регистрации]]</f>
        <v>601</v>
      </c>
      <c r="Q448" t="str">
        <f>VLOOKUP(Продажи[[#This Row],[id клиента]],клиенты!$A$2:$G$435,7,0)</f>
        <v>Россия</v>
      </c>
      <c r="R448">
        <f>IF(COUNTIF($H$2:H448, H448)=1, 1, 0)</f>
        <v>1</v>
      </c>
      <c r="S448" t="str">
        <f>VLOOKUP(Продажи[[#This Row],[id клиента]],клиенты!$A$2:$D$435,4,0)</f>
        <v>нет</v>
      </c>
      <c r="T448" s="54">
        <f>VLOOKUP(Продажи[[#This Row],[id клиента]],клиенты!$A$2:$I$435,9,0)</f>
        <v>20.829568788501028</v>
      </c>
    </row>
    <row r="449" spans="1:20" x14ac:dyDescent="0.25">
      <c r="A449">
        <v>448</v>
      </c>
      <c r="B449">
        <v>484</v>
      </c>
      <c r="C449">
        <v>114</v>
      </c>
      <c r="D449">
        <v>1</v>
      </c>
      <c r="E449" s="35">
        <v>570</v>
      </c>
      <c r="F449" s="48">
        <v>45007</v>
      </c>
      <c r="G449" t="s">
        <v>27</v>
      </c>
      <c r="H449">
        <v>402</v>
      </c>
      <c r="I449" t="str">
        <f>VLOOKUP(Продажи[[#This Row],[id товара]],Товары[],2,0)</f>
        <v>Печенье</v>
      </c>
      <c r="J449" s="17">
        <f>AVERAGEIF(Продажи[Категория],Продажи[[#This Row],[Категория]],Продажи[цена за шт в рублях])</f>
        <v>283.468085106383</v>
      </c>
      <c r="K449" s="16">
        <f>Продажи[[#This Row],[цена за шт в рублях]]/Продажи[[#This Row],[Средняя цена в категории за шт]]-1</f>
        <v>-0.59783832470164389</v>
      </c>
      <c r="L449" t="str">
        <f>VLOOKUP(Продажи[[#This Row],[id товара]],Товары[],3,0)</f>
        <v>КДВ</v>
      </c>
      <c r="M449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449" s="16">
        <f>Продажи[[#This Row],[цена за шт в рублях]]/Продажи[[#This Row],[Средняя цена в категории за шт по поставщику]]-1</f>
        <v>-0.64714285714285724</v>
      </c>
      <c r="O449" s="48">
        <f>VLOOKUP(Продажи[[#This Row],[id клиента]],клиенты!$A$2:$E$435,5,0)</f>
        <v>44742</v>
      </c>
      <c r="P449">
        <f>Продажи[[#This Row],[дата создания чека]]-Продажи[[#This Row],[Дата регистрации]]</f>
        <v>265</v>
      </c>
      <c r="Q449" t="str">
        <f>VLOOKUP(Продажи[[#This Row],[id клиента]],клиенты!$A$2:$G$435,7,0)</f>
        <v>Узбекистан</v>
      </c>
      <c r="R449">
        <f>IF(COUNTIF($H$2:H449, H449)=1, 1, 0)</f>
        <v>1</v>
      </c>
      <c r="S449" t="str">
        <f>VLOOKUP(Продажи[[#This Row],[id клиента]],клиенты!$A$2:$D$435,4,0)</f>
        <v>да</v>
      </c>
      <c r="T449" s="54">
        <f>VLOOKUP(Продажи[[#This Row],[id клиента]],клиенты!$A$2:$I$435,9,0)</f>
        <v>11.564681724845997</v>
      </c>
    </row>
    <row r="450" spans="1:20" x14ac:dyDescent="0.25">
      <c r="A450">
        <v>449</v>
      </c>
      <c r="B450">
        <v>192</v>
      </c>
      <c r="C450">
        <v>147</v>
      </c>
      <c r="D450">
        <v>1</v>
      </c>
      <c r="E450" s="35">
        <v>735</v>
      </c>
      <c r="F450" s="48">
        <v>44935</v>
      </c>
      <c r="G450" t="s">
        <v>15</v>
      </c>
      <c r="H450">
        <v>23</v>
      </c>
      <c r="I450" t="str">
        <f>VLOOKUP(Продажи[[#This Row],[id товара]],Товары[],2,0)</f>
        <v>Мясо</v>
      </c>
      <c r="J450" s="17">
        <f>AVERAGEIF(Продажи[Категория],Продажи[[#This Row],[Категория]],Продажи[цена за шт в рублях])</f>
        <v>271.74545454545455</v>
      </c>
      <c r="K450" s="16">
        <f>Продажи[[#This Row],[цена за шт в рублях]]/Продажи[[#This Row],[Средняя цена в категории за шт]]-1</f>
        <v>-0.45905258932155757</v>
      </c>
      <c r="L450" t="str">
        <f>VLOOKUP(Продажи[[#This Row],[id товара]],Товары[],3,0)</f>
        <v>Снежана</v>
      </c>
      <c r="M450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450" s="16">
        <f>Продажи[[#This Row],[цена за шт в рублях]]/Продажи[[#This Row],[Средняя цена в категории за шт по поставщику]]-1</f>
        <v>-0.46025917926565874</v>
      </c>
      <c r="O450" s="48">
        <f>VLOOKUP(Продажи[[#This Row],[id клиента]],клиенты!$A$2:$E$435,5,0)</f>
        <v>44706</v>
      </c>
      <c r="P450">
        <f>Продажи[[#This Row],[дата создания чека]]-Продажи[[#This Row],[Дата регистрации]]</f>
        <v>229</v>
      </c>
      <c r="Q450" t="str">
        <f>VLOOKUP(Продажи[[#This Row],[id клиента]],клиенты!$A$2:$G$435,7,0)</f>
        <v>Россия</v>
      </c>
      <c r="R450">
        <f>IF(COUNTIF($H$2:H450, H450)=1, 1, 0)</f>
        <v>1</v>
      </c>
      <c r="S450" t="str">
        <f>VLOOKUP(Продажи[[#This Row],[id клиента]],клиенты!$A$2:$D$435,4,0)</f>
        <v>нет</v>
      </c>
      <c r="T450" s="54">
        <f>VLOOKUP(Продажи[[#This Row],[id клиента]],клиенты!$A$2:$I$435,9,0)</f>
        <v>7.523613963039014</v>
      </c>
    </row>
    <row r="451" spans="1:20" x14ac:dyDescent="0.25">
      <c r="A451">
        <v>450</v>
      </c>
      <c r="B451">
        <v>187</v>
      </c>
      <c r="C451">
        <v>185</v>
      </c>
      <c r="D451">
        <v>2</v>
      </c>
      <c r="E451" s="35">
        <v>1850</v>
      </c>
      <c r="F451" s="48">
        <v>45102</v>
      </c>
      <c r="G451" t="s">
        <v>16</v>
      </c>
      <c r="H451">
        <v>468</v>
      </c>
      <c r="I451" t="str">
        <f>VLOOKUP(Продажи[[#This Row],[id товара]],Товары[],2,0)</f>
        <v>Макароны</v>
      </c>
      <c r="J451" s="17">
        <f>AVERAGEIF(Продажи[Категория],Продажи[[#This Row],[Категория]],Продажи[цена за шт в рублях])</f>
        <v>265.47674418604652</v>
      </c>
      <c r="K451" s="16">
        <f>Продажи[[#This Row],[цена за шт в рублях]]/Продажи[[#This Row],[Средняя цена в категории за шт]]-1</f>
        <v>-0.30314046690902718</v>
      </c>
      <c r="L451" t="str">
        <f>VLOOKUP(Продажи[[#This Row],[id товара]],Товары[],3,0)</f>
        <v>Паста Зара</v>
      </c>
      <c r="M451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451" s="16">
        <f>Продажи[[#This Row],[цена за шт в рублях]]/Продажи[[#This Row],[Средняя цена в категории за шт по поставщику]]-1</f>
        <v>-0.331347074338185</v>
      </c>
      <c r="O451" s="48">
        <f>VLOOKUP(Продажи[[#This Row],[id клиента]],клиенты!$A$2:$E$435,5,0)</f>
        <v>44619</v>
      </c>
      <c r="P451">
        <f>Продажи[[#This Row],[дата создания чека]]-Продажи[[#This Row],[Дата регистрации]]</f>
        <v>483</v>
      </c>
      <c r="Q451" t="str">
        <f>VLOOKUP(Продажи[[#This Row],[id клиента]],клиенты!$A$2:$G$435,7,0)</f>
        <v>Узбекистан</v>
      </c>
      <c r="R451">
        <f>IF(COUNTIF($H$2:H451, H451)=1, 1, 0)</f>
        <v>1</v>
      </c>
      <c r="S451" t="str">
        <f>VLOOKUP(Продажи[[#This Row],[id клиента]],клиенты!$A$2:$D$435,4,0)</f>
        <v>да</v>
      </c>
      <c r="T451" s="54">
        <f>VLOOKUP(Продажи[[#This Row],[id клиента]],клиенты!$A$2:$I$435,9,0)</f>
        <v>15.868583162217659</v>
      </c>
    </row>
    <row r="452" spans="1:20" x14ac:dyDescent="0.25">
      <c r="A452">
        <v>451</v>
      </c>
      <c r="B452">
        <v>429</v>
      </c>
      <c r="C452">
        <v>368</v>
      </c>
      <c r="D452">
        <v>2</v>
      </c>
      <c r="E452" s="35">
        <v>3680</v>
      </c>
      <c r="F452" s="48">
        <v>45008</v>
      </c>
      <c r="G452" t="s">
        <v>14</v>
      </c>
      <c r="H452">
        <v>16</v>
      </c>
      <c r="I452" t="str">
        <f>VLOOKUP(Продажи[[#This Row],[id товара]],Товары[],2,0)</f>
        <v>Крупа</v>
      </c>
      <c r="J452" s="17">
        <f>AVERAGEIF(Продажи[Категория],Продажи[[#This Row],[Категория]],Продажи[цена за шт в рублях])</f>
        <v>255.11627906976744</v>
      </c>
      <c r="K452" s="16">
        <f>Продажи[[#This Row],[цена за шт в рублях]]/Продажи[[#This Row],[Средняя цена в категории за шт]]-1</f>
        <v>0.44247948951686422</v>
      </c>
      <c r="L452" t="str">
        <f>VLOOKUP(Продажи[[#This Row],[id товара]],Товары[],3,0)</f>
        <v>Увелка</v>
      </c>
      <c r="M452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452" s="16">
        <f>Продажи[[#This Row],[цена за шт в рублях]]/Продажи[[#This Row],[Средняя цена в категории за шт по поставщику]]-1</f>
        <v>0.46080052927555415</v>
      </c>
      <c r="O452" s="48">
        <f>VLOOKUP(Продажи[[#This Row],[id клиента]],клиенты!$A$2:$E$435,5,0)</f>
        <v>44713</v>
      </c>
      <c r="P452">
        <f>Продажи[[#This Row],[дата создания чека]]-Продажи[[#This Row],[Дата регистрации]]</f>
        <v>295</v>
      </c>
      <c r="Q452" t="str">
        <f>VLOOKUP(Продажи[[#This Row],[id клиента]],клиенты!$A$2:$G$435,7,0)</f>
        <v>Украина</v>
      </c>
      <c r="R452">
        <f>IF(COUNTIF($H$2:H452, H452)=1, 1, 0)</f>
        <v>0</v>
      </c>
      <c r="S452" t="str">
        <f>VLOOKUP(Продажи[[#This Row],[id клиента]],клиенты!$A$2:$D$435,4,0)</f>
        <v>нет</v>
      </c>
      <c r="T452" s="54">
        <f>VLOOKUP(Продажи[[#This Row],[id клиента]],клиенты!$A$2:$I$435,9,0)</f>
        <v>22.17659137577002</v>
      </c>
    </row>
    <row r="453" spans="1:20" x14ac:dyDescent="0.25">
      <c r="A453">
        <v>452</v>
      </c>
      <c r="B453">
        <v>93</v>
      </c>
      <c r="C453">
        <v>387</v>
      </c>
      <c r="D453">
        <v>2</v>
      </c>
      <c r="E453" s="35">
        <v>3870</v>
      </c>
      <c r="F453" s="48">
        <v>45219</v>
      </c>
      <c r="G453" t="s">
        <v>16</v>
      </c>
      <c r="H453">
        <v>156</v>
      </c>
      <c r="I453" t="str">
        <f>VLOOKUP(Продажи[[#This Row],[id товара]],Товары[],2,0)</f>
        <v>Чай</v>
      </c>
      <c r="J453" s="17">
        <f>AVERAGEIF(Продажи[Категория],Продажи[[#This Row],[Категория]],Продажи[цена за шт в рублях])</f>
        <v>271.18181818181819</v>
      </c>
      <c r="K453" s="16">
        <f>Продажи[[#This Row],[цена за шт в рублях]]/Продажи[[#This Row],[Средняя цена в категории за шт]]-1</f>
        <v>0.42708682534361375</v>
      </c>
      <c r="L453" t="str">
        <f>VLOOKUP(Продажи[[#This Row],[id товара]],Товары[],3,0)</f>
        <v>Greenfield</v>
      </c>
      <c r="M453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453" s="16">
        <f>Продажи[[#This Row],[цена за шт в рублях]]/Продажи[[#This Row],[Средняя цена в категории за шт по поставщику]]-1</f>
        <v>0.32782283218964459</v>
      </c>
      <c r="O453" s="48">
        <f>VLOOKUP(Продажи[[#This Row],[id клиента]],клиенты!$A$2:$E$435,5,0)</f>
        <v>44905</v>
      </c>
      <c r="P453">
        <f>Продажи[[#This Row],[дата создания чека]]-Продажи[[#This Row],[Дата регистрации]]</f>
        <v>314</v>
      </c>
      <c r="Q453" t="str">
        <f>VLOOKUP(Продажи[[#This Row],[id клиента]],клиенты!$A$2:$G$435,7,0)</f>
        <v>Украина</v>
      </c>
      <c r="R453">
        <f>IF(COUNTIF($H$2:H453, H453)=1, 1, 0)</f>
        <v>0</v>
      </c>
      <c r="S453" t="str">
        <f>VLOOKUP(Продажи[[#This Row],[id клиента]],клиенты!$A$2:$D$435,4,0)</f>
        <v>да</v>
      </c>
      <c r="T453" s="54">
        <f>VLOOKUP(Продажи[[#This Row],[id клиента]],клиенты!$A$2:$I$435,9,0)</f>
        <v>14.652977412731007</v>
      </c>
    </row>
    <row r="454" spans="1:20" x14ac:dyDescent="0.25">
      <c r="A454">
        <v>453</v>
      </c>
      <c r="B454">
        <v>57</v>
      </c>
      <c r="C454">
        <v>174</v>
      </c>
      <c r="D454">
        <v>2</v>
      </c>
      <c r="E454" s="35">
        <v>1740</v>
      </c>
      <c r="F454" s="48">
        <v>44973</v>
      </c>
      <c r="G454" t="s">
        <v>15</v>
      </c>
      <c r="H454">
        <v>141</v>
      </c>
      <c r="I454" t="str">
        <f>VLOOKUP(Продажи[[#This Row],[id товара]],Товары[],2,0)</f>
        <v>Печенье</v>
      </c>
      <c r="J454" s="17">
        <f>AVERAGEIF(Продажи[Категория],Продажи[[#This Row],[Категория]],Продажи[цена за шт в рублях])</f>
        <v>283.468085106383</v>
      </c>
      <c r="K454" s="16">
        <f>Продажи[[#This Row],[цена за шт в рублях]]/Продажи[[#This Row],[Средняя цена в категории за шт]]-1</f>
        <v>-0.38617428507092999</v>
      </c>
      <c r="L454" t="str">
        <f>VLOOKUP(Продажи[[#This Row],[id товара]],Товары[],3,0)</f>
        <v>Юбилейное</v>
      </c>
      <c r="M454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454" s="16">
        <f>Продажи[[#This Row],[цена за шт в рублях]]/Продажи[[#This Row],[Средняя цена в категории за шт по поставщику]]-1</f>
        <v>-0.25143403441682599</v>
      </c>
      <c r="O454" s="48">
        <f>VLOOKUP(Продажи[[#This Row],[id клиента]],клиенты!$A$2:$E$435,5,0)</f>
        <v>44743</v>
      </c>
      <c r="P454">
        <f>Продажи[[#This Row],[дата создания чека]]-Продажи[[#This Row],[Дата регистрации]]</f>
        <v>230</v>
      </c>
      <c r="Q454" t="str">
        <f>VLOOKUP(Продажи[[#This Row],[id клиента]],клиенты!$A$2:$G$435,7,0)</f>
        <v>Россия</v>
      </c>
      <c r="R454">
        <f>IF(COUNTIF($H$2:H454, H454)=1, 1, 0)</f>
        <v>1</v>
      </c>
      <c r="S454" t="str">
        <f>VLOOKUP(Продажи[[#This Row],[id клиента]],клиенты!$A$2:$D$435,4,0)</f>
        <v>да</v>
      </c>
      <c r="T454" s="54">
        <f>VLOOKUP(Продажи[[#This Row],[id клиента]],клиенты!$A$2:$I$435,9,0)</f>
        <v>15.572895277207392</v>
      </c>
    </row>
    <row r="455" spans="1:20" x14ac:dyDescent="0.25">
      <c r="A455">
        <v>454</v>
      </c>
      <c r="B455">
        <v>198</v>
      </c>
      <c r="C455">
        <v>438</v>
      </c>
      <c r="D455">
        <v>4</v>
      </c>
      <c r="E455" s="35">
        <v>8760</v>
      </c>
      <c r="F455" s="48">
        <v>45312</v>
      </c>
      <c r="G455" t="s">
        <v>23</v>
      </c>
      <c r="H455">
        <v>385</v>
      </c>
      <c r="I455" t="str">
        <f>VLOOKUP(Продажи[[#This Row],[id товара]],Товары[],2,0)</f>
        <v>Мясо</v>
      </c>
      <c r="J455" s="17">
        <f>AVERAGEIF(Продажи[Категория],Продажи[[#This Row],[Категория]],Продажи[цена за шт в рублях])</f>
        <v>271.74545454545455</v>
      </c>
      <c r="K455" s="16">
        <f>Продажи[[#This Row],[цена за шт в рублях]]/Продажи[[#This Row],[Средняя цена в категории за шт]]-1</f>
        <v>0.61180248896025691</v>
      </c>
      <c r="L455" t="str">
        <f>VLOOKUP(Продажи[[#This Row],[id товара]],Товары[],3,0)</f>
        <v>Мираторг</v>
      </c>
      <c r="M455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455" s="16">
        <f>Продажи[[#This Row],[цена за шт в рублях]]/Продажи[[#This Row],[Средняя цена в категории за шт по поставщику]]-1</f>
        <v>0.38352197946828115</v>
      </c>
      <c r="O455" s="48">
        <f>VLOOKUP(Продажи[[#This Row],[id клиента]],клиенты!$A$2:$E$435,5,0)</f>
        <v>44753</v>
      </c>
      <c r="P455">
        <f>Продажи[[#This Row],[дата создания чека]]-Продажи[[#This Row],[Дата регистрации]]</f>
        <v>559</v>
      </c>
      <c r="Q455" t="str">
        <f>VLOOKUP(Продажи[[#This Row],[id клиента]],клиенты!$A$2:$G$435,7,0)</f>
        <v>Украина</v>
      </c>
      <c r="R455">
        <f>IF(COUNTIF($H$2:H455, H455)=1, 1, 0)</f>
        <v>0</v>
      </c>
      <c r="S455" t="str">
        <f>VLOOKUP(Продажи[[#This Row],[id клиента]],клиенты!$A$2:$D$435,4,0)</f>
        <v>нет</v>
      </c>
      <c r="T455" s="54">
        <f>VLOOKUP(Продажи[[#This Row],[id клиента]],клиенты!$A$2:$I$435,9,0)</f>
        <v>21.453798767967147</v>
      </c>
    </row>
    <row r="456" spans="1:20" x14ac:dyDescent="0.25">
      <c r="A456">
        <v>455</v>
      </c>
      <c r="B456">
        <v>202</v>
      </c>
      <c r="C456">
        <v>308</v>
      </c>
      <c r="D456">
        <v>2</v>
      </c>
      <c r="E456" s="35">
        <v>3080</v>
      </c>
      <c r="F456" s="48">
        <v>45410</v>
      </c>
      <c r="G456" t="s">
        <v>20</v>
      </c>
      <c r="H456">
        <v>182</v>
      </c>
      <c r="I456" t="str">
        <f>VLOOKUP(Продажи[[#This Row],[id товара]],Товары[],2,0)</f>
        <v>Овощи</v>
      </c>
      <c r="J456" s="17">
        <f>AVERAGEIF(Продажи[Категория],Продажи[[#This Row],[Категория]],Продажи[цена за шт в рублях])</f>
        <v>250.48780487804879</v>
      </c>
      <c r="K456" s="16">
        <f>Продажи[[#This Row],[цена за шт в рублях]]/Продажи[[#This Row],[Средняя цена в категории за шт]]-1</f>
        <v>0.22960077896786757</v>
      </c>
      <c r="L456" t="str">
        <f>VLOOKUP(Продажи[[#This Row],[id товара]],Товары[],3,0)</f>
        <v>Овощной ряд</v>
      </c>
      <c r="M456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456" s="16">
        <f>Продажи[[#This Row],[цена за шт в рублях]]/Продажи[[#This Row],[Средняя цена в категории за шт по поставщику]]-1</f>
        <v>1.3746369796708624E-2</v>
      </c>
      <c r="O456" s="48">
        <f>VLOOKUP(Продажи[[#This Row],[id клиента]],клиенты!$A$2:$E$435,5,0)</f>
        <v>44856</v>
      </c>
      <c r="P456">
        <f>Продажи[[#This Row],[дата создания чека]]-Продажи[[#This Row],[Дата регистрации]]</f>
        <v>554</v>
      </c>
      <c r="Q456" t="str">
        <f>VLOOKUP(Продажи[[#This Row],[id клиента]],клиенты!$A$2:$G$435,7,0)</f>
        <v>Узбекистан</v>
      </c>
      <c r="R456">
        <f>IF(COUNTIF($H$2:H456, H456)=1, 1, 0)</f>
        <v>1</v>
      </c>
      <c r="S456" t="str">
        <f>VLOOKUP(Продажи[[#This Row],[id клиента]],клиенты!$A$2:$D$435,4,0)</f>
        <v>да</v>
      </c>
      <c r="T456" s="54">
        <f>VLOOKUP(Продажи[[#This Row],[id клиента]],клиенты!$A$2:$I$435,9,0)</f>
        <v>18.201232032854211</v>
      </c>
    </row>
    <row r="457" spans="1:20" x14ac:dyDescent="0.25">
      <c r="A457">
        <v>456</v>
      </c>
      <c r="B457">
        <v>427</v>
      </c>
      <c r="C457">
        <v>240</v>
      </c>
      <c r="D457">
        <v>1</v>
      </c>
      <c r="E457" s="35">
        <v>1200</v>
      </c>
      <c r="F457" s="48">
        <v>45420</v>
      </c>
      <c r="G457" t="s">
        <v>10</v>
      </c>
      <c r="H457">
        <v>225</v>
      </c>
      <c r="I457" t="str">
        <f>VLOOKUP(Продажи[[#This Row],[id товара]],Товары[],2,0)</f>
        <v>Хлеб</v>
      </c>
      <c r="J457" s="17">
        <f>AVERAGEIF(Продажи[Категория],Продажи[[#This Row],[Категория]],Продажи[цена за шт в рублях])</f>
        <v>300.31818181818181</v>
      </c>
      <c r="K457" s="16">
        <f>Продажи[[#This Row],[цена за шт в рублях]]/Продажи[[#This Row],[Средняя цена в категории за шт]]-1</f>
        <v>-0.20084758589374907</v>
      </c>
      <c r="L457" t="str">
        <f>VLOOKUP(Продажи[[#This Row],[id товара]],Товары[],3,0)</f>
        <v>Русский Хлеб</v>
      </c>
      <c r="M457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457" s="16">
        <f>Продажи[[#This Row],[цена за шт в рублях]]/Продажи[[#This Row],[Средняя цена в категории за шт по поставщику]]-1</f>
        <v>-0.24194567277321544</v>
      </c>
      <c r="O457" s="48">
        <f>VLOOKUP(Продажи[[#This Row],[id клиента]],клиенты!$A$2:$E$435,5,0)</f>
        <v>44827</v>
      </c>
      <c r="P457">
        <f>Продажи[[#This Row],[дата создания чека]]-Продажи[[#This Row],[Дата регистрации]]</f>
        <v>593</v>
      </c>
      <c r="Q457" t="str">
        <f>VLOOKUP(Продажи[[#This Row],[id клиента]],клиенты!$A$2:$G$435,7,0)</f>
        <v>Беларусь</v>
      </c>
      <c r="R457">
        <f>IF(COUNTIF($H$2:H457, H457)=1, 1, 0)</f>
        <v>1</v>
      </c>
      <c r="S457" t="str">
        <f>VLOOKUP(Продажи[[#This Row],[id клиента]],клиенты!$A$2:$D$435,4,0)</f>
        <v>да</v>
      </c>
      <c r="T457" s="54">
        <f>VLOOKUP(Продажи[[#This Row],[id клиента]],клиенты!$A$2:$I$435,9,0)</f>
        <v>19.482546201232033</v>
      </c>
    </row>
    <row r="458" spans="1:20" x14ac:dyDescent="0.25">
      <c r="A458">
        <v>457</v>
      </c>
      <c r="B458">
        <v>272</v>
      </c>
      <c r="C458">
        <v>67</v>
      </c>
      <c r="D458">
        <v>3</v>
      </c>
      <c r="E458" s="35">
        <v>1005</v>
      </c>
      <c r="F458" s="48">
        <v>45366</v>
      </c>
      <c r="G458" t="s">
        <v>13</v>
      </c>
      <c r="H458">
        <v>151</v>
      </c>
      <c r="I458" t="str">
        <f>VLOOKUP(Продажи[[#This Row],[id товара]],Товары[],2,0)</f>
        <v>Крупа</v>
      </c>
      <c r="J458" s="17">
        <f>AVERAGEIF(Продажи[Категория],Продажи[[#This Row],[Категория]],Продажи[цена за шт в рублях])</f>
        <v>255.11627906976744</v>
      </c>
      <c r="K458" s="16">
        <f>Продажи[[#This Row],[цена за шт в рублях]]/Продажи[[#This Row],[Средняя цена в категории за шт]]-1</f>
        <v>-0.73737465815861447</v>
      </c>
      <c r="L458" t="str">
        <f>VLOOKUP(Продажи[[#This Row],[id товара]],Товары[],3,0)</f>
        <v>Ярмарка</v>
      </c>
      <c r="M458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458" s="16">
        <f>Продажи[[#This Row],[цена за шт в рублях]]/Продажи[[#This Row],[Средняя цена в категории за шт по поставщику]]-1</f>
        <v>-0.73422286332491882</v>
      </c>
      <c r="O458" s="48">
        <f>VLOOKUP(Продажи[[#This Row],[id клиента]],клиенты!$A$2:$E$435,5,0)</f>
        <v>44923</v>
      </c>
      <c r="P458">
        <f>Продажи[[#This Row],[дата создания чека]]-Продажи[[#This Row],[Дата регистрации]]</f>
        <v>443</v>
      </c>
      <c r="Q458" t="str">
        <f>VLOOKUP(Продажи[[#This Row],[id клиента]],клиенты!$A$2:$G$435,7,0)</f>
        <v>Беларусь</v>
      </c>
      <c r="R458">
        <f>IF(COUNTIF($H$2:H458, H458)=1, 1, 0)</f>
        <v>1</v>
      </c>
      <c r="S458" t="str">
        <f>VLOOKUP(Продажи[[#This Row],[id клиента]],клиенты!$A$2:$D$435,4,0)</f>
        <v>нет</v>
      </c>
      <c r="T458" s="54">
        <f>VLOOKUP(Продажи[[#This Row],[id клиента]],клиенты!$A$2:$I$435,9,0)</f>
        <v>14.55441478439425</v>
      </c>
    </row>
    <row r="459" spans="1:20" x14ac:dyDescent="0.25">
      <c r="A459">
        <v>458</v>
      </c>
      <c r="B459">
        <v>473</v>
      </c>
      <c r="C459">
        <v>474</v>
      </c>
      <c r="D459">
        <v>2</v>
      </c>
      <c r="E459" s="35">
        <v>4740</v>
      </c>
      <c r="F459" s="48">
        <v>44976</v>
      </c>
      <c r="G459" t="s">
        <v>12</v>
      </c>
      <c r="H459">
        <v>428</v>
      </c>
      <c r="I459" t="str">
        <f>VLOOKUP(Продажи[[#This Row],[id товара]],Товары[],2,0)</f>
        <v>Хлеб</v>
      </c>
      <c r="J459" s="17">
        <f>AVERAGEIF(Продажи[Категория],Продажи[[#This Row],[Категория]],Продажи[цена за шт в рублях])</f>
        <v>300.31818181818181</v>
      </c>
      <c r="K459" s="16">
        <f>Продажи[[#This Row],[цена за шт в рублях]]/Продажи[[#This Row],[Средняя цена в категории за шт]]-1</f>
        <v>0.57832601785984572</v>
      </c>
      <c r="L459" t="str">
        <f>VLOOKUP(Продажи[[#This Row],[id товара]],Товары[],3,0)</f>
        <v>Хлебный Дом</v>
      </c>
      <c r="M459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459" s="16">
        <f>Продажи[[#This Row],[цена за шт в рублях]]/Продажи[[#This Row],[Средняя цена в категории за шт по поставщику]]-1</f>
        <v>0.68244202555608124</v>
      </c>
      <c r="O459" s="48">
        <f>VLOOKUP(Продажи[[#This Row],[id клиента]],клиенты!$A$2:$E$435,5,0)</f>
        <v>44848</v>
      </c>
      <c r="P459">
        <f>Продажи[[#This Row],[дата создания чека]]-Продажи[[#This Row],[Дата регистрации]]</f>
        <v>128</v>
      </c>
      <c r="Q459" t="str">
        <f>VLOOKUP(Продажи[[#This Row],[id клиента]],клиенты!$A$2:$G$435,7,0)</f>
        <v>Беларусь</v>
      </c>
      <c r="R459">
        <f>IF(COUNTIF($H$2:H459, H459)=1, 1, 0)</f>
        <v>1</v>
      </c>
      <c r="S459" t="str">
        <f>VLOOKUP(Продажи[[#This Row],[id клиента]],клиенты!$A$2:$D$435,4,0)</f>
        <v>нет</v>
      </c>
      <c r="T459" s="54">
        <f>VLOOKUP(Продажи[[#This Row],[id клиента]],клиенты!$A$2:$I$435,9,0)</f>
        <v>4.2053388090349078</v>
      </c>
    </row>
    <row r="460" spans="1:20" x14ac:dyDescent="0.25">
      <c r="A460">
        <v>459</v>
      </c>
      <c r="B460">
        <v>189</v>
      </c>
      <c r="C460">
        <v>275</v>
      </c>
      <c r="D460">
        <v>4</v>
      </c>
      <c r="E460" s="35">
        <v>5500</v>
      </c>
      <c r="F460" s="48">
        <v>45176</v>
      </c>
      <c r="G460" t="s">
        <v>22</v>
      </c>
      <c r="H460">
        <v>438</v>
      </c>
      <c r="I460" t="str">
        <f>VLOOKUP(Продажи[[#This Row],[id товара]],Товары[],2,0)</f>
        <v>Хлеб</v>
      </c>
      <c r="J460" s="17">
        <f>AVERAGEIF(Продажи[Категория],Продажи[[#This Row],[Категория]],Продажи[цена за шт в рублях])</f>
        <v>300.31818181818181</v>
      </c>
      <c r="K460" s="16">
        <f>Продажи[[#This Row],[цена за шт в рублях]]/Продажи[[#This Row],[Средняя цена в категории за шт]]-1</f>
        <v>-8.4304525503254069E-2</v>
      </c>
      <c r="L460" t="str">
        <f>VLOOKUP(Продажи[[#This Row],[id товара]],Товары[],3,0)</f>
        <v>Дарница</v>
      </c>
      <c r="M460" s="32">
        <f>AVERAGEIFS(Продажи[цена за шт в рублях],Продажи[Категория],Продажи[[#This Row],[Категория]],Продажи[Поставщик],Продажи[[#This Row],[Поставщик]])</f>
        <v>264</v>
      </c>
      <c r="N460" s="16">
        <f>Продажи[[#This Row],[цена за шт в рублях]]/Продажи[[#This Row],[Средняя цена в категории за шт по поставщику]]-1</f>
        <v>4.1666666666666741E-2</v>
      </c>
      <c r="O460" s="48">
        <f>VLOOKUP(Продажи[[#This Row],[id клиента]],клиенты!$A$2:$E$435,5,0)</f>
        <v>44693</v>
      </c>
      <c r="P460">
        <f>Продажи[[#This Row],[дата создания чека]]-Продажи[[#This Row],[Дата регистрации]]</f>
        <v>483</v>
      </c>
      <c r="Q460" t="str">
        <f>VLOOKUP(Продажи[[#This Row],[id клиента]],клиенты!$A$2:$G$435,7,0)</f>
        <v>Узбекистан</v>
      </c>
      <c r="R460">
        <f>IF(COUNTIF($H$2:H460, H460)=1, 1, 0)</f>
        <v>1</v>
      </c>
      <c r="S460" t="str">
        <f>VLOOKUP(Продажи[[#This Row],[id клиента]],клиенты!$A$2:$D$435,4,0)</f>
        <v>да</v>
      </c>
      <c r="T460" s="54">
        <f>VLOOKUP(Продажи[[#This Row],[id клиента]],клиенты!$A$2:$I$435,9,0)</f>
        <v>15.868583162217659</v>
      </c>
    </row>
    <row r="461" spans="1:20" x14ac:dyDescent="0.25">
      <c r="A461">
        <v>460</v>
      </c>
      <c r="B461">
        <v>362</v>
      </c>
      <c r="C461">
        <v>358</v>
      </c>
      <c r="D461">
        <v>4</v>
      </c>
      <c r="E461" s="35">
        <v>7160</v>
      </c>
      <c r="F461" s="48">
        <v>44972</v>
      </c>
      <c r="G461" t="s">
        <v>11</v>
      </c>
      <c r="H461">
        <v>465</v>
      </c>
      <c r="I461" t="str">
        <f>VLOOKUP(Продажи[[#This Row],[id товара]],Товары[],2,0)</f>
        <v>Хлеб</v>
      </c>
      <c r="J461" s="17">
        <f>AVERAGEIF(Продажи[Категория],Продажи[[#This Row],[Категория]],Продажи[цена за шт в рублях])</f>
        <v>300.31818181818181</v>
      </c>
      <c r="K461" s="16">
        <f>Продажи[[#This Row],[цена за шт в рублях]]/Продажи[[#This Row],[Средняя цена в категории за шт]]-1</f>
        <v>0.19206901770849094</v>
      </c>
      <c r="L461" t="str">
        <f>VLOOKUP(Продажи[[#This Row],[id товара]],Товары[],3,0)</f>
        <v>Русский Хлеб</v>
      </c>
      <c r="M461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461" s="16">
        <f>Продажи[[#This Row],[цена за шт в рублях]]/Продажи[[#This Row],[Средняя цена в категории за шт по поставщику]]-1</f>
        <v>0.13076437144662023</v>
      </c>
      <c r="O461" s="48">
        <f>VLOOKUP(Продажи[[#This Row],[id клиента]],клиенты!$A$2:$E$435,5,0)</f>
        <v>44671</v>
      </c>
      <c r="P461">
        <f>Продажи[[#This Row],[дата создания чека]]-Продажи[[#This Row],[Дата регистрации]]</f>
        <v>301</v>
      </c>
      <c r="Q461" t="str">
        <f>VLOOKUP(Продажи[[#This Row],[id клиента]],клиенты!$A$2:$G$435,7,0)</f>
        <v>Узбекистан</v>
      </c>
      <c r="R461">
        <f>IF(COUNTIF($H$2:H461, H461)=1, 1, 0)</f>
        <v>1</v>
      </c>
      <c r="S461" t="str">
        <f>VLOOKUP(Продажи[[#This Row],[id клиента]],клиенты!$A$2:$D$435,4,0)</f>
        <v>нет</v>
      </c>
      <c r="T461" s="54">
        <f>VLOOKUP(Продажи[[#This Row],[id клиента]],клиенты!$A$2:$I$435,9,0)</f>
        <v>14.291581108829568</v>
      </c>
    </row>
    <row r="462" spans="1:20" x14ac:dyDescent="0.25">
      <c r="A462">
        <v>461</v>
      </c>
      <c r="B462">
        <v>345</v>
      </c>
      <c r="C462">
        <v>455</v>
      </c>
      <c r="D462">
        <v>5</v>
      </c>
      <c r="E462" s="35">
        <v>11375</v>
      </c>
      <c r="F462" s="48">
        <v>45213</v>
      </c>
      <c r="G462" t="s">
        <v>11</v>
      </c>
      <c r="H462">
        <v>215</v>
      </c>
      <c r="I462" t="str">
        <f>VLOOKUP(Продажи[[#This Row],[id товара]],Товары[],2,0)</f>
        <v>Конфеты</v>
      </c>
      <c r="J462" s="17">
        <f>AVERAGEIF(Продажи[Категория],Продажи[[#This Row],[Категория]],Продажи[цена за шт в рублях])</f>
        <v>267.85483870967744</v>
      </c>
      <c r="K462" s="16">
        <f>Продажи[[#This Row],[цена за шт в рублях]]/Продажи[[#This Row],[Средняя цена в категории за шт]]-1</f>
        <v>0.69868127897874377</v>
      </c>
      <c r="L462" t="str">
        <f>VLOOKUP(Продажи[[#This Row],[id товара]],Товары[],3,0)</f>
        <v>Рот Фронт</v>
      </c>
      <c r="M462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462" s="16">
        <f>Продажи[[#This Row],[цена за шт в рублях]]/Продажи[[#This Row],[Средняя цена в категории за шт по поставщику]]-1</f>
        <v>0.57855608789030222</v>
      </c>
      <c r="O462" s="48">
        <f>VLOOKUP(Продажи[[#This Row],[id клиента]],клиенты!$A$2:$E$435,5,0)</f>
        <v>44799</v>
      </c>
      <c r="P462">
        <f>Продажи[[#This Row],[дата создания чека]]-Продажи[[#This Row],[Дата регистрации]]</f>
        <v>414</v>
      </c>
      <c r="Q462" t="str">
        <f>VLOOKUP(Продажи[[#This Row],[id клиента]],клиенты!$A$2:$G$435,7,0)</f>
        <v>Россия</v>
      </c>
      <c r="R462">
        <f>IF(COUNTIF($H$2:H462, H462)=1, 1, 0)</f>
        <v>1</v>
      </c>
      <c r="S462" t="str">
        <f>VLOOKUP(Продажи[[#This Row],[id клиента]],клиенты!$A$2:$D$435,4,0)</f>
        <v>нет</v>
      </c>
      <c r="T462" s="54">
        <f>VLOOKUP(Продажи[[#This Row],[id клиента]],клиенты!$A$2:$I$435,9,0)</f>
        <v>13.60164271047228</v>
      </c>
    </row>
    <row r="463" spans="1:20" x14ac:dyDescent="0.25">
      <c r="A463">
        <v>462</v>
      </c>
      <c r="B463">
        <v>461</v>
      </c>
      <c r="C463">
        <v>443</v>
      </c>
      <c r="D463">
        <v>3</v>
      </c>
      <c r="E463" s="35">
        <v>6645</v>
      </c>
      <c r="F463" s="48">
        <v>45076</v>
      </c>
      <c r="G463" t="s">
        <v>27</v>
      </c>
      <c r="H463">
        <v>314</v>
      </c>
      <c r="I463" t="str">
        <f>VLOOKUP(Продажи[[#This Row],[id товара]],Товары[],2,0)</f>
        <v>Фрукты</v>
      </c>
      <c r="J463" s="17">
        <f>AVERAGEIF(Продажи[Категория],Продажи[[#This Row],[Категория]],Продажи[цена за шт в рублях])</f>
        <v>274.16279069767444</v>
      </c>
      <c r="K463" s="16">
        <f>Продажи[[#This Row],[цена за шт в рублях]]/Продажи[[#This Row],[Средняя цена в категории за шт]]-1</f>
        <v>0.61582831453049436</v>
      </c>
      <c r="L463" t="str">
        <f>VLOOKUP(Продажи[[#This Row],[id товара]],Товары[],3,0)</f>
        <v>Green Garden</v>
      </c>
      <c r="M463" s="32">
        <f>AVERAGEIFS(Продажи[цена за шт в рублях],Продажи[Категория],Продажи[[#This Row],[Категория]],Продажи[Поставщик],Продажи[[#This Row],[Поставщик]])</f>
        <v>369.2</v>
      </c>
      <c r="N463" s="16">
        <f>Продажи[[#This Row],[цена за шт в рублях]]/Продажи[[#This Row],[Средняя цена в категории за шт по поставщику]]-1</f>
        <v>0.19989165763813665</v>
      </c>
      <c r="O463" s="48">
        <f>VLOOKUP(Продажи[[#This Row],[id клиента]],клиенты!$A$2:$E$435,5,0)</f>
        <v>44899</v>
      </c>
      <c r="P463">
        <f>Продажи[[#This Row],[дата создания чека]]-Продажи[[#This Row],[Дата регистрации]]</f>
        <v>177</v>
      </c>
      <c r="Q463" t="str">
        <f>VLOOKUP(Продажи[[#This Row],[id клиента]],клиенты!$A$2:$G$435,7,0)</f>
        <v>Россия</v>
      </c>
      <c r="R463">
        <f>IF(COUNTIF($H$2:H463, H463)=1, 1, 0)</f>
        <v>0</v>
      </c>
      <c r="S463" t="str">
        <f>VLOOKUP(Продажи[[#This Row],[id клиента]],клиенты!$A$2:$D$435,4,0)</f>
        <v>нет</v>
      </c>
      <c r="T463" s="54">
        <f>VLOOKUP(Продажи[[#This Row],[id клиента]],клиенты!$A$2:$I$435,9,0)</f>
        <v>12.813141683778234</v>
      </c>
    </row>
    <row r="464" spans="1:20" x14ac:dyDescent="0.25">
      <c r="A464">
        <v>463</v>
      </c>
      <c r="B464">
        <v>401</v>
      </c>
      <c r="C464">
        <v>464</v>
      </c>
      <c r="D464">
        <v>2</v>
      </c>
      <c r="E464" s="35">
        <v>4640</v>
      </c>
      <c r="F464" s="48">
        <v>45126</v>
      </c>
      <c r="G464" t="s">
        <v>13</v>
      </c>
      <c r="H464">
        <v>15</v>
      </c>
      <c r="I464" t="str">
        <f>VLOOKUP(Продажи[[#This Row],[id товара]],Товары[],2,0)</f>
        <v>Чай</v>
      </c>
      <c r="J464" s="17">
        <f>AVERAGEIF(Продажи[Категория],Продажи[[#This Row],[Категория]],Продажи[цена за шт в рублях])</f>
        <v>271.18181818181819</v>
      </c>
      <c r="K464" s="16">
        <f>Продажи[[#This Row],[цена за шт в рублях]]/Продажи[[#This Row],[Средняя цена в категории за шт]]-1</f>
        <v>0.7110291652698626</v>
      </c>
      <c r="L464" t="str">
        <f>VLOOKUP(Продажи[[#This Row],[id товара]],Товары[],3,0)</f>
        <v>Greenfield</v>
      </c>
      <c r="M464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464" s="16">
        <f>Продажи[[#This Row],[цена за шт в рублях]]/Продажи[[#This Row],[Средняя цена в категории за шт по поставщику]]-1</f>
        <v>0.59201497192763575</v>
      </c>
      <c r="O464" s="48">
        <f>VLOOKUP(Продажи[[#This Row],[id клиента]],клиенты!$A$2:$E$435,5,0)</f>
        <v>44711</v>
      </c>
      <c r="P464">
        <f>Продажи[[#This Row],[дата создания чека]]-Продажи[[#This Row],[Дата регистрации]]</f>
        <v>415</v>
      </c>
      <c r="Q464" t="str">
        <f>VLOOKUP(Продажи[[#This Row],[id клиента]],клиенты!$A$2:$G$435,7,0)</f>
        <v>Украина</v>
      </c>
      <c r="R464">
        <f>IF(COUNTIF($H$2:H464, H464)=1, 1, 0)</f>
        <v>1</v>
      </c>
      <c r="S464" t="str">
        <f>VLOOKUP(Продажи[[#This Row],[id клиента]],клиенты!$A$2:$D$435,4,0)</f>
        <v>нет</v>
      </c>
      <c r="T464" s="54">
        <f>VLOOKUP(Продажи[[#This Row],[id клиента]],клиенты!$A$2:$I$435,9,0)</f>
        <v>13.897330595482547</v>
      </c>
    </row>
    <row r="465" spans="1:20" x14ac:dyDescent="0.25">
      <c r="A465">
        <v>464</v>
      </c>
      <c r="B465">
        <v>427</v>
      </c>
      <c r="C465">
        <v>307</v>
      </c>
      <c r="D465">
        <v>5</v>
      </c>
      <c r="E465" s="35">
        <v>7675</v>
      </c>
      <c r="F465" s="48">
        <v>45102</v>
      </c>
      <c r="G465" t="s">
        <v>24</v>
      </c>
      <c r="H465">
        <v>191</v>
      </c>
      <c r="I465" t="str">
        <f>VLOOKUP(Продажи[[#This Row],[id товара]],Товары[],2,0)</f>
        <v>Хлеб</v>
      </c>
      <c r="J465" s="17">
        <f>AVERAGEIF(Продажи[Категория],Продажи[[#This Row],[Категория]],Продажи[цена за шт в рублях])</f>
        <v>300.31818181818181</v>
      </c>
      <c r="K465" s="16">
        <f>Продажи[[#This Row],[цена за шт в рублях]]/Продажи[[#This Row],[Средняя цена в категории за шт]]-1</f>
        <v>2.2249129710912641E-2</v>
      </c>
      <c r="L465" t="str">
        <f>VLOOKUP(Продажи[[#This Row],[id товара]],Товары[],3,0)</f>
        <v>Русский Хлеб</v>
      </c>
      <c r="M465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465" s="16">
        <f>Продажи[[#This Row],[цена за шт в рублях]]/Продажи[[#This Row],[Средняя цена в категории за шт по поставщику]]-1</f>
        <v>-3.032217308907148E-2</v>
      </c>
      <c r="O465" s="48">
        <f>VLOOKUP(Продажи[[#This Row],[id клиента]],клиенты!$A$2:$E$435,5,0)</f>
        <v>44866</v>
      </c>
      <c r="P465">
        <f>Продажи[[#This Row],[дата создания чека]]-Продажи[[#This Row],[Дата регистрации]]</f>
        <v>236</v>
      </c>
      <c r="Q465" t="str">
        <f>VLOOKUP(Продажи[[#This Row],[id клиента]],клиенты!$A$2:$G$435,7,0)</f>
        <v>Украина</v>
      </c>
      <c r="R465">
        <f>IF(COUNTIF($H$2:H465, H465)=1, 1, 0)</f>
        <v>0</v>
      </c>
      <c r="S465" t="str">
        <f>VLOOKUP(Продажи[[#This Row],[id клиента]],клиенты!$A$2:$D$435,4,0)</f>
        <v>да</v>
      </c>
      <c r="T465" s="54">
        <f>VLOOKUP(Продажи[[#This Row],[id клиента]],клиенты!$A$2:$I$435,9,0)</f>
        <v>16.755646817248461</v>
      </c>
    </row>
    <row r="466" spans="1:20" x14ac:dyDescent="0.25">
      <c r="A466">
        <v>465</v>
      </c>
      <c r="B466">
        <v>129</v>
      </c>
      <c r="C466">
        <v>121</v>
      </c>
      <c r="D466">
        <v>5</v>
      </c>
      <c r="E466" s="35">
        <v>3025</v>
      </c>
      <c r="F466" s="48">
        <v>45156</v>
      </c>
      <c r="G466" t="s">
        <v>24</v>
      </c>
      <c r="H466">
        <v>277</v>
      </c>
      <c r="I466" t="str">
        <f>VLOOKUP(Продажи[[#This Row],[id товара]],Товары[],2,0)</f>
        <v>Мясо</v>
      </c>
      <c r="J466" s="17">
        <f>AVERAGEIF(Продажи[Категория],Продажи[[#This Row],[Категория]],Продажи[цена за шт в рублях])</f>
        <v>271.74545454545455</v>
      </c>
      <c r="K466" s="16">
        <f>Продажи[[#This Row],[цена за шт в рублях]]/Продажи[[#This Row],[Средняя цена в категории за шт]]-1</f>
        <v>-0.55473036263883313</v>
      </c>
      <c r="L466" t="str">
        <f>VLOOKUP(Продажи[[#This Row],[id товара]],Товары[],3,0)</f>
        <v>Агрокомплекс</v>
      </c>
      <c r="M466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466" s="16">
        <f>Продажи[[#This Row],[цена за шт в рублях]]/Продажи[[#This Row],[Средняя цена в категории за шт по поставщику]]-1</f>
        <v>-0.61118251928020562</v>
      </c>
      <c r="O466" s="48">
        <f>VLOOKUP(Продажи[[#This Row],[id клиента]],клиенты!$A$2:$E$435,5,0)</f>
        <v>44750</v>
      </c>
      <c r="P466">
        <f>Продажи[[#This Row],[дата создания чека]]-Продажи[[#This Row],[Дата регистрации]]</f>
        <v>406</v>
      </c>
      <c r="Q466" t="str">
        <f>VLOOKUP(Продажи[[#This Row],[id клиента]],клиенты!$A$2:$G$435,7,0)</f>
        <v>Россия</v>
      </c>
      <c r="R466">
        <f>IF(COUNTIF($H$2:H466, H466)=1, 1, 0)</f>
        <v>0</v>
      </c>
      <c r="S466" t="str">
        <f>VLOOKUP(Продажи[[#This Row],[id клиента]],клиенты!$A$2:$D$435,4,0)</f>
        <v>да</v>
      </c>
      <c r="T466" s="54">
        <f>VLOOKUP(Продажи[[#This Row],[id клиента]],клиенты!$A$2:$I$435,9,0)</f>
        <v>20.073921971252567</v>
      </c>
    </row>
    <row r="467" spans="1:20" x14ac:dyDescent="0.25">
      <c r="A467">
        <v>466</v>
      </c>
      <c r="B467">
        <v>84</v>
      </c>
      <c r="C467">
        <v>265</v>
      </c>
      <c r="D467">
        <v>2</v>
      </c>
      <c r="E467" s="35">
        <v>2650</v>
      </c>
      <c r="F467" s="48">
        <v>45067</v>
      </c>
      <c r="G467" t="s">
        <v>8</v>
      </c>
      <c r="H467">
        <v>101</v>
      </c>
      <c r="I467" t="str">
        <f>VLOOKUP(Продажи[[#This Row],[id товара]],Товары[],2,0)</f>
        <v>Кофе</v>
      </c>
      <c r="J467" s="17">
        <f>AVERAGEIF(Продажи[Категория],Продажи[[#This Row],[Категория]],Продажи[цена за шт в рублях])</f>
        <v>249.02380952380952</v>
      </c>
      <c r="K467" s="16">
        <f>Продажи[[#This Row],[цена за шт в рублях]]/Продажи[[#This Row],[Средняя цена в категории за шт]]-1</f>
        <v>6.4155272970647381E-2</v>
      </c>
      <c r="L467" t="str">
        <f>VLOOKUP(Продажи[[#This Row],[id товара]],Товары[],3,0)</f>
        <v>Tchibo</v>
      </c>
      <c r="M467" s="32">
        <f>AVERAGEIFS(Продажи[цена за шт в рублях],Продажи[Категория],Продажи[[#This Row],[Категория]],Продажи[Поставщик],Продажи[[#This Row],[Поставщик]])</f>
        <v>140</v>
      </c>
      <c r="N467" s="16">
        <f>Продажи[[#This Row],[цена за шт в рублях]]/Продажи[[#This Row],[Средняя цена в категории за шт по поставщику]]-1</f>
        <v>0.89285714285714279</v>
      </c>
      <c r="O467" s="48">
        <f>VLOOKUP(Продажи[[#This Row],[id клиента]],клиенты!$A$2:$E$435,5,0)</f>
        <v>44727</v>
      </c>
      <c r="P467">
        <f>Продажи[[#This Row],[дата создания чека]]-Продажи[[#This Row],[Дата регистрации]]</f>
        <v>340</v>
      </c>
      <c r="Q467" t="str">
        <f>VLOOKUP(Продажи[[#This Row],[id клиента]],клиенты!$A$2:$G$435,7,0)</f>
        <v>Россия</v>
      </c>
      <c r="R467">
        <f>IF(COUNTIF($H$2:H467, H467)=1, 1, 0)</f>
        <v>0</v>
      </c>
      <c r="S467" t="str">
        <f>VLOOKUP(Продажи[[#This Row],[id клиента]],клиенты!$A$2:$D$435,4,0)</f>
        <v>нет</v>
      </c>
      <c r="T467" s="54">
        <f>VLOOKUP(Продажи[[#This Row],[id клиента]],клиенты!$A$2:$I$435,9,0)</f>
        <v>15.868583162217659</v>
      </c>
    </row>
    <row r="468" spans="1:20" x14ac:dyDescent="0.25">
      <c r="A468">
        <v>467</v>
      </c>
      <c r="B468">
        <v>172</v>
      </c>
      <c r="C468">
        <v>451</v>
      </c>
      <c r="D468">
        <v>2</v>
      </c>
      <c r="E468" s="35">
        <v>4510</v>
      </c>
      <c r="F468" s="48">
        <v>45217</v>
      </c>
      <c r="G468" t="s">
        <v>26</v>
      </c>
      <c r="H468">
        <v>141</v>
      </c>
      <c r="I468" t="str">
        <f>VLOOKUP(Продажи[[#This Row],[id товара]],Товары[],2,0)</f>
        <v>Фрукты</v>
      </c>
      <c r="J468" s="17">
        <f>AVERAGEIF(Продажи[Категория],Продажи[[#This Row],[Категория]],Продажи[цена за шт в рублях])</f>
        <v>274.16279069767444</v>
      </c>
      <c r="K468" s="16">
        <f>Продажи[[#This Row],[цена за шт в рублях]]/Продажи[[#This Row],[Средняя цена в категории за шт]]-1</f>
        <v>0.64500805835948749</v>
      </c>
      <c r="L468" t="str">
        <f>VLOOKUP(Продажи[[#This Row],[id товара]],Товары[],3,0)</f>
        <v>Green Garden</v>
      </c>
      <c r="M468" s="32">
        <f>AVERAGEIFS(Продажи[цена за шт в рублях],Продажи[Категория],Продажи[[#This Row],[Категория]],Продажи[Поставщик],Продажи[[#This Row],[Поставщик]])</f>
        <v>369.2</v>
      </c>
      <c r="N468" s="16">
        <f>Продажи[[#This Row],[цена за шт в рублях]]/Продажи[[#This Row],[Средняя цена в категории за шт по поставщику]]-1</f>
        <v>0.2215601300108343</v>
      </c>
      <c r="O468" s="48">
        <f>VLOOKUP(Продажи[[#This Row],[id клиента]],клиенты!$A$2:$E$435,5,0)</f>
        <v>44743</v>
      </c>
      <c r="P468">
        <f>Продажи[[#This Row],[дата создания чека]]-Продажи[[#This Row],[Дата регистрации]]</f>
        <v>474</v>
      </c>
      <c r="Q468" t="str">
        <f>VLOOKUP(Продажи[[#This Row],[id клиента]],клиенты!$A$2:$G$435,7,0)</f>
        <v>Россия</v>
      </c>
      <c r="R468">
        <f>IF(COUNTIF($H$2:H468, H468)=1, 1, 0)</f>
        <v>0</v>
      </c>
      <c r="S468" t="str">
        <f>VLOOKUP(Продажи[[#This Row],[id клиента]],клиенты!$A$2:$D$435,4,0)</f>
        <v>да</v>
      </c>
      <c r="T468" s="54">
        <f>VLOOKUP(Продажи[[#This Row],[id клиента]],клиенты!$A$2:$I$435,9,0)</f>
        <v>15.572895277207392</v>
      </c>
    </row>
    <row r="469" spans="1:20" x14ac:dyDescent="0.25">
      <c r="A469">
        <v>468</v>
      </c>
      <c r="B469">
        <v>348</v>
      </c>
      <c r="C469">
        <v>212</v>
      </c>
      <c r="D469">
        <v>5</v>
      </c>
      <c r="E469" s="35">
        <v>5300</v>
      </c>
      <c r="F469" s="48">
        <v>45231</v>
      </c>
      <c r="G469" t="s">
        <v>11</v>
      </c>
      <c r="H469">
        <v>126</v>
      </c>
      <c r="I469" t="str">
        <f>VLOOKUP(Продажи[[#This Row],[id товара]],Товары[],2,0)</f>
        <v>Чипсы</v>
      </c>
      <c r="J469" s="17">
        <f>AVERAGEIF(Продажи[Категория],Продажи[[#This Row],[Категория]],Продажи[цена за шт в рублях])</f>
        <v>273.72549019607845</v>
      </c>
      <c r="K469" s="16">
        <f>Продажи[[#This Row],[цена за шт в рублях]]/Продажи[[#This Row],[Средняя цена в категории за шт]]-1</f>
        <v>-0.22550143266475653</v>
      </c>
      <c r="L469" t="str">
        <f>VLOOKUP(Продажи[[#This Row],[id товара]],Товары[],3,0)</f>
        <v>Estrella</v>
      </c>
      <c r="M469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469" s="16">
        <f>Продажи[[#This Row],[цена за шт в рублях]]/Продажи[[#This Row],[Средняя цена в категории за шт по поставщику]]-1</f>
        <v>-0.20382383065892795</v>
      </c>
      <c r="O469" s="48">
        <f>VLOOKUP(Продажи[[#This Row],[id клиента]],клиенты!$A$2:$E$435,5,0)</f>
        <v>44822</v>
      </c>
      <c r="P469">
        <f>Продажи[[#This Row],[дата создания чека]]-Продажи[[#This Row],[Дата регистрации]]</f>
        <v>409</v>
      </c>
      <c r="Q469" t="str">
        <f>VLOOKUP(Продажи[[#This Row],[id клиента]],клиенты!$A$2:$G$435,7,0)</f>
        <v>Узбекистан</v>
      </c>
      <c r="R469">
        <f>IF(COUNTIF($H$2:H469, H469)=1, 1, 0)</f>
        <v>0</v>
      </c>
      <c r="S469" t="str">
        <f>VLOOKUP(Продажи[[#This Row],[id клиента]],клиенты!$A$2:$D$435,4,0)</f>
        <v>да</v>
      </c>
      <c r="T469" s="54">
        <f>VLOOKUP(Продажи[[#This Row],[id клиента]],клиенты!$A$2:$I$435,9,0)</f>
        <v>16.229979466119097</v>
      </c>
    </row>
    <row r="470" spans="1:20" x14ac:dyDescent="0.25">
      <c r="A470">
        <v>469</v>
      </c>
      <c r="B470">
        <v>171</v>
      </c>
      <c r="C470">
        <v>336</v>
      </c>
      <c r="D470">
        <v>4</v>
      </c>
      <c r="E470" s="35">
        <v>6720</v>
      </c>
      <c r="F470" s="48">
        <v>45021</v>
      </c>
      <c r="G470" t="s">
        <v>15</v>
      </c>
      <c r="H470">
        <v>148</v>
      </c>
      <c r="I470" t="str">
        <f>VLOOKUP(Продажи[[#This Row],[id товара]],Товары[],2,0)</f>
        <v>Чай</v>
      </c>
      <c r="J470" s="17">
        <f>AVERAGEIF(Продажи[Категория],Продажи[[#This Row],[Категория]],Продажи[цена за шт в рублях])</f>
        <v>271.18181818181819</v>
      </c>
      <c r="K470" s="16">
        <f>Продажи[[#This Row],[цена за шт в рублях]]/Продажи[[#This Row],[Средняя цена в категории за шт]]-1</f>
        <v>0.23902111967817641</v>
      </c>
      <c r="L470" t="str">
        <f>VLOOKUP(Продажи[[#This Row],[id товара]],Товары[],3,0)</f>
        <v>Greenfield</v>
      </c>
      <c r="M470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470" s="16">
        <f>Продажи[[#This Row],[цена за шт в рублях]]/Продажи[[#This Row],[Средняя цена в категории за шт по поставщику]]-1</f>
        <v>0.15283842794759828</v>
      </c>
      <c r="O470" s="48">
        <f>VLOOKUP(Продажи[[#This Row],[id клиента]],клиенты!$A$2:$E$435,5,0)</f>
        <v>44700</v>
      </c>
      <c r="P470">
        <f>Продажи[[#This Row],[дата создания чека]]-Продажи[[#This Row],[Дата регистрации]]</f>
        <v>321</v>
      </c>
      <c r="Q470" t="str">
        <f>VLOOKUP(Продажи[[#This Row],[id клиента]],клиенты!$A$2:$G$435,7,0)</f>
        <v>Россия</v>
      </c>
      <c r="R470">
        <f>IF(COUNTIF($H$2:H470, H470)=1, 1, 0)</f>
        <v>0</v>
      </c>
      <c r="S470" t="str">
        <f>VLOOKUP(Продажи[[#This Row],[id клиента]],клиенты!$A$2:$D$435,4,0)</f>
        <v>да</v>
      </c>
      <c r="T470" s="54">
        <f>VLOOKUP(Продажи[[#This Row],[id клиента]],клиенты!$A$2:$I$435,9,0)</f>
        <v>22.373716632443532</v>
      </c>
    </row>
    <row r="471" spans="1:20" x14ac:dyDescent="0.25">
      <c r="A471">
        <v>470</v>
      </c>
      <c r="B471">
        <v>70</v>
      </c>
      <c r="C471">
        <v>407</v>
      </c>
      <c r="D471">
        <v>2</v>
      </c>
      <c r="E471" s="35">
        <v>4070</v>
      </c>
      <c r="F471" s="48">
        <v>45197</v>
      </c>
      <c r="G471" t="s">
        <v>14</v>
      </c>
      <c r="H471">
        <v>334</v>
      </c>
      <c r="I471" t="str">
        <f>VLOOKUP(Продажи[[#This Row],[id товара]],Товары[],2,0)</f>
        <v>Рис</v>
      </c>
      <c r="J471" s="17">
        <f>AVERAGEIF(Продажи[Категория],Продажи[[#This Row],[Категория]],Продажи[цена за шт в рублях])</f>
        <v>258.375</v>
      </c>
      <c r="K471" s="16">
        <f>Продажи[[#This Row],[цена за шт в рублях]]/Продажи[[#This Row],[Средняя цена в категории за шт]]-1</f>
        <v>0.57522980164489601</v>
      </c>
      <c r="L471" t="str">
        <f>VLOOKUP(Продажи[[#This Row],[id товара]],Товары[],3,0)</f>
        <v>Мистраль</v>
      </c>
      <c r="M471" s="32">
        <f>AVERAGEIFS(Продажи[цена за шт в рублях],Продажи[Категория],Продажи[[#This Row],[Категория]],Продажи[Поставщик],Продажи[[#This Row],[Поставщик]])</f>
        <v>181.57142857142858</v>
      </c>
      <c r="N471" s="16">
        <f>Продажи[[#This Row],[цена за шт в рублях]]/Продажи[[#This Row],[Средняя цена в категории за шт по поставщику]]-1</f>
        <v>1.2415420928402829</v>
      </c>
      <c r="O471" s="48">
        <f>VLOOKUP(Продажи[[#This Row],[id клиента]],клиенты!$A$2:$E$435,5,0)</f>
        <v>44881</v>
      </c>
      <c r="P471">
        <f>Продажи[[#This Row],[дата создания чека]]-Продажи[[#This Row],[Дата регистрации]]</f>
        <v>316</v>
      </c>
      <c r="Q471" t="str">
        <f>VLOOKUP(Продажи[[#This Row],[id клиента]],клиенты!$A$2:$G$435,7,0)</f>
        <v>Украина</v>
      </c>
      <c r="R471">
        <f>IF(COUNTIF($H$2:H471, H471)=1, 1, 0)</f>
        <v>0</v>
      </c>
      <c r="S471" t="str">
        <f>VLOOKUP(Продажи[[#This Row],[id клиента]],клиенты!$A$2:$D$435,4,0)</f>
        <v>нет</v>
      </c>
      <c r="T471" s="54">
        <f>VLOOKUP(Продажи[[#This Row],[id клиента]],клиенты!$A$2:$I$435,9,0)</f>
        <v>10.381930184804927</v>
      </c>
    </row>
    <row r="472" spans="1:20" x14ac:dyDescent="0.25">
      <c r="A472">
        <v>471</v>
      </c>
      <c r="B472">
        <v>476</v>
      </c>
      <c r="C472">
        <v>109</v>
      </c>
      <c r="D472">
        <v>4</v>
      </c>
      <c r="E472" s="35">
        <v>2180</v>
      </c>
      <c r="F472" s="48">
        <v>45087</v>
      </c>
      <c r="G472" t="s">
        <v>14</v>
      </c>
      <c r="H472">
        <v>335</v>
      </c>
      <c r="I472" t="str">
        <f>VLOOKUP(Продажи[[#This Row],[id товара]],Товары[],2,0)</f>
        <v>Рыба</v>
      </c>
      <c r="J472" s="17">
        <f>AVERAGEIF(Продажи[Категория],Продажи[[#This Row],[Категория]],Продажи[цена за шт в рублях])</f>
        <v>258.5128205128205</v>
      </c>
      <c r="K472" s="16">
        <f>Продажи[[#This Row],[цена за шт в рублях]]/Продажи[[#This Row],[Средняя цена в категории за шт]]-1</f>
        <v>-0.5783574687561992</v>
      </c>
      <c r="L472" t="str">
        <f>VLOOKUP(Продажи[[#This Row],[id товара]],Товары[],3,0)</f>
        <v>Балтийский берег</v>
      </c>
      <c r="M472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472" s="16">
        <f>Продажи[[#This Row],[цена за шт в рублях]]/Продажи[[#This Row],[Средняя цена в категории за шт по поставщику]]-1</f>
        <v>-0.6239938673821388</v>
      </c>
      <c r="O472" s="48">
        <f>VLOOKUP(Продажи[[#This Row],[id клиента]],клиенты!$A$2:$E$435,5,0)</f>
        <v>44619</v>
      </c>
      <c r="P472">
        <f>Продажи[[#This Row],[дата создания чека]]-Продажи[[#This Row],[Дата регистрации]]</f>
        <v>468</v>
      </c>
      <c r="Q472" t="str">
        <f>VLOOKUP(Продажи[[#This Row],[id клиента]],клиенты!$A$2:$G$435,7,0)</f>
        <v>Узбекистан</v>
      </c>
      <c r="R472">
        <f>IF(COUNTIF($H$2:H472, H472)=1, 1, 0)</f>
        <v>0</v>
      </c>
      <c r="S472" t="str">
        <f>VLOOKUP(Продажи[[#This Row],[id клиента]],клиенты!$A$2:$D$435,4,0)</f>
        <v>нет</v>
      </c>
      <c r="T472" s="54">
        <f>VLOOKUP(Продажи[[#This Row],[id клиента]],клиенты!$A$2:$I$435,9,0)</f>
        <v>23.260780287474333</v>
      </c>
    </row>
    <row r="473" spans="1:20" x14ac:dyDescent="0.25">
      <c r="A473">
        <v>472</v>
      </c>
      <c r="B473">
        <v>49</v>
      </c>
      <c r="C473">
        <v>412</v>
      </c>
      <c r="D473">
        <v>3</v>
      </c>
      <c r="E473" s="35">
        <v>6180</v>
      </c>
      <c r="F473" s="48">
        <v>45165</v>
      </c>
      <c r="G473" t="s">
        <v>16</v>
      </c>
      <c r="H473">
        <v>370</v>
      </c>
      <c r="I473" t="str">
        <f>VLOOKUP(Продажи[[#This Row],[id товара]],Товары[],2,0)</f>
        <v>Рис</v>
      </c>
      <c r="J473" s="17">
        <f>AVERAGEIF(Продажи[Категория],Продажи[[#This Row],[Категория]],Продажи[цена за шт в рублях])</f>
        <v>258.375</v>
      </c>
      <c r="K473" s="16">
        <f>Продажи[[#This Row],[цена за шт в рублях]]/Продажи[[#This Row],[Средняя цена в категории за шт]]-1</f>
        <v>0.59458151910982093</v>
      </c>
      <c r="L473" t="str">
        <f>VLOOKUP(Продажи[[#This Row],[id товара]],Товары[],3,0)</f>
        <v>Агро-Альянс</v>
      </c>
      <c r="M473" s="32">
        <f>AVERAGEIFS(Продажи[цена за шт в рублях],Продажи[Категория],Продажи[[#This Row],[Категория]],Продажи[Поставщик],Продажи[[#This Row],[Поставщик]])</f>
        <v>317.85714285714283</v>
      </c>
      <c r="N473" s="16">
        <f>Продажи[[#This Row],[цена за шт в рублях]]/Продажи[[#This Row],[Средняя цена в категории за шт по поставщику]]-1</f>
        <v>0.296179775280899</v>
      </c>
      <c r="O473" s="48">
        <f>VLOOKUP(Продажи[[#This Row],[id клиента]],клиенты!$A$2:$E$435,5,0)</f>
        <v>44726</v>
      </c>
      <c r="P473">
        <f>Продажи[[#This Row],[дата создания чека]]-Продажи[[#This Row],[Дата регистрации]]</f>
        <v>439</v>
      </c>
      <c r="Q473" t="str">
        <f>VLOOKUP(Продажи[[#This Row],[id клиента]],клиенты!$A$2:$G$435,7,0)</f>
        <v>Таджикистан</v>
      </c>
      <c r="R473">
        <f>IF(COUNTIF($H$2:H473, H473)=1, 1, 0)</f>
        <v>1</v>
      </c>
      <c r="S473" t="str">
        <f>VLOOKUP(Продажи[[#This Row],[id клиента]],клиенты!$A$2:$D$435,4,0)</f>
        <v>да</v>
      </c>
      <c r="T473" s="54">
        <f>VLOOKUP(Продажи[[#This Row],[id клиента]],клиенты!$A$2:$I$435,9,0)</f>
        <v>14.422997946611909</v>
      </c>
    </row>
    <row r="474" spans="1:20" x14ac:dyDescent="0.25">
      <c r="A474">
        <v>473</v>
      </c>
      <c r="B474">
        <v>7</v>
      </c>
      <c r="C474">
        <v>254</v>
      </c>
      <c r="D474">
        <v>2</v>
      </c>
      <c r="E474" s="35">
        <v>2540</v>
      </c>
      <c r="F474" s="48">
        <v>45271</v>
      </c>
      <c r="G474" t="s">
        <v>13</v>
      </c>
      <c r="H474">
        <v>76</v>
      </c>
      <c r="I474" t="str">
        <f>VLOOKUP(Продажи[[#This Row],[id товара]],Товары[],2,0)</f>
        <v>Сыр</v>
      </c>
      <c r="J474" s="17">
        <f>AVERAGEIF(Продажи[Категория],Продажи[[#This Row],[Категория]],Продажи[цена за шт в рублях])</f>
        <v>262.63492063492066</v>
      </c>
      <c r="K474" s="16">
        <f>Продажи[[#This Row],[цена за шт в рублях]]/Продажи[[#This Row],[Средняя цена в категории за шт]]-1</f>
        <v>-3.2878036987791681E-2</v>
      </c>
      <c r="L474" t="str">
        <f>VLOOKUP(Продажи[[#This Row],[id товара]],Товары[],3,0)</f>
        <v>President</v>
      </c>
      <c r="M474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474" s="16">
        <f>Продажи[[#This Row],[цена за шт в рублях]]/Продажи[[#This Row],[Средняя цена в категории за шт по поставщику]]-1</f>
        <v>6.3998138235978663E-2</v>
      </c>
      <c r="O474" s="48">
        <f>VLOOKUP(Продажи[[#This Row],[id клиента]],клиенты!$A$2:$E$435,5,0)</f>
        <v>44575</v>
      </c>
      <c r="P474">
        <f>Продажи[[#This Row],[дата создания чека]]-Продажи[[#This Row],[Дата регистрации]]</f>
        <v>696</v>
      </c>
      <c r="Q474" t="str">
        <f>VLOOKUP(Продажи[[#This Row],[id клиента]],клиенты!$A$2:$G$435,7,0)</f>
        <v>Беларусь</v>
      </c>
      <c r="R474">
        <f>IF(COUNTIF($H$2:H474, H474)=1, 1, 0)</f>
        <v>0</v>
      </c>
      <c r="S474" t="str">
        <f>VLOOKUP(Продажи[[#This Row],[id клиента]],клиенты!$A$2:$D$435,4,0)</f>
        <v>да</v>
      </c>
      <c r="T474" s="54">
        <f>VLOOKUP(Продажи[[#This Row],[id клиента]],клиенты!$A$2:$I$435,9,0)</f>
        <v>23.227926078028748</v>
      </c>
    </row>
    <row r="475" spans="1:20" x14ac:dyDescent="0.25">
      <c r="A475">
        <v>474</v>
      </c>
      <c r="B475">
        <v>180</v>
      </c>
      <c r="C475">
        <v>338</v>
      </c>
      <c r="D475">
        <v>3</v>
      </c>
      <c r="E475" s="35">
        <v>5070</v>
      </c>
      <c r="F475" s="48">
        <v>45158</v>
      </c>
      <c r="G475" t="s">
        <v>20</v>
      </c>
      <c r="H475">
        <v>25</v>
      </c>
      <c r="I475" t="str">
        <f>VLOOKUP(Продажи[[#This Row],[id товара]],Товары[],2,0)</f>
        <v>Чипсы</v>
      </c>
      <c r="J475" s="17">
        <f>AVERAGEIF(Продажи[Категория],Продажи[[#This Row],[Категория]],Продажи[цена за шт в рублях])</f>
        <v>273.72549019607845</v>
      </c>
      <c r="K475" s="16">
        <f>Продажи[[#This Row],[цена за шт в рублях]]/Продажи[[#This Row],[Средняя цена в категории за шт]]-1</f>
        <v>0.2348137535816619</v>
      </c>
      <c r="L475" t="str">
        <f>VLOOKUP(Продажи[[#This Row],[id товара]],Товары[],3,0)</f>
        <v>Русская картошка</v>
      </c>
      <c r="M475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475" s="16">
        <f>Продажи[[#This Row],[цена за шт в рублях]]/Продажи[[#This Row],[Средняя цена в категории за шт по поставщику]]-1</f>
        <v>0.3976567884217781</v>
      </c>
      <c r="O475" s="48">
        <f>VLOOKUP(Продажи[[#This Row],[id клиента]],клиенты!$A$2:$E$435,5,0)</f>
        <v>44582</v>
      </c>
      <c r="P475">
        <f>Продажи[[#This Row],[дата создания чека]]-Продажи[[#This Row],[Дата регистрации]]</f>
        <v>576</v>
      </c>
      <c r="Q475" t="str">
        <f>VLOOKUP(Продажи[[#This Row],[id клиента]],клиенты!$A$2:$G$435,7,0)</f>
        <v>Таджикистан</v>
      </c>
      <c r="R475">
        <f>IF(COUNTIF($H$2:H475, H475)=1, 1, 0)</f>
        <v>0</v>
      </c>
      <c r="S475" t="str">
        <f>VLOOKUP(Продажи[[#This Row],[id клиента]],клиенты!$A$2:$D$435,4,0)</f>
        <v>да</v>
      </c>
      <c r="T475" s="54">
        <f>VLOOKUP(Продажи[[#This Row],[id клиента]],клиенты!$A$2:$I$435,9,0)</f>
        <v>24.114989733059549</v>
      </c>
    </row>
    <row r="476" spans="1:20" x14ac:dyDescent="0.25">
      <c r="A476">
        <v>475</v>
      </c>
      <c r="B476">
        <v>194</v>
      </c>
      <c r="C476">
        <v>268</v>
      </c>
      <c r="D476">
        <v>5</v>
      </c>
      <c r="E476" s="35">
        <v>6700</v>
      </c>
      <c r="F476" s="48">
        <v>45408</v>
      </c>
      <c r="G476" t="s">
        <v>24</v>
      </c>
      <c r="H476">
        <v>80</v>
      </c>
      <c r="I476" t="str">
        <f>VLOOKUP(Продажи[[#This Row],[id товара]],Товары[],2,0)</f>
        <v>Соль</v>
      </c>
      <c r="J476" s="17">
        <f>AVERAGEIF(Продажи[Категория],Продажи[[#This Row],[Категория]],Продажи[цена за шт в рублях])</f>
        <v>264.8679245283019</v>
      </c>
      <c r="K476" s="16">
        <f>Продажи[[#This Row],[цена за шт в рублях]]/Продажи[[#This Row],[Средняя цена в категории за шт]]-1</f>
        <v>1.1825046302892162E-2</v>
      </c>
      <c r="L476" t="str">
        <f>VLOOKUP(Продажи[[#This Row],[id товара]],Товары[],3,0)</f>
        <v>Салта</v>
      </c>
      <c r="M476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476" s="16">
        <f>Продажи[[#This Row],[цена за шт в рублях]]/Продажи[[#This Row],[Средняя цена в категории за шт по поставщику]]-1</f>
        <v>-2.0825721592985014E-2</v>
      </c>
      <c r="O476" s="48">
        <f>VLOOKUP(Продажи[[#This Row],[id клиента]],клиенты!$A$2:$E$435,5,0)</f>
        <v>44623</v>
      </c>
      <c r="P476">
        <f>Продажи[[#This Row],[дата создания чека]]-Продажи[[#This Row],[Дата регистрации]]</f>
        <v>785</v>
      </c>
      <c r="Q476" t="str">
        <f>VLOOKUP(Продажи[[#This Row],[id клиента]],клиенты!$A$2:$G$435,7,0)</f>
        <v>Беларусь</v>
      </c>
      <c r="R476">
        <f>IF(COUNTIF($H$2:H476, H476)=1, 1, 0)</f>
        <v>1</v>
      </c>
      <c r="S476" t="str">
        <f>VLOOKUP(Продажи[[#This Row],[id клиента]],клиенты!$A$2:$D$435,4,0)</f>
        <v>нет</v>
      </c>
      <c r="T476" s="54">
        <f>VLOOKUP(Продажи[[#This Row],[id клиента]],клиенты!$A$2:$I$435,9,0)</f>
        <v>25.790554414784395</v>
      </c>
    </row>
    <row r="477" spans="1:20" x14ac:dyDescent="0.25">
      <c r="A477">
        <v>476</v>
      </c>
      <c r="B477">
        <v>312</v>
      </c>
      <c r="C477">
        <v>223</v>
      </c>
      <c r="D477">
        <v>2</v>
      </c>
      <c r="E477" s="35">
        <v>2230</v>
      </c>
      <c r="F477" s="48">
        <v>44991</v>
      </c>
      <c r="G477" t="s">
        <v>12</v>
      </c>
      <c r="H477">
        <v>276</v>
      </c>
      <c r="I477" t="str">
        <f>VLOOKUP(Продажи[[#This Row],[id товара]],Товары[],2,0)</f>
        <v>Хлеб</v>
      </c>
      <c r="J477" s="17">
        <f>AVERAGEIF(Продажи[Категория],Продажи[[#This Row],[Категория]],Продажи[цена за шт в рублях])</f>
        <v>300.31818181818181</v>
      </c>
      <c r="K477" s="16">
        <f>Продажи[[#This Row],[цена за шт в рублях]]/Продажи[[#This Row],[Средняя цена в категории за шт]]-1</f>
        <v>-0.2574542152262751</v>
      </c>
      <c r="L477" t="str">
        <f>VLOOKUP(Продажи[[#This Row],[id товара]],Товары[],3,0)</f>
        <v>Каравай</v>
      </c>
      <c r="M477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477" s="16">
        <f>Продажи[[#This Row],[цена за шт в рублях]]/Продажи[[#This Row],[Средняя цена в категории за шт по поставщику]]-1</f>
        <v>-0.32662304982385515</v>
      </c>
      <c r="O477" s="48">
        <f>VLOOKUP(Продажи[[#This Row],[id клиента]],клиенты!$A$2:$E$435,5,0)</f>
        <v>44632</v>
      </c>
      <c r="P477">
        <f>Продажи[[#This Row],[дата создания чека]]-Продажи[[#This Row],[Дата регистрации]]</f>
        <v>359</v>
      </c>
      <c r="Q477" t="str">
        <f>VLOOKUP(Продажи[[#This Row],[id клиента]],клиенты!$A$2:$G$435,7,0)</f>
        <v>Таджикистан</v>
      </c>
      <c r="R477">
        <f>IF(COUNTIF($H$2:H477, H477)=1, 1, 0)</f>
        <v>0</v>
      </c>
      <c r="S477" t="str">
        <f>VLOOKUP(Продажи[[#This Row],[id клиента]],клиенты!$A$2:$D$435,4,0)</f>
        <v>нет</v>
      </c>
      <c r="T477" s="54">
        <f>VLOOKUP(Продажи[[#This Row],[id клиента]],клиенты!$A$2:$I$435,9,0)</f>
        <v>20.632443531827516</v>
      </c>
    </row>
    <row r="478" spans="1:20" x14ac:dyDescent="0.25">
      <c r="A478">
        <v>477</v>
      </c>
      <c r="B478">
        <v>235</v>
      </c>
      <c r="C478">
        <v>455</v>
      </c>
      <c r="D478">
        <v>5</v>
      </c>
      <c r="E478" s="35">
        <v>11375</v>
      </c>
      <c r="F478" s="48">
        <v>45038</v>
      </c>
      <c r="G478" t="s">
        <v>25</v>
      </c>
      <c r="H478">
        <v>71</v>
      </c>
      <c r="I478" t="str">
        <f>VLOOKUP(Продажи[[#This Row],[id товара]],Товары[],2,0)</f>
        <v>Хлеб</v>
      </c>
      <c r="J478" s="17">
        <f>AVERAGEIF(Продажи[Категория],Продажи[[#This Row],[Категория]],Продажи[цена за шт в рублях])</f>
        <v>300.31818181818181</v>
      </c>
      <c r="K478" s="16">
        <f>Продажи[[#This Row],[цена за шт в рублях]]/Продажи[[#This Row],[Средняя цена в категории за шт]]-1</f>
        <v>0.51505978507643402</v>
      </c>
      <c r="L478" t="str">
        <f>VLOOKUP(Продажи[[#This Row],[id товара]],Товары[],3,0)</f>
        <v>Русский Хлеб</v>
      </c>
      <c r="M478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478" s="16">
        <f>Продажи[[#This Row],[цена за шт в рублях]]/Продажи[[#This Row],[Средняя цена в категории за шт по поставщику]]-1</f>
        <v>0.4371446620341124</v>
      </c>
      <c r="O478" s="48">
        <f>VLOOKUP(Продажи[[#This Row],[id клиента]],клиенты!$A$2:$E$435,5,0)</f>
        <v>44762</v>
      </c>
      <c r="P478">
        <f>Продажи[[#This Row],[дата создания чека]]-Продажи[[#This Row],[Дата регистрации]]</f>
        <v>276</v>
      </c>
      <c r="Q478" t="str">
        <f>VLOOKUP(Продажи[[#This Row],[id клиента]],клиенты!$A$2:$G$435,7,0)</f>
        <v>Украина</v>
      </c>
      <c r="R478">
        <f>IF(COUNTIF($H$2:H478, H478)=1, 1, 0)</f>
        <v>0</v>
      </c>
      <c r="S478" t="str">
        <f>VLOOKUP(Продажи[[#This Row],[id клиента]],клиенты!$A$2:$D$435,4,0)</f>
        <v>да</v>
      </c>
      <c r="T478" s="54">
        <f>VLOOKUP(Продажи[[#This Row],[id клиента]],клиенты!$A$2:$I$435,9,0)</f>
        <v>22.04517453798768</v>
      </c>
    </row>
    <row r="479" spans="1:20" x14ac:dyDescent="0.25">
      <c r="A479">
        <v>478</v>
      </c>
      <c r="B479">
        <v>399</v>
      </c>
      <c r="C479">
        <v>379</v>
      </c>
      <c r="D479">
        <v>1</v>
      </c>
      <c r="E479" s="35">
        <v>1895</v>
      </c>
      <c r="F479" s="48">
        <v>45188</v>
      </c>
      <c r="G479" t="s">
        <v>18</v>
      </c>
      <c r="H479">
        <v>12</v>
      </c>
      <c r="I479" t="str">
        <f>VLOOKUP(Продажи[[#This Row],[id товара]],Товары[],2,0)</f>
        <v>Хлеб</v>
      </c>
      <c r="J479" s="17">
        <f>AVERAGEIF(Продажи[Категория],Продажи[[#This Row],[Категория]],Продажи[цена за шт в рублях])</f>
        <v>300.31818181818181</v>
      </c>
      <c r="K479" s="16">
        <f>Продажи[[#This Row],[цена за шт в рублях]]/Продажи[[#This Row],[Средняя цена в категории за шт]]-1</f>
        <v>0.26199485394278788</v>
      </c>
      <c r="L479" t="str">
        <f>VLOOKUP(Продажи[[#This Row],[id товара]],Товары[],3,0)</f>
        <v>Хлебный Дом</v>
      </c>
      <c r="M479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479" s="16">
        <f>Продажи[[#This Row],[цена за шт в рублях]]/Продажи[[#This Row],[Средняя цена в категории за шт по поставщику]]-1</f>
        <v>0.34524372929484137</v>
      </c>
      <c r="O479" s="48">
        <f>VLOOKUP(Продажи[[#This Row],[id клиента]],клиенты!$A$2:$E$435,5,0)</f>
        <v>44842</v>
      </c>
      <c r="P479">
        <f>Продажи[[#This Row],[дата создания чека]]-Продажи[[#This Row],[Дата регистрации]]</f>
        <v>346</v>
      </c>
      <c r="Q479" t="str">
        <f>VLOOKUP(Продажи[[#This Row],[id клиента]],клиенты!$A$2:$G$435,7,0)</f>
        <v>Беларусь</v>
      </c>
      <c r="R479">
        <f>IF(COUNTIF($H$2:H479, H479)=1, 1, 0)</f>
        <v>0</v>
      </c>
      <c r="S479" t="str">
        <f>VLOOKUP(Продажи[[#This Row],[id клиента]],клиенты!$A$2:$D$435,4,0)</f>
        <v>да</v>
      </c>
      <c r="T479" s="54">
        <f>VLOOKUP(Продажи[[#This Row],[id клиента]],клиенты!$A$2:$I$435,9,0)</f>
        <v>17.117043121149898</v>
      </c>
    </row>
    <row r="480" spans="1:20" x14ac:dyDescent="0.25">
      <c r="A480">
        <v>479</v>
      </c>
      <c r="B480">
        <v>494</v>
      </c>
      <c r="C480">
        <v>216</v>
      </c>
      <c r="D480">
        <v>3</v>
      </c>
      <c r="E480" s="35">
        <v>3240</v>
      </c>
      <c r="F480" s="48">
        <v>45009</v>
      </c>
      <c r="G480" t="s">
        <v>25</v>
      </c>
      <c r="H480">
        <v>9</v>
      </c>
      <c r="I480" t="str">
        <f>VLOOKUP(Продажи[[#This Row],[id товара]],Товары[],2,0)</f>
        <v>Сыр</v>
      </c>
      <c r="J480" s="17">
        <f>AVERAGEIF(Продажи[Категория],Продажи[[#This Row],[Категория]],Продажи[цена за шт в рублях])</f>
        <v>262.63492063492066</v>
      </c>
      <c r="K480" s="16">
        <f>Продажи[[#This Row],[цена за шт в рублях]]/Продажи[[#This Row],[Средняя цена в категории за шт]]-1</f>
        <v>-0.17756557476127166</v>
      </c>
      <c r="L480" t="str">
        <f>VLOOKUP(Продажи[[#This Row],[id товара]],Товары[],3,0)</f>
        <v>Сырная долина</v>
      </c>
      <c r="M480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480" s="16">
        <f>Продажи[[#This Row],[цена за шт в рублях]]/Продажи[[#This Row],[Средняя цена в категории за шт по поставщику]]-1</f>
        <v>-0.20295202952029523</v>
      </c>
      <c r="O480" s="48">
        <f>VLOOKUP(Продажи[[#This Row],[id клиента]],клиенты!$A$2:$E$435,5,0)</f>
        <v>44900</v>
      </c>
      <c r="P480">
        <f>Продажи[[#This Row],[дата создания чека]]-Продажи[[#This Row],[Дата регистрации]]</f>
        <v>109</v>
      </c>
      <c r="Q480" t="str">
        <f>VLOOKUP(Продажи[[#This Row],[id клиента]],клиенты!$A$2:$G$435,7,0)</f>
        <v>Таджикистан</v>
      </c>
      <c r="R480">
        <f>IF(COUNTIF($H$2:H480, H480)=1, 1, 0)</f>
        <v>0</v>
      </c>
      <c r="S480" t="str">
        <f>VLOOKUP(Продажи[[#This Row],[id клиента]],клиенты!$A$2:$D$435,4,0)</f>
        <v>да</v>
      </c>
      <c r="T480" s="54">
        <f>VLOOKUP(Продажи[[#This Row],[id клиента]],клиенты!$A$2:$I$435,9,0)</f>
        <v>14.390143737166325</v>
      </c>
    </row>
    <row r="481" spans="1:20" x14ac:dyDescent="0.25">
      <c r="A481">
        <v>480</v>
      </c>
      <c r="B481">
        <v>458</v>
      </c>
      <c r="C481">
        <v>469</v>
      </c>
      <c r="D481">
        <v>4</v>
      </c>
      <c r="E481" s="35">
        <v>9380</v>
      </c>
      <c r="F481" s="48">
        <v>45411</v>
      </c>
      <c r="G481" t="s">
        <v>20</v>
      </c>
      <c r="H481">
        <v>51</v>
      </c>
      <c r="I481" t="str">
        <f>VLOOKUP(Продажи[[#This Row],[id товара]],Товары[],2,0)</f>
        <v>Макароны</v>
      </c>
      <c r="J481" s="17">
        <f>AVERAGEIF(Продажи[Категория],Продажи[[#This Row],[Категория]],Продажи[цена за шт в рублях])</f>
        <v>265.47674418604652</v>
      </c>
      <c r="K481" s="16">
        <f>Продажи[[#This Row],[цена за шт в рублях]]/Продажи[[#This Row],[Средняя цена в категории за шт]]-1</f>
        <v>0.76663308659279039</v>
      </c>
      <c r="L481" t="str">
        <f>VLOOKUP(Продажи[[#This Row],[id товара]],Товары[],3,0)</f>
        <v>Борилла</v>
      </c>
      <c r="M481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481" s="16">
        <f>Продажи[[#This Row],[цена за шт в рублях]]/Продажи[[#This Row],[Средняя цена в категории за шт по поставщику]]-1</f>
        <v>0.98496789258610629</v>
      </c>
      <c r="O481" s="48">
        <f>VLOOKUP(Продажи[[#This Row],[id клиента]],клиенты!$A$2:$E$435,5,0)</f>
        <v>44605</v>
      </c>
      <c r="P481">
        <f>Продажи[[#This Row],[дата создания чека]]-Продажи[[#This Row],[Дата регистрации]]</f>
        <v>806</v>
      </c>
      <c r="Q481" t="str">
        <f>VLOOKUP(Продажи[[#This Row],[id клиента]],клиенты!$A$2:$G$435,7,0)</f>
        <v>Узбекистан</v>
      </c>
      <c r="R481">
        <f>IF(COUNTIF($H$2:H481, H481)=1, 1, 0)</f>
        <v>0</v>
      </c>
      <c r="S481" t="str">
        <f>VLOOKUP(Продажи[[#This Row],[id клиента]],клиенты!$A$2:$D$435,4,0)</f>
        <v>нет</v>
      </c>
      <c r="T481" s="54">
        <f>VLOOKUP(Продажи[[#This Row],[id клиента]],клиенты!$A$2:$I$435,9,0)</f>
        <v>26.480492813141684</v>
      </c>
    </row>
    <row r="482" spans="1:20" x14ac:dyDescent="0.25">
      <c r="A482">
        <v>481</v>
      </c>
      <c r="B482">
        <v>193</v>
      </c>
      <c r="C482">
        <v>94</v>
      </c>
      <c r="D482">
        <v>3</v>
      </c>
      <c r="E482" s="35">
        <v>1410</v>
      </c>
      <c r="F482" s="48">
        <v>45106</v>
      </c>
      <c r="G482" t="s">
        <v>10</v>
      </c>
      <c r="H482">
        <v>370</v>
      </c>
      <c r="I482" t="str">
        <f>VLOOKUP(Продажи[[#This Row],[id товара]],Товары[],2,0)</f>
        <v>Соль</v>
      </c>
      <c r="J482" s="17">
        <f>AVERAGEIF(Продажи[Категория],Продажи[[#This Row],[Категория]],Продажи[цена за шт в рублях])</f>
        <v>264.8679245283019</v>
      </c>
      <c r="K482" s="16">
        <f>Продажи[[#This Row],[цена за шт в рублях]]/Продажи[[#This Row],[Средняя цена в категории за шт]]-1</f>
        <v>-0.64510614047585135</v>
      </c>
      <c r="L482" t="str">
        <f>VLOOKUP(Продажи[[#This Row],[id товара]],Товары[],3,0)</f>
        <v>Салта</v>
      </c>
      <c r="M482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482" s="16">
        <f>Продажи[[#This Row],[цена за шт в рублях]]/Продажи[[#This Row],[Средняя цена в категории за шт по поставщику]]-1</f>
        <v>-0.65655827548410661</v>
      </c>
      <c r="O482" s="48">
        <f>VLOOKUP(Продажи[[#This Row],[id клиента]],клиенты!$A$2:$E$435,5,0)</f>
        <v>44726</v>
      </c>
      <c r="P482">
        <f>Продажи[[#This Row],[дата создания чека]]-Продажи[[#This Row],[Дата регистрации]]</f>
        <v>380</v>
      </c>
      <c r="Q482" t="str">
        <f>VLOOKUP(Продажи[[#This Row],[id клиента]],клиенты!$A$2:$G$435,7,0)</f>
        <v>Таджикистан</v>
      </c>
      <c r="R482">
        <f>IF(COUNTIF($H$2:H482, H482)=1, 1, 0)</f>
        <v>0</v>
      </c>
      <c r="S482" t="str">
        <f>VLOOKUP(Продажи[[#This Row],[id клиента]],клиенты!$A$2:$D$435,4,0)</f>
        <v>да</v>
      </c>
      <c r="T482" s="54">
        <f>VLOOKUP(Продажи[[#This Row],[id клиента]],клиенты!$A$2:$I$435,9,0)</f>
        <v>14.422997946611909</v>
      </c>
    </row>
    <row r="483" spans="1:20" x14ac:dyDescent="0.25">
      <c r="A483">
        <v>482</v>
      </c>
      <c r="B483">
        <v>450</v>
      </c>
      <c r="C483">
        <v>494</v>
      </c>
      <c r="D483">
        <v>4</v>
      </c>
      <c r="E483" s="35">
        <v>9880</v>
      </c>
      <c r="F483" s="48">
        <v>45004</v>
      </c>
      <c r="G483" t="s">
        <v>23</v>
      </c>
      <c r="H483">
        <v>17</v>
      </c>
      <c r="I483" t="str">
        <f>VLOOKUP(Продажи[[#This Row],[id товара]],Товары[],2,0)</f>
        <v>Хлеб</v>
      </c>
      <c r="J483" s="17">
        <f>AVERAGEIF(Продажи[Категория],Продажи[[#This Row],[Категория]],Продажи[цена за шт в рублях])</f>
        <v>300.31818181818181</v>
      </c>
      <c r="K483" s="16">
        <f>Продажи[[#This Row],[цена за шт в рублях]]/Продажи[[#This Row],[Средняя цена в категории за шт]]-1</f>
        <v>0.64492205236869982</v>
      </c>
      <c r="L483" t="str">
        <f>VLOOKUP(Продажи[[#This Row],[id товара]],Товары[],3,0)</f>
        <v>Хлебный Дом</v>
      </c>
      <c r="M483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483" s="16">
        <f>Продажи[[#This Row],[цена за шт в рублях]]/Продажи[[#This Row],[Средняя цена в категории за шт по поставщику]]-1</f>
        <v>0.75343114055844751</v>
      </c>
      <c r="O483" s="48">
        <f>VLOOKUP(Продажи[[#This Row],[id клиента]],клиенты!$A$2:$E$435,5,0)</f>
        <v>44877</v>
      </c>
      <c r="P483">
        <f>Продажи[[#This Row],[дата создания чека]]-Продажи[[#This Row],[Дата регистрации]]</f>
        <v>127</v>
      </c>
      <c r="Q483" t="str">
        <f>VLOOKUP(Продажи[[#This Row],[id клиента]],клиенты!$A$2:$G$435,7,0)</f>
        <v>Таджикистан</v>
      </c>
      <c r="R483">
        <f>IF(COUNTIF($H$2:H483, H483)=1, 1, 0)</f>
        <v>1</v>
      </c>
      <c r="S483" t="str">
        <f>VLOOKUP(Продажи[[#This Row],[id клиента]],клиенты!$A$2:$D$435,4,0)</f>
        <v>нет</v>
      </c>
      <c r="T483" s="54">
        <f>VLOOKUP(Продажи[[#This Row],[id клиента]],клиенты!$A$2:$I$435,9,0)</f>
        <v>13.503080082135524</v>
      </c>
    </row>
    <row r="484" spans="1:20" x14ac:dyDescent="0.25">
      <c r="A484">
        <v>483</v>
      </c>
      <c r="B484">
        <v>334</v>
      </c>
      <c r="C484">
        <v>309</v>
      </c>
      <c r="D484">
        <v>5</v>
      </c>
      <c r="E484" s="35">
        <v>7725</v>
      </c>
      <c r="F484" s="48">
        <v>45003</v>
      </c>
      <c r="G484" t="s">
        <v>15</v>
      </c>
      <c r="H484">
        <v>39</v>
      </c>
      <c r="I484" t="str">
        <f>VLOOKUP(Продажи[[#This Row],[id товара]],Товары[],2,0)</f>
        <v>Молоко</v>
      </c>
      <c r="J484" s="17">
        <f>AVERAGEIF(Продажи[Категория],Продажи[[#This Row],[Категория]],Продажи[цена за шт в рублях])</f>
        <v>294.95238095238096</v>
      </c>
      <c r="K484" s="16">
        <f>Продажи[[#This Row],[цена за шт в рублях]]/Продажи[[#This Row],[Средняя цена в категории за шт]]-1</f>
        <v>4.7626735550532651E-2</v>
      </c>
      <c r="L484" t="str">
        <f>VLOOKUP(Продажи[[#This Row],[id товара]],Товары[],3,0)</f>
        <v>Домик в деревне</v>
      </c>
      <c r="M484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484" s="16">
        <f>Продажи[[#This Row],[цена за шт в рублях]]/Продажи[[#This Row],[Средняя цена в категории за шт по поставщику]]-1</f>
        <v>0.12454508693894062</v>
      </c>
      <c r="O484" s="48">
        <f>VLOOKUP(Продажи[[#This Row],[id клиента]],клиенты!$A$2:$E$435,5,0)</f>
        <v>44653</v>
      </c>
      <c r="P484">
        <f>Продажи[[#This Row],[дата создания чека]]-Продажи[[#This Row],[Дата регистрации]]</f>
        <v>350</v>
      </c>
      <c r="Q484" t="str">
        <f>VLOOKUP(Продажи[[#This Row],[id клиента]],клиенты!$A$2:$G$435,7,0)</f>
        <v>Беларусь</v>
      </c>
      <c r="R484">
        <f>IF(COUNTIF($H$2:H484, H484)=1, 1, 0)</f>
        <v>0</v>
      </c>
      <c r="S484" t="str">
        <f>VLOOKUP(Продажи[[#This Row],[id клиента]],клиенты!$A$2:$D$435,4,0)</f>
        <v>да</v>
      </c>
      <c r="T484" s="54">
        <f>VLOOKUP(Продажи[[#This Row],[id клиента]],клиенты!$A$2:$I$435,9,0)</f>
        <v>11.498973305954825</v>
      </c>
    </row>
    <row r="485" spans="1:20" x14ac:dyDescent="0.25">
      <c r="A485">
        <v>484</v>
      </c>
      <c r="B485">
        <v>115</v>
      </c>
      <c r="C485">
        <v>118</v>
      </c>
      <c r="D485">
        <v>1</v>
      </c>
      <c r="E485" s="35">
        <v>590</v>
      </c>
      <c r="F485" s="48">
        <v>45327</v>
      </c>
      <c r="G485" t="s">
        <v>9</v>
      </c>
      <c r="H485">
        <v>481</v>
      </c>
      <c r="I485" t="str">
        <f>VLOOKUP(Продажи[[#This Row],[id товара]],Товары[],2,0)</f>
        <v>Сыр</v>
      </c>
      <c r="J485" s="17">
        <f>AVERAGEIF(Продажи[Категория],Продажи[[#This Row],[Категория]],Продажи[цена за шт в рублях])</f>
        <v>262.63492063492066</v>
      </c>
      <c r="K485" s="16">
        <f>Продажи[[#This Row],[цена за шт в рублях]]/Продажи[[#This Row],[Средняя цена в категории за шт]]-1</f>
        <v>-0.55070711954550955</v>
      </c>
      <c r="L485" t="str">
        <f>VLOOKUP(Продажи[[#This Row],[id товара]],Товары[],3,0)</f>
        <v>President</v>
      </c>
      <c r="M485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485" s="16">
        <f>Продажи[[#This Row],[цена за шт в рублях]]/Продажи[[#This Row],[Средняя цена в категории за шт по поставщику]]-1</f>
        <v>-0.50570165231556907</v>
      </c>
      <c r="O485" s="48">
        <f>VLOOKUP(Продажи[[#This Row],[id клиента]],клиенты!$A$2:$E$435,5,0)</f>
        <v>44756</v>
      </c>
      <c r="P485">
        <f>Продажи[[#This Row],[дата создания чека]]-Продажи[[#This Row],[Дата регистрации]]</f>
        <v>571</v>
      </c>
      <c r="Q485" t="str">
        <f>VLOOKUP(Продажи[[#This Row],[id клиента]],клиенты!$A$2:$G$435,7,0)</f>
        <v>Беларусь</v>
      </c>
      <c r="R485">
        <f>IF(COUNTIF($H$2:H485, H485)=1, 1, 0)</f>
        <v>0</v>
      </c>
      <c r="S485" t="str">
        <f>VLOOKUP(Продажи[[#This Row],[id клиента]],клиенты!$A$2:$D$435,4,0)</f>
        <v>да</v>
      </c>
      <c r="T485" s="54">
        <f>VLOOKUP(Продажи[[#This Row],[id клиента]],клиенты!$A$2:$I$435,9,0)</f>
        <v>18.759753593429156</v>
      </c>
    </row>
    <row r="486" spans="1:20" x14ac:dyDescent="0.25">
      <c r="A486">
        <v>485</v>
      </c>
      <c r="B486">
        <v>163</v>
      </c>
      <c r="C486">
        <v>344</v>
      </c>
      <c r="D486">
        <v>1</v>
      </c>
      <c r="E486" s="35">
        <v>1720</v>
      </c>
      <c r="F486" s="48">
        <v>45188</v>
      </c>
      <c r="G486" t="s">
        <v>10</v>
      </c>
      <c r="H486">
        <v>363</v>
      </c>
      <c r="I486" t="str">
        <f>VLOOKUP(Продажи[[#This Row],[id товара]],Товары[],2,0)</f>
        <v>Соль</v>
      </c>
      <c r="J486" s="17">
        <f>AVERAGEIF(Продажи[Категория],Продажи[[#This Row],[Категория]],Продажи[цена за шт в рублях])</f>
        <v>264.8679245283019</v>
      </c>
      <c r="K486" s="16">
        <f>Продажи[[#This Row],[цена за шт в рублях]]/Продажи[[#This Row],[Средняя цена в категории за шт]]-1</f>
        <v>0.298760507194757</v>
      </c>
      <c r="L486" t="str">
        <f>VLOOKUP(Продажи[[#This Row],[id товара]],Товары[],3,0)</f>
        <v>Экстра</v>
      </c>
      <c r="M486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486" s="16">
        <f>Продажи[[#This Row],[цена за шт в рублях]]/Продажи[[#This Row],[Средняя цена в категории за шт по поставщику]]-1</f>
        <v>7.2164948453608213E-2</v>
      </c>
      <c r="O486" s="48">
        <f>VLOOKUP(Продажи[[#This Row],[id клиента]],клиенты!$A$2:$E$435,5,0)</f>
        <v>44675</v>
      </c>
      <c r="P486">
        <f>Продажи[[#This Row],[дата создания чека]]-Продажи[[#This Row],[Дата регистрации]]</f>
        <v>513</v>
      </c>
      <c r="Q486" t="str">
        <f>VLOOKUP(Продажи[[#This Row],[id клиента]],клиенты!$A$2:$G$435,7,0)</f>
        <v>Узбекистан</v>
      </c>
      <c r="R486">
        <f>IF(COUNTIF($H$2:H486, H486)=1, 1, 0)</f>
        <v>0</v>
      </c>
      <c r="S486" t="str">
        <f>VLOOKUP(Продажи[[#This Row],[id клиента]],клиенты!$A$2:$D$435,4,0)</f>
        <v>нет</v>
      </c>
      <c r="T486" s="54">
        <f>VLOOKUP(Продажи[[#This Row],[id клиента]],клиенты!$A$2:$I$435,9,0)</f>
        <v>18.694045174537987</v>
      </c>
    </row>
    <row r="487" spans="1:20" x14ac:dyDescent="0.25">
      <c r="A487">
        <v>486</v>
      </c>
      <c r="B487">
        <v>321</v>
      </c>
      <c r="C487">
        <v>322</v>
      </c>
      <c r="D487">
        <v>3</v>
      </c>
      <c r="E487" s="35">
        <v>4830</v>
      </c>
      <c r="F487" s="48">
        <v>45094</v>
      </c>
      <c r="G487" t="s">
        <v>14</v>
      </c>
      <c r="H487">
        <v>328</v>
      </c>
      <c r="I487" t="str">
        <f>VLOOKUP(Продажи[[#This Row],[id товара]],Товары[],2,0)</f>
        <v>Мясо</v>
      </c>
      <c r="J487" s="17">
        <f>AVERAGEIF(Продажи[Категория],Продажи[[#This Row],[Категория]],Продажи[цена за шт в рублях])</f>
        <v>271.74545454545455</v>
      </c>
      <c r="K487" s="16">
        <f>Продажи[[#This Row],[цена за шт в рублях]]/Продажи[[#This Row],[Средняя цена в категории за шт]]-1</f>
        <v>0.18493242339087379</v>
      </c>
      <c r="L487" t="str">
        <f>VLOOKUP(Продажи[[#This Row],[id товара]],Товары[],3,0)</f>
        <v>Сава</v>
      </c>
      <c r="M487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487" s="16">
        <f>Продажи[[#This Row],[цена за шт в рублях]]/Продажи[[#This Row],[Средняя цена в категории за шт по поставщику]]-1</f>
        <v>0.51306901615271649</v>
      </c>
      <c r="O487" s="48">
        <f>VLOOKUP(Продажи[[#This Row],[id клиента]],клиенты!$A$2:$E$435,5,0)</f>
        <v>44568</v>
      </c>
      <c r="P487">
        <f>Продажи[[#This Row],[дата создания чека]]-Продажи[[#This Row],[Дата регистрации]]</f>
        <v>526</v>
      </c>
      <c r="Q487" t="str">
        <f>VLOOKUP(Продажи[[#This Row],[id клиента]],клиенты!$A$2:$G$435,7,0)</f>
        <v>Россия</v>
      </c>
      <c r="R487">
        <f>IF(COUNTIF($H$2:H487, H487)=1, 1, 0)</f>
        <v>0</v>
      </c>
      <c r="S487" t="str">
        <f>VLOOKUP(Продажи[[#This Row],[id клиента]],клиенты!$A$2:$D$435,4,0)</f>
        <v>да</v>
      </c>
      <c r="T487" s="54">
        <f>VLOOKUP(Продажи[[#This Row],[id клиента]],клиенты!$A$2:$I$435,9,0)</f>
        <v>23.392197125256672</v>
      </c>
    </row>
    <row r="488" spans="1:20" x14ac:dyDescent="0.25">
      <c r="A488">
        <v>487</v>
      </c>
      <c r="B488">
        <v>129</v>
      </c>
      <c r="C488">
        <v>328</v>
      </c>
      <c r="D488">
        <v>4</v>
      </c>
      <c r="E488" s="35">
        <v>6560</v>
      </c>
      <c r="F488" s="48">
        <v>45304</v>
      </c>
      <c r="G488" t="s">
        <v>11</v>
      </c>
      <c r="H488">
        <v>127</v>
      </c>
      <c r="I488" t="str">
        <f>VLOOKUP(Продажи[[#This Row],[id товара]],Товары[],2,0)</f>
        <v>Мясо</v>
      </c>
      <c r="J488" s="17">
        <f>AVERAGEIF(Продажи[Категория],Продажи[[#This Row],[Категория]],Продажи[цена за шт в рублях])</f>
        <v>271.74545454545455</v>
      </c>
      <c r="K488" s="16">
        <f>Продажи[[#This Row],[цена за шт в рублях]]/Продажи[[#This Row],[Средняя цена в категории за шт]]-1</f>
        <v>0.20701190954101434</v>
      </c>
      <c r="L488" t="str">
        <f>VLOOKUP(Продажи[[#This Row],[id товара]],Товары[],3,0)</f>
        <v>Агрокомплекс</v>
      </c>
      <c r="M488" s="32">
        <f>AVERAGEIFS(Продажи[цена за шт в рублях],Продажи[Категория],Продажи[[#This Row],[Категория]],Продажи[Поставщик],Продажи[[#This Row],[Поставщик]])</f>
        <v>311.2</v>
      </c>
      <c r="N488" s="16">
        <f>Продажи[[#This Row],[цена за шт в рублях]]/Продажи[[#This Row],[Средняя цена в категории за шт по поставщику]]-1</f>
        <v>5.3984575835475557E-2</v>
      </c>
      <c r="O488" s="48">
        <f>VLOOKUP(Продажи[[#This Row],[id клиента]],клиенты!$A$2:$E$435,5,0)</f>
        <v>44914</v>
      </c>
      <c r="P488">
        <f>Продажи[[#This Row],[дата создания чека]]-Продажи[[#This Row],[Дата регистрации]]</f>
        <v>390</v>
      </c>
      <c r="Q488" t="str">
        <f>VLOOKUP(Продажи[[#This Row],[id клиента]],клиенты!$A$2:$G$435,7,0)</f>
        <v>Украина</v>
      </c>
      <c r="R488">
        <f>IF(COUNTIF($H$2:H488, H488)=1, 1, 0)</f>
        <v>1</v>
      </c>
      <c r="S488" t="str">
        <f>VLOOKUP(Продажи[[#This Row],[id клиента]],клиенты!$A$2:$D$435,4,0)</f>
        <v>нет</v>
      </c>
      <c r="T488" s="54">
        <f>VLOOKUP(Продажи[[#This Row],[id клиента]],клиенты!$A$2:$I$435,9,0)</f>
        <v>12.813141683778234</v>
      </c>
    </row>
    <row r="489" spans="1:20" x14ac:dyDescent="0.25">
      <c r="A489">
        <v>488</v>
      </c>
      <c r="B489">
        <v>12</v>
      </c>
      <c r="C489">
        <v>357</v>
      </c>
      <c r="D489">
        <v>1</v>
      </c>
      <c r="E489" s="35">
        <v>1785</v>
      </c>
      <c r="F489" s="48">
        <v>45369</v>
      </c>
      <c r="G489" t="s">
        <v>10</v>
      </c>
      <c r="H489">
        <v>221</v>
      </c>
      <c r="I489" t="str">
        <f>VLOOKUP(Продажи[[#This Row],[id товара]],Товары[],2,0)</f>
        <v>Макароны</v>
      </c>
      <c r="J489" s="17">
        <f>AVERAGEIF(Продажи[Категория],Продажи[[#This Row],[Категория]],Продажи[цена за шт в рублях])</f>
        <v>265.47674418604652</v>
      </c>
      <c r="K489" s="16">
        <f>Продажи[[#This Row],[цена за шт в рублях]]/Продажи[[#This Row],[Средняя цена в категории за шт]]-1</f>
        <v>0.34475055845122848</v>
      </c>
      <c r="L489" t="str">
        <f>VLOOKUP(Продажи[[#This Row],[id товара]],Товары[],3,0)</f>
        <v>Макфа</v>
      </c>
      <c r="M489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489" s="16">
        <f>Продажи[[#This Row],[цена за шт в рублях]]/Продажи[[#This Row],[Средняя цена в категории за шт по поставщику]]-1</f>
        <v>8.4207620099392644E-2</v>
      </c>
      <c r="O489" s="48">
        <f>VLOOKUP(Продажи[[#This Row],[id клиента]],клиенты!$A$2:$E$435,5,0)</f>
        <v>44820</v>
      </c>
      <c r="P489">
        <f>Продажи[[#This Row],[дата создания чека]]-Продажи[[#This Row],[Дата регистрации]]</f>
        <v>549</v>
      </c>
      <c r="Q489" t="str">
        <f>VLOOKUP(Продажи[[#This Row],[id клиента]],клиенты!$A$2:$G$435,7,0)</f>
        <v>Таджикистан</v>
      </c>
      <c r="R489">
        <f>IF(COUNTIF($H$2:H489, H489)=1, 1, 0)</f>
        <v>0</v>
      </c>
      <c r="S489" t="str">
        <f>VLOOKUP(Продажи[[#This Row],[id клиента]],клиенты!$A$2:$D$435,4,0)</f>
        <v>да</v>
      </c>
      <c r="T489" s="54">
        <f>VLOOKUP(Продажи[[#This Row],[id клиента]],клиенты!$A$2:$I$435,9,0)</f>
        <v>18.036960985626283</v>
      </c>
    </row>
    <row r="490" spans="1:20" x14ac:dyDescent="0.25">
      <c r="A490">
        <v>489</v>
      </c>
      <c r="B490">
        <v>104</v>
      </c>
      <c r="C490">
        <v>276</v>
      </c>
      <c r="D490">
        <v>2</v>
      </c>
      <c r="E490" s="35">
        <v>2760</v>
      </c>
      <c r="F490" s="48">
        <v>45372</v>
      </c>
      <c r="G490" t="s">
        <v>14</v>
      </c>
      <c r="H490">
        <v>134</v>
      </c>
      <c r="I490" t="str">
        <f>VLOOKUP(Продажи[[#This Row],[id товара]],Товары[],2,0)</f>
        <v>Йогурт</v>
      </c>
      <c r="J490" s="17">
        <f>AVERAGEIF(Продажи[Категория],Продажи[[#This Row],[Категория]],Продажи[цена за шт в рублях])</f>
        <v>263.25423728813558</v>
      </c>
      <c r="K490" s="16">
        <f>Продажи[[#This Row],[цена за шт в рублях]]/Продажи[[#This Row],[Средняя цена в категории за шт]]-1</f>
        <v>4.841617306206536E-2</v>
      </c>
      <c r="L490" t="str">
        <f>VLOOKUP(Продажи[[#This Row],[id товара]],Товары[],3,0)</f>
        <v>Ростагроэкспорт</v>
      </c>
      <c r="M490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490" s="16">
        <f>Продажи[[#This Row],[цена за шт в рублях]]/Продажи[[#This Row],[Средняя цена в категории за шт по поставщику]]-1</f>
        <v>7.066959015010954E-2</v>
      </c>
      <c r="O490" s="48">
        <f>VLOOKUP(Продажи[[#This Row],[id клиента]],клиенты!$A$2:$E$435,5,0)</f>
        <v>44753</v>
      </c>
      <c r="P490">
        <f>Продажи[[#This Row],[дата создания чека]]-Продажи[[#This Row],[Дата регистрации]]</f>
        <v>619</v>
      </c>
      <c r="Q490" t="str">
        <f>VLOOKUP(Продажи[[#This Row],[id клиента]],клиенты!$A$2:$G$435,7,0)</f>
        <v>Россия</v>
      </c>
      <c r="R490">
        <f>IF(COUNTIF($H$2:H490, H490)=1, 1, 0)</f>
        <v>0</v>
      </c>
      <c r="S490" t="str">
        <f>VLOOKUP(Продажи[[#This Row],[id клиента]],клиенты!$A$2:$D$435,4,0)</f>
        <v>да</v>
      </c>
      <c r="T490" s="54">
        <f>VLOOKUP(Продажи[[#This Row],[id клиента]],клиенты!$A$2:$I$435,9,0)</f>
        <v>20.336755646817249</v>
      </c>
    </row>
    <row r="491" spans="1:20" x14ac:dyDescent="0.25">
      <c r="A491">
        <v>490</v>
      </c>
      <c r="B491">
        <v>61</v>
      </c>
      <c r="C491">
        <v>170</v>
      </c>
      <c r="D491">
        <v>2</v>
      </c>
      <c r="E491" s="35">
        <v>1700</v>
      </c>
      <c r="F491" s="48">
        <v>45292</v>
      </c>
      <c r="G491" t="s">
        <v>11</v>
      </c>
      <c r="H491">
        <v>374</v>
      </c>
      <c r="I491" t="str">
        <f>VLOOKUP(Продажи[[#This Row],[id товара]],Товары[],2,0)</f>
        <v>Йогурт</v>
      </c>
      <c r="J491" s="17">
        <f>AVERAGEIF(Продажи[Категория],Продажи[[#This Row],[Категория]],Продажи[цена за шт в рублях])</f>
        <v>263.25423728813558</v>
      </c>
      <c r="K491" s="16">
        <f>Продажи[[#This Row],[цена за шт в рублях]]/Продажи[[#This Row],[Средняя цена в категории за шт]]-1</f>
        <v>-0.35423641514293069</v>
      </c>
      <c r="L491" t="str">
        <f>VLOOKUP(Продажи[[#This Row],[id товара]],Товары[],3,0)</f>
        <v>Эрманн</v>
      </c>
      <c r="M491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491" s="16">
        <f>Продажи[[#This Row],[цена за шт в рублях]]/Продажи[[#This Row],[Средняя цена в категории за шт по поставщику]]-1</f>
        <v>-0.31589537223340036</v>
      </c>
      <c r="O491" s="48">
        <f>VLOOKUP(Продажи[[#This Row],[id клиента]],клиенты!$A$2:$E$435,5,0)</f>
        <v>44582</v>
      </c>
      <c r="P491">
        <f>Продажи[[#This Row],[дата создания чека]]-Продажи[[#This Row],[Дата регистрации]]</f>
        <v>710</v>
      </c>
      <c r="Q491" t="str">
        <f>VLOOKUP(Продажи[[#This Row],[id клиента]],клиенты!$A$2:$G$435,7,0)</f>
        <v>Украина</v>
      </c>
      <c r="R491">
        <f>IF(COUNTIF($H$2:H491, H491)=1, 1, 0)</f>
        <v>0</v>
      </c>
      <c r="S491" t="str">
        <f>VLOOKUP(Продажи[[#This Row],[id клиента]],клиенты!$A$2:$D$435,4,0)</f>
        <v>нет</v>
      </c>
      <c r="T491" s="54">
        <f>VLOOKUP(Продажи[[#This Row],[id клиента]],клиенты!$A$2:$I$435,9,0)</f>
        <v>23.326488706365502</v>
      </c>
    </row>
    <row r="492" spans="1:20" x14ac:dyDescent="0.25">
      <c r="A492">
        <v>491</v>
      </c>
      <c r="B492">
        <v>202</v>
      </c>
      <c r="C492">
        <v>89</v>
      </c>
      <c r="D492">
        <v>1</v>
      </c>
      <c r="E492" s="35">
        <v>445</v>
      </c>
      <c r="F492" s="48">
        <v>45389</v>
      </c>
      <c r="G492" t="s">
        <v>8</v>
      </c>
      <c r="H492">
        <v>441</v>
      </c>
      <c r="I492" t="str">
        <f>VLOOKUP(Продажи[[#This Row],[id товара]],Товары[],2,0)</f>
        <v>Овощи</v>
      </c>
      <c r="J492" s="17">
        <f>AVERAGEIF(Продажи[Категория],Продажи[[#This Row],[Категория]],Продажи[цена за шт в рублях])</f>
        <v>250.48780487804879</v>
      </c>
      <c r="K492" s="16">
        <f>Продажи[[#This Row],[цена за шт в рублях]]/Продажи[[#This Row],[Средняя цена в категории за шт]]-1</f>
        <v>-0.64469328140214222</v>
      </c>
      <c r="L492" t="str">
        <f>VLOOKUP(Продажи[[#This Row],[id товара]],Товары[],3,0)</f>
        <v>Овощной ряд</v>
      </c>
      <c r="M492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492" s="16">
        <f>Продажи[[#This Row],[цена за шт в рублях]]/Продажи[[#This Row],[Средняя цена в категории за шт по поставщику]]-1</f>
        <v>-0.70706679574056142</v>
      </c>
      <c r="O492" s="48">
        <f>VLOOKUP(Продажи[[#This Row],[id клиента]],клиенты!$A$2:$E$435,5,0)</f>
        <v>44867</v>
      </c>
      <c r="P492">
        <f>Продажи[[#This Row],[дата создания чека]]-Продажи[[#This Row],[Дата регистрации]]</f>
        <v>522</v>
      </c>
      <c r="Q492" t="str">
        <f>VLOOKUP(Продажи[[#This Row],[id клиента]],клиенты!$A$2:$G$435,7,0)</f>
        <v>Узбекистан</v>
      </c>
      <c r="R492">
        <f>IF(COUNTIF($H$2:H492, H492)=1, 1, 0)</f>
        <v>1</v>
      </c>
      <c r="S492" t="str">
        <f>VLOOKUP(Продажи[[#This Row],[id клиента]],клиенты!$A$2:$D$435,4,0)</f>
        <v>нет</v>
      </c>
      <c r="T492" s="54">
        <f>VLOOKUP(Продажи[[#This Row],[id клиента]],клиенты!$A$2:$I$435,9,0)</f>
        <v>17.149897330595483</v>
      </c>
    </row>
    <row r="493" spans="1:20" x14ac:dyDescent="0.25">
      <c r="A493">
        <v>492</v>
      </c>
      <c r="B493">
        <v>464</v>
      </c>
      <c r="C493">
        <v>134</v>
      </c>
      <c r="D493">
        <v>1</v>
      </c>
      <c r="E493" s="35">
        <v>670</v>
      </c>
      <c r="F493" s="48">
        <v>45078</v>
      </c>
      <c r="G493" t="s">
        <v>8</v>
      </c>
      <c r="H493">
        <v>220</v>
      </c>
      <c r="I493" t="str">
        <f>VLOOKUP(Продажи[[#This Row],[id товара]],Товары[],2,0)</f>
        <v>Сыр</v>
      </c>
      <c r="J493" s="17">
        <f>AVERAGEIF(Продажи[Категория],Продажи[[#This Row],[Категория]],Продажи[цена за шт в рублях])</f>
        <v>262.63492063492066</v>
      </c>
      <c r="K493" s="16">
        <f>Продажи[[#This Row],[цена за шт в рублях]]/Продажи[[#This Row],[Средняя цена в категории за шт]]-1</f>
        <v>-0.48978605100930739</v>
      </c>
      <c r="L493" t="str">
        <f>VLOOKUP(Продажи[[#This Row],[id товара]],Товары[],3,0)</f>
        <v>Сырная долина</v>
      </c>
      <c r="M493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493" s="16">
        <f>Продажи[[#This Row],[цена за шт в рублях]]/Продажи[[#This Row],[Средняя цена в категории за шт по поставщику]]-1</f>
        <v>-0.50553505535055354</v>
      </c>
      <c r="O493" s="48">
        <f>VLOOKUP(Продажи[[#This Row],[id клиента]],клиенты!$A$2:$E$435,5,0)</f>
        <v>44570</v>
      </c>
      <c r="P493">
        <f>Продажи[[#This Row],[дата создания чека]]-Продажи[[#This Row],[Дата регистрации]]</f>
        <v>508</v>
      </c>
      <c r="Q493" t="str">
        <f>VLOOKUP(Продажи[[#This Row],[id клиента]],клиенты!$A$2:$G$435,7,0)</f>
        <v>Украина</v>
      </c>
      <c r="R493">
        <f>IF(COUNTIF($H$2:H493, H493)=1, 1, 0)</f>
        <v>1</v>
      </c>
      <c r="S493" t="str">
        <f>VLOOKUP(Продажи[[#This Row],[id клиента]],клиенты!$A$2:$D$435,4,0)</f>
        <v>нет</v>
      </c>
      <c r="T493" s="54">
        <f>VLOOKUP(Продажи[[#This Row],[id клиента]],клиенты!$A$2:$I$435,9,0)</f>
        <v>16.689938398357288</v>
      </c>
    </row>
    <row r="494" spans="1:20" x14ac:dyDescent="0.25">
      <c r="A494">
        <v>493</v>
      </c>
      <c r="B494">
        <v>335</v>
      </c>
      <c r="C494">
        <v>436</v>
      </c>
      <c r="D494">
        <v>1</v>
      </c>
      <c r="E494" s="35">
        <v>2180</v>
      </c>
      <c r="F494" s="48">
        <v>45407</v>
      </c>
      <c r="G494" t="s">
        <v>14</v>
      </c>
      <c r="H494">
        <v>235</v>
      </c>
      <c r="I494" t="str">
        <f>VLOOKUP(Продажи[[#This Row],[id товара]],Товары[],2,0)</f>
        <v>Хлеб</v>
      </c>
      <c r="J494" s="17">
        <f>AVERAGEIF(Продажи[Категория],Продажи[[#This Row],[Категория]],Продажи[цена за шт в рублях])</f>
        <v>300.31818181818181</v>
      </c>
      <c r="K494" s="16">
        <f>Продажи[[#This Row],[цена за шт в рублях]]/Продажи[[#This Row],[Средняя цена в категории за шт]]-1</f>
        <v>0.45179355229302254</v>
      </c>
      <c r="L494" t="str">
        <f>VLOOKUP(Продажи[[#This Row],[id товара]],Товары[],3,0)</f>
        <v>Каравай</v>
      </c>
      <c r="M494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494" s="16">
        <f>Продажи[[#This Row],[цена за шт в рублях]]/Продажи[[#This Row],[Средняя цена в категории за шт по поставщику]]-1</f>
        <v>0.31655762455963754</v>
      </c>
      <c r="O494" s="48">
        <f>VLOOKUP(Продажи[[#This Row],[id клиента]],клиенты!$A$2:$E$435,5,0)</f>
        <v>44635</v>
      </c>
      <c r="P494">
        <f>Продажи[[#This Row],[дата создания чека]]-Продажи[[#This Row],[Дата регистрации]]</f>
        <v>772</v>
      </c>
      <c r="Q494" t="str">
        <f>VLOOKUP(Продажи[[#This Row],[id клиента]],клиенты!$A$2:$G$435,7,0)</f>
        <v>Узбекистан</v>
      </c>
      <c r="R494">
        <f>IF(COUNTIF($H$2:H494, H494)=1, 1, 0)</f>
        <v>0</v>
      </c>
      <c r="S494" t="str">
        <f>VLOOKUP(Продажи[[#This Row],[id клиента]],клиенты!$A$2:$D$435,4,0)</f>
        <v>нет</v>
      </c>
      <c r="T494" s="54">
        <f>VLOOKUP(Продажи[[#This Row],[id клиента]],клиенты!$A$2:$I$435,9,0)</f>
        <v>25.363449691991786</v>
      </c>
    </row>
    <row r="495" spans="1:20" x14ac:dyDescent="0.25">
      <c r="A495">
        <v>494</v>
      </c>
      <c r="B495">
        <v>15</v>
      </c>
      <c r="C495">
        <v>318</v>
      </c>
      <c r="D495">
        <v>5</v>
      </c>
      <c r="E495" s="35">
        <v>7950</v>
      </c>
      <c r="F495" s="48">
        <v>44982</v>
      </c>
      <c r="G495" t="s">
        <v>26</v>
      </c>
      <c r="H495">
        <v>323</v>
      </c>
      <c r="I495" t="str">
        <f>VLOOKUP(Продажи[[#This Row],[id товара]],Товары[],2,0)</f>
        <v>Сахар</v>
      </c>
      <c r="J495" s="17">
        <f>AVERAGEIF(Продажи[Категория],Продажи[[#This Row],[Категория]],Продажи[цена за шт в рублях])</f>
        <v>252.76271186440678</v>
      </c>
      <c r="K495" s="16">
        <f>Продажи[[#This Row],[цена за шт в рублях]]/Продажи[[#This Row],[Средняя цена в категории за шт]]-1</f>
        <v>0.25809696238181457</v>
      </c>
      <c r="L495" t="str">
        <f>VLOOKUP(Продажи[[#This Row],[id товара]],Товары[],3,0)</f>
        <v>Агросахар</v>
      </c>
      <c r="M495" s="32">
        <f>AVERAGEIFS(Продажи[цена за шт в рублях],Продажи[Категория],Продажи[[#This Row],[Категория]],Продажи[Поставщик],Продажи[[#This Row],[Поставщик]])</f>
        <v>215.85714285714286</v>
      </c>
      <c r="N495" s="16">
        <f>Продажи[[#This Row],[цена за шт в рублях]]/Продажи[[#This Row],[Средняя цена в категории за шт по поставщику]]-1</f>
        <v>0.47319655857048315</v>
      </c>
      <c r="O495" s="48">
        <f>VLOOKUP(Продажи[[#This Row],[id клиента]],клиенты!$A$2:$E$435,5,0)</f>
        <v>44821</v>
      </c>
      <c r="P495">
        <f>Продажи[[#This Row],[дата создания чека]]-Продажи[[#This Row],[Дата регистрации]]</f>
        <v>161</v>
      </c>
      <c r="Q495" t="str">
        <f>VLOOKUP(Продажи[[#This Row],[id клиента]],клиенты!$A$2:$G$435,7,0)</f>
        <v>Таджикистан</v>
      </c>
      <c r="R495">
        <f>IF(COUNTIF($H$2:H495, H495)=1, 1, 0)</f>
        <v>0</v>
      </c>
      <c r="S495" t="str">
        <f>VLOOKUP(Продажи[[#This Row],[id клиента]],клиенты!$A$2:$D$435,4,0)</f>
        <v>да</v>
      </c>
      <c r="T495" s="54">
        <f>VLOOKUP(Продажи[[#This Row],[id клиента]],клиенты!$A$2:$I$435,9,0)</f>
        <v>18.759753593429156</v>
      </c>
    </row>
    <row r="496" spans="1:20" x14ac:dyDescent="0.25">
      <c r="A496">
        <v>495</v>
      </c>
      <c r="B496">
        <v>441</v>
      </c>
      <c r="C496">
        <v>183</v>
      </c>
      <c r="D496">
        <v>1</v>
      </c>
      <c r="E496" s="35">
        <v>915</v>
      </c>
      <c r="F496" s="48">
        <v>45235</v>
      </c>
      <c r="G496" t="s">
        <v>14</v>
      </c>
      <c r="H496">
        <v>296</v>
      </c>
      <c r="I496" t="str">
        <f>VLOOKUP(Продажи[[#This Row],[id товара]],Товары[],2,0)</f>
        <v>Чай</v>
      </c>
      <c r="J496" s="17">
        <f>AVERAGEIF(Продажи[Категория],Продажи[[#This Row],[Категория]],Продажи[цена за шт в рублях])</f>
        <v>271.18181818181819</v>
      </c>
      <c r="K496" s="16">
        <f>Продажи[[#This Row],[цена за шт в рублях]]/Продажи[[#This Row],[Средняя цена в категории за шт]]-1</f>
        <v>-0.32517599731813607</v>
      </c>
      <c r="L496" t="str">
        <f>VLOOKUP(Продажи[[#This Row],[id товара]],Товары[],3,0)</f>
        <v>Lipton</v>
      </c>
      <c r="M496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496" s="16">
        <f>Продажи[[#This Row],[цена за шт в рублях]]/Продажи[[#This Row],[Средняя цена в категории за шт по поставщику]]-1</f>
        <v>-0.29658102366983607</v>
      </c>
      <c r="O496" s="48">
        <f>VLOOKUP(Продажи[[#This Row],[id клиента]],клиенты!$A$2:$E$435,5,0)</f>
        <v>44758</v>
      </c>
      <c r="P496">
        <f>Продажи[[#This Row],[дата создания чека]]-Продажи[[#This Row],[Дата регистрации]]</f>
        <v>477</v>
      </c>
      <c r="Q496" t="str">
        <f>VLOOKUP(Продажи[[#This Row],[id клиента]],клиенты!$A$2:$G$435,7,0)</f>
        <v>Узбекистан</v>
      </c>
      <c r="R496">
        <f>IF(COUNTIF($H$2:H496, H496)=1, 1, 0)</f>
        <v>0</v>
      </c>
      <c r="S496" t="str">
        <f>VLOOKUP(Продажи[[#This Row],[id клиента]],клиенты!$A$2:$D$435,4,0)</f>
        <v>нет</v>
      </c>
      <c r="T496" s="54">
        <f>VLOOKUP(Продажи[[#This Row],[id клиента]],клиенты!$A$2:$I$435,9,0)</f>
        <v>20.238193018480494</v>
      </c>
    </row>
    <row r="497" spans="1:20" x14ac:dyDescent="0.25">
      <c r="A497">
        <v>496</v>
      </c>
      <c r="B497">
        <v>149</v>
      </c>
      <c r="C497">
        <v>448</v>
      </c>
      <c r="D497">
        <v>2</v>
      </c>
      <c r="E497" s="35">
        <v>4480</v>
      </c>
      <c r="F497" s="48">
        <v>45069</v>
      </c>
      <c r="G497" t="s">
        <v>16</v>
      </c>
      <c r="H497">
        <v>206</v>
      </c>
      <c r="I497" t="str">
        <f>VLOOKUP(Продажи[[#This Row],[id товара]],Товары[],2,0)</f>
        <v>Конфеты</v>
      </c>
      <c r="J497" s="17">
        <f>AVERAGEIF(Продажи[Категория],Продажи[[#This Row],[Категория]],Продажи[цена за шт в рублях])</f>
        <v>267.85483870967744</v>
      </c>
      <c r="K497" s="16">
        <f>Продажи[[#This Row],[цена за шт в рублях]]/Продажи[[#This Row],[Средняя цена в категории за шт]]-1</f>
        <v>0.67254772084060921</v>
      </c>
      <c r="L497" t="str">
        <f>VLOOKUP(Продажи[[#This Row],[id товара]],Товары[],3,0)</f>
        <v>Бабаевский</v>
      </c>
      <c r="M497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497" s="16">
        <f>Продажи[[#This Row],[цена за шт в рублях]]/Продажи[[#This Row],[Средняя цена в категории за шт по поставщику]]-1</f>
        <v>0.79014355483202592</v>
      </c>
      <c r="O497" s="48">
        <f>VLOOKUP(Продажи[[#This Row],[id клиента]],клиенты!$A$2:$E$435,5,0)</f>
        <v>44568</v>
      </c>
      <c r="P497">
        <f>Продажи[[#This Row],[дата создания чека]]-Продажи[[#This Row],[Дата регистрации]]</f>
        <v>501</v>
      </c>
      <c r="Q497" t="str">
        <f>VLOOKUP(Продажи[[#This Row],[id клиента]],клиенты!$A$2:$G$435,7,0)</f>
        <v>Россия</v>
      </c>
      <c r="R497">
        <f>IF(COUNTIF($H$2:H497, H497)=1, 1, 0)</f>
        <v>1</v>
      </c>
      <c r="S497" t="str">
        <f>VLOOKUP(Продажи[[#This Row],[id клиента]],клиенты!$A$2:$D$435,4,0)</f>
        <v>нет</v>
      </c>
      <c r="T497" s="54">
        <f>VLOOKUP(Продажи[[#This Row],[id клиента]],клиенты!$A$2:$I$435,9,0)</f>
        <v>16.459958932238195</v>
      </c>
    </row>
    <row r="498" spans="1:20" x14ac:dyDescent="0.25">
      <c r="A498">
        <v>497</v>
      </c>
      <c r="B498">
        <v>490</v>
      </c>
      <c r="C498">
        <v>58</v>
      </c>
      <c r="D498">
        <v>4</v>
      </c>
      <c r="E498" s="35">
        <v>1160</v>
      </c>
      <c r="F498" s="48">
        <v>45216</v>
      </c>
      <c r="G498" t="s">
        <v>26</v>
      </c>
      <c r="H498">
        <v>255</v>
      </c>
      <c r="I498" t="str">
        <f>VLOOKUP(Продажи[[#This Row],[id товара]],Товары[],2,0)</f>
        <v>Сыр</v>
      </c>
      <c r="J498" s="17">
        <f>AVERAGEIF(Продажи[Категория],Продажи[[#This Row],[Категория]],Продажи[цена за шт в рублях])</f>
        <v>262.63492063492066</v>
      </c>
      <c r="K498" s="16">
        <f>Продажи[[#This Row],[цена за шт в рублях]]/Продажи[[#This Row],[Средняя цена в категории за шт]]-1</f>
        <v>-0.77916112655626746</v>
      </c>
      <c r="L498" t="str">
        <f>VLOOKUP(Продажи[[#This Row],[id товара]],Товары[],3,0)</f>
        <v>Сырная долина</v>
      </c>
      <c r="M498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498" s="16">
        <f>Продажи[[#This Row],[цена за шт в рублях]]/Продажи[[#This Row],[Средняя цена в категории за шт по поставщику]]-1</f>
        <v>-0.7859778597785978</v>
      </c>
      <c r="O498" s="48">
        <f>VLOOKUP(Продажи[[#This Row],[id клиента]],клиенты!$A$2:$E$435,5,0)</f>
        <v>44793</v>
      </c>
      <c r="P498">
        <f>Продажи[[#This Row],[дата создания чека]]-Продажи[[#This Row],[Дата регистрации]]</f>
        <v>423</v>
      </c>
      <c r="Q498" t="str">
        <f>VLOOKUP(Продажи[[#This Row],[id клиента]],клиенты!$A$2:$G$435,7,0)</f>
        <v>Украина</v>
      </c>
      <c r="R498">
        <f>IF(COUNTIF($H$2:H498, H498)=1, 1, 0)</f>
        <v>0</v>
      </c>
      <c r="S498" t="str">
        <f>VLOOKUP(Продажи[[#This Row],[id клиента]],клиенты!$A$2:$D$435,4,0)</f>
        <v>да</v>
      </c>
      <c r="T498" s="54">
        <f>VLOOKUP(Продажи[[#This Row],[id клиента]],клиенты!$A$2:$I$435,9,0)</f>
        <v>19.219712525667351</v>
      </c>
    </row>
    <row r="499" spans="1:20" x14ac:dyDescent="0.25">
      <c r="A499">
        <v>498</v>
      </c>
      <c r="B499">
        <v>90</v>
      </c>
      <c r="C499">
        <v>162</v>
      </c>
      <c r="D499">
        <v>3</v>
      </c>
      <c r="E499" s="35">
        <v>2430</v>
      </c>
      <c r="F499" s="48">
        <v>45207</v>
      </c>
      <c r="G499" t="s">
        <v>14</v>
      </c>
      <c r="H499">
        <v>88</v>
      </c>
      <c r="I499" t="str">
        <f>VLOOKUP(Продажи[[#This Row],[id товара]],Товары[],2,0)</f>
        <v>Кофе</v>
      </c>
      <c r="J499" s="17">
        <f>AVERAGEIF(Продажи[Категория],Продажи[[#This Row],[Категория]],Продажи[цена за шт в рублях])</f>
        <v>249.02380952380952</v>
      </c>
      <c r="K499" s="16">
        <f>Продажи[[#This Row],[цена за шт в рублях]]/Продажи[[#This Row],[Средняя цена в категории за шт]]-1</f>
        <v>-0.34945979539152883</v>
      </c>
      <c r="L499" t="str">
        <f>VLOOKUP(Продажи[[#This Row],[id товара]],Товары[],3,0)</f>
        <v>Nescafe</v>
      </c>
      <c r="M499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499" s="16">
        <f>Продажи[[#This Row],[цена за шт в рублях]]/Продажи[[#This Row],[Средняя цена в категории за шт по поставщику]]-1</f>
        <v>-0.3694044375243285</v>
      </c>
      <c r="O499" s="48">
        <f>VLOOKUP(Продажи[[#This Row],[id клиента]],клиенты!$A$2:$E$435,5,0)</f>
        <v>44630</v>
      </c>
      <c r="P499">
        <f>Продажи[[#This Row],[дата создания чека]]-Продажи[[#This Row],[Дата регистрации]]</f>
        <v>577</v>
      </c>
      <c r="Q499" t="str">
        <f>VLOOKUP(Продажи[[#This Row],[id клиента]],клиенты!$A$2:$G$435,7,0)</f>
        <v>Украина</v>
      </c>
      <c r="R499">
        <f>IF(COUNTIF($H$2:H499, H499)=1, 1, 0)</f>
        <v>0</v>
      </c>
      <c r="S499" t="str">
        <f>VLOOKUP(Продажи[[#This Row],[id клиента]],клиенты!$A$2:$D$435,4,0)</f>
        <v>да</v>
      </c>
      <c r="T499" s="54">
        <f>VLOOKUP(Продажи[[#This Row],[id клиента]],клиенты!$A$2:$I$435,9,0)</f>
        <v>24.706365503080082</v>
      </c>
    </row>
    <row r="500" spans="1:20" x14ac:dyDescent="0.25">
      <c r="A500">
        <v>499</v>
      </c>
      <c r="B500">
        <v>396</v>
      </c>
      <c r="C500">
        <v>482</v>
      </c>
      <c r="D500">
        <v>2</v>
      </c>
      <c r="E500" s="35">
        <v>4820</v>
      </c>
      <c r="F500" s="48">
        <v>45408</v>
      </c>
      <c r="G500" t="s">
        <v>20</v>
      </c>
      <c r="H500">
        <v>362</v>
      </c>
      <c r="I500" t="str">
        <f>VLOOKUP(Продажи[[#This Row],[id товара]],Товары[],2,0)</f>
        <v>Молоко</v>
      </c>
      <c r="J500" s="17">
        <f>AVERAGEIF(Продажи[Категория],Продажи[[#This Row],[Категория]],Продажи[цена за шт в рублях])</f>
        <v>294.95238095238096</v>
      </c>
      <c r="K500" s="16">
        <f>Продажи[[#This Row],[цена за шт в рублях]]/Продажи[[#This Row],[Средняя цена в категории за шт]]-1</f>
        <v>0.63416209234743293</v>
      </c>
      <c r="L500" t="str">
        <f>VLOOKUP(Продажи[[#This Row],[id товара]],Товары[],3,0)</f>
        <v>Домик в деревне</v>
      </c>
      <c r="M500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500" s="16">
        <f>Продажи[[#This Row],[цена за шт в рублях]]/Продажи[[#This Row],[Средняя цена в категории за шт по поставщику]]-1</f>
        <v>0.75414476344520831</v>
      </c>
      <c r="O500" s="48">
        <f>VLOOKUP(Продажи[[#This Row],[id клиента]],клиенты!$A$2:$E$435,5,0)</f>
        <v>44916</v>
      </c>
      <c r="P500">
        <f>Продажи[[#This Row],[дата создания чека]]-Продажи[[#This Row],[Дата регистрации]]</f>
        <v>492</v>
      </c>
      <c r="Q500" t="str">
        <f>VLOOKUP(Продажи[[#This Row],[id клиента]],клиенты!$A$2:$G$435,7,0)</f>
        <v>Россия</v>
      </c>
      <c r="R500">
        <f>IF(COUNTIF($H$2:H500, H500)=1, 1, 0)</f>
        <v>0</v>
      </c>
      <c r="S500" t="str">
        <f>VLOOKUP(Продажи[[#This Row],[id клиента]],клиенты!$A$2:$D$435,4,0)</f>
        <v>нет</v>
      </c>
      <c r="T500" s="54">
        <f>VLOOKUP(Продажи[[#This Row],[id клиента]],клиенты!$A$2:$I$435,9,0)</f>
        <v>16.164271047227928</v>
      </c>
    </row>
    <row r="501" spans="1:20" x14ac:dyDescent="0.25">
      <c r="A501">
        <v>500</v>
      </c>
      <c r="B501">
        <v>323</v>
      </c>
      <c r="C501">
        <v>64</v>
      </c>
      <c r="D501">
        <v>4</v>
      </c>
      <c r="E501" s="35">
        <v>1280</v>
      </c>
      <c r="F501" s="48">
        <v>45349</v>
      </c>
      <c r="G501" t="s">
        <v>9</v>
      </c>
      <c r="H501">
        <v>265</v>
      </c>
      <c r="I501" t="str">
        <f>VLOOKUP(Продажи[[#This Row],[id товара]],Товары[],2,0)</f>
        <v>Рыба</v>
      </c>
      <c r="J501" s="17">
        <f>AVERAGEIF(Продажи[Категория],Продажи[[#This Row],[Категория]],Продажи[цена за шт в рублях])</f>
        <v>258.5128205128205</v>
      </c>
      <c r="K501" s="16">
        <f>Продажи[[#This Row],[цена за шт в рублях]]/Продажи[[#This Row],[Средняя цена в категории за шт]]-1</f>
        <v>-0.75243007339813528</v>
      </c>
      <c r="L501" t="str">
        <f>VLOOKUP(Продажи[[#This Row],[id товара]],Товары[],3,0)</f>
        <v>Меридиан</v>
      </c>
      <c r="M501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501" s="16">
        <f>Продажи[[#This Row],[цена за шт в рублях]]/Продажи[[#This Row],[Средняя цена в категории за шт по поставщику]]-1</f>
        <v>-0.75445723313021884</v>
      </c>
      <c r="O501" s="48">
        <f>VLOOKUP(Продажи[[#This Row],[id клиента]],клиенты!$A$2:$E$435,5,0)</f>
        <v>44756</v>
      </c>
      <c r="P501">
        <f>Продажи[[#This Row],[дата создания чека]]-Продажи[[#This Row],[Дата регистрации]]</f>
        <v>593</v>
      </c>
      <c r="Q501" t="str">
        <f>VLOOKUP(Продажи[[#This Row],[id клиента]],клиенты!$A$2:$G$435,7,0)</f>
        <v>Узбекистан</v>
      </c>
      <c r="R501">
        <f>IF(COUNTIF($H$2:H501, H501)=1, 1, 0)</f>
        <v>0</v>
      </c>
      <c r="S501" t="str">
        <f>VLOOKUP(Продажи[[#This Row],[id клиента]],клиенты!$A$2:$D$435,4,0)</f>
        <v>нет</v>
      </c>
      <c r="T501" s="54">
        <f>VLOOKUP(Продажи[[#This Row],[id клиента]],клиенты!$A$2:$I$435,9,0)</f>
        <v>21.913757700205338</v>
      </c>
    </row>
    <row r="502" spans="1:20" x14ac:dyDescent="0.25">
      <c r="A502">
        <v>501</v>
      </c>
      <c r="B502">
        <v>451</v>
      </c>
      <c r="C502">
        <v>187</v>
      </c>
      <c r="D502">
        <v>4</v>
      </c>
      <c r="E502" s="35">
        <v>3740</v>
      </c>
      <c r="F502" s="48">
        <v>45160</v>
      </c>
      <c r="G502" t="s">
        <v>19</v>
      </c>
      <c r="H502">
        <v>164</v>
      </c>
      <c r="I502" t="str">
        <f>VLOOKUP(Продажи[[#This Row],[id товара]],Товары[],2,0)</f>
        <v>Рис</v>
      </c>
      <c r="J502" s="17">
        <f>AVERAGEIF(Продажи[Категория],Продажи[[#This Row],[Категория]],Продажи[цена за шт в рублях])</f>
        <v>258.375</v>
      </c>
      <c r="K502" s="16">
        <f>Продажи[[#This Row],[цена за шт в рублях]]/Продажи[[#This Row],[Средняя цена в категории за шт]]-1</f>
        <v>-0.27624576681180457</v>
      </c>
      <c r="L502" t="str">
        <f>VLOOKUP(Продажи[[#This Row],[id товара]],Товары[],3,0)</f>
        <v>Белый Злат</v>
      </c>
      <c r="M502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502" s="16">
        <f>Продажи[[#This Row],[цена за шт в рублях]]/Продажи[[#This Row],[Средняя цена в категории за шт по поставщику]]-1</f>
        <v>-0.30665212649945472</v>
      </c>
      <c r="O502" s="48">
        <f>VLOOKUP(Продажи[[#This Row],[id клиента]],клиенты!$A$2:$E$435,5,0)</f>
        <v>44678</v>
      </c>
      <c r="P502">
        <f>Продажи[[#This Row],[дата создания чека]]-Продажи[[#This Row],[Дата регистрации]]</f>
        <v>482</v>
      </c>
      <c r="Q502" t="str">
        <f>VLOOKUP(Продажи[[#This Row],[id клиента]],клиенты!$A$2:$G$435,7,0)</f>
        <v>Россия</v>
      </c>
      <c r="R502">
        <f>IF(COUNTIF($H$2:H502, H502)=1, 1, 0)</f>
        <v>0</v>
      </c>
      <c r="S502" t="str">
        <f>VLOOKUP(Продажи[[#This Row],[id клиента]],клиенты!$A$2:$D$435,4,0)</f>
        <v>нет</v>
      </c>
      <c r="T502" s="54">
        <f>VLOOKUP(Продажи[[#This Row],[id клиента]],клиенты!$A$2:$I$435,9,0)</f>
        <v>21.585215605749486</v>
      </c>
    </row>
    <row r="503" spans="1:20" x14ac:dyDescent="0.25">
      <c r="A503">
        <v>502</v>
      </c>
      <c r="B503">
        <v>348</v>
      </c>
      <c r="C503">
        <v>461</v>
      </c>
      <c r="D503">
        <v>3</v>
      </c>
      <c r="E503" s="35">
        <v>6915</v>
      </c>
      <c r="F503" s="48">
        <v>45344</v>
      </c>
      <c r="G503" t="s">
        <v>18</v>
      </c>
      <c r="H503">
        <v>364</v>
      </c>
      <c r="I503" t="str">
        <f>VLOOKUP(Продажи[[#This Row],[id товара]],Товары[],2,0)</f>
        <v>Чипсы</v>
      </c>
      <c r="J503" s="17">
        <f>AVERAGEIF(Продажи[Категория],Продажи[[#This Row],[Категория]],Продажи[цена за шт в рублях])</f>
        <v>273.72549019607845</v>
      </c>
      <c r="K503" s="16">
        <f>Продажи[[#This Row],[цена за шт в рублях]]/Продажи[[#This Row],[Средняя цена в категории за шт]]-1</f>
        <v>0.68416905444126064</v>
      </c>
      <c r="L503" t="str">
        <f>VLOOKUP(Продажи[[#This Row],[id товара]],Товары[],3,0)</f>
        <v>Estrella</v>
      </c>
      <c r="M503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503" s="16">
        <f>Продажи[[#This Row],[цена за шт в рублях]]/Продажи[[#This Row],[Средняя цена в категории за шт по поставщику]]-1</f>
        <v>0.73130761351997275</v>
      </c>
      <c r="O503" s="48">
        <f>VLOOKUP(Продажи[[#This Row],[id клиента]],клиенты!$A$2:$E$435,5,0)</f>
        <v>44883</v>
      </c>
      <c r="P503">
        <f>Продажи[[#This Row],[дата создания чека]]-Продажи[[#This Row],[Дата регистрации]]</f>
        <v>461</v>
      </c>
      <c r="Q503" t="str">
        <f>VLOOKUP(Продажи[[#This Row],[id клиента]],клиенты!$A$2:$G$435,7,0)</f>
        <v>Россия</v>
      </c>
      <c r="R503">
        <f>IF(COUNTIF($H$2:H503, H503)=1, 1, 0)</f>
        <v>0</v>
      </c>
      <c r="S503" t="str">
        <f>VLOOKUP(Продажи[[#This Row],[id клиента]],клиенты!$A$2:$D$435,4,0)</f>
        <v>да</v>
      </c>
      <c r="T503" s="54">
        <f>VLOOKUP(Продажи[[#This Row],[id клиента]],клиенты!$A$2:$I$435,9,0)</f>
        <v>15.145790554414784</v>
      </c>
    </row>
    <row r="504" spans="1:20" x14ac:dyDescent="0.25">
      <c r="A504">
        <v>503</v>
      </c>
      <c r="B504">
        <v>111</v>
      </c>
      <c r="C504">
        <v>321</v>
      </c>
      <c r="D504">
        <v>5</v>
      </c>
      <c r="E504" s="35">
        <v>8025</v>
      </c>
      <c r="F504" s="48">
        <v>45131</v>
      </c>
      <c r="G504" t="s">
        <v>17</v>
      </c>
      <c r="H504">
        <v>19</v>
      </c>
      <c r="I504" t="str">
        <f>VLOOKUP(Продажи[[#This Row],[id товара]],Товары[],2,0)</f>
        <v>Сахар</v>
      </c>
      <c r="J504" s="17">
        <f>AVERAGEIF(Продажи[Категория],Продажи[[#This Row],[Категория]],Продажи[цена за шт в рублях])</f>
        <v>252.76271186440678</v>
      </c>
      <c r="K504" s="16">
        <f>Продажи[[#This Row],[цена за шт в рублях]]/Продажи[[#This Row],[Средняя цена в категории за шт]]-1</f>
        <v>0.26996580164956741</v>
      </c>
      <c r="L504" t="str">
        <f>VLOOKUP(Продажи[[#This Row],[id товара]],Товары[],3,0)</f>
        <v>Сладов</v>
      </c>
      <c r="M504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504" s="16">
        <f>Продажи[[#This Row],[цена за шт в рублях]]/Продажи[[#This Row],[Средняя цена в категории за шт по поставщику]]-1</f>
        <v>0.3360155382907879</v>
      </c>
      <c r="O504" s="48">
        <f>VLOOKUP(Продажи[[#This Row],[id клиента]],клиенты!$A$2:$E$435,5,0)</f>
        <v>44902</v>
      </c>
      <c r="P504">
        <f>Продажи[[#This Row],[дата создания чека]]-Продажи[[#This Row],[Дата регистрации]]</f>
        <v>229</v>
      </c>
      <c r="Q504" t="str">
        <f>VLOOKUP(Продажи[[#This Row],[id клиента]],клиенты!$A$2:$G$435,7,0)</f>
        <v>Россия</v>
      </c>
      <c r="R504">
        <f>IF(COUNTIF($H$2:H504, H504)=1, 1, 0)</f>
        <v>0</v>
      </c>
      <c r="S504" t="str">
        <f>VLOOKUP(Продажи[[#This Row],[id клиента]],клиенты!$A$2:$D$435,4,0)</f>
        <v>да</v>
      </c>
      <c r="T504" s="54">
        <f>VLOOKUP(Продажи[[#This Row],[id клиента]],клиенты!$A$2:$I$435,9,0)</f>
        <v>12.320328542094456</v>
      </c>
    </row>
    <row r="505" spans="1:20" x14ac:dyDescent="0.25">
      <c r="A505">
        <v>504</v>
      </c>
      <c r="B505">
        <v>234</v>
      </c>
      <c r="C505">
        <v>244</v>
      </c>
      <c r="D505">
        <v>3</v>
      </c>
      <c r="E505" s="35">
        <v>3660</v>
      </c>
      <c r="F505" s="48">
        <v>45081</v>
      </c>
      <c r="G505" t="s">
        <v>20</v>
      </c>
      <c r="H505">
        <v>453</v>
      </c>
      <c r="I505" t="str">
        <f>VLOOKUP(Продажи[[#This Row],[id товара]],Товары[],2,0)</f>
        <v>Чай</v>
      </c>
      <c r="J505" s="17">
        <f>AVERAGEIF(Продажи[Категория],Продажи[[#This Row],[Категория]],Продажи[цена за шт в рублях])</f>
        <v>271.18181818181819</v>
      </c>
      <c r="K505" s="16">
        <f>Продажи[[#This Row],[цена за шт в рублях]]/Продажи[[#This Row],[Средняя цена в категории за шт]]-1</f>
        <v>-0.10023466309084816</v>
      </c>
      <c r="L505" t="str">
        <f>VLOOKUP(Продажи[[#This Row],[id товара]],Товары[],3,0)</f>
        <v>Greenfield</v>
      </c>
      <c r="M505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505" s="16">
        <f>Продажи[[#This Row],[цена за шт в рублях]]/Продажи[[#This Row],[Средняя цена в категории за шт по поставщику]]-1</f>
        <v>-0.16281971303805365</v>
      </c>
      <c r="O505" s="48">
        <f>VLOOKUP(Продажи[[#This Row],[id клиента]],клиенты!$A$2:$E$435,5,0)</f>
        <v>44635</v>
      </c>
      <c r="P505">
        <f>Продажи[[#This Row],[дата создания чека]]-Продажи[[#This Row],[Дата регистрации]]</f>
        <v>446</v>
      </c>
      <c r="Q505" t="str">
        <f>VLOOKUP(Продажи[[#This Row],[id клиента]],клиенты!$A$2:$G$435,7,0)</f>
        <v>Россия</v>
      </c>
      <c r="R505">
        <f>IF(COUNTIF($H$2:H505, H505)=1, 1, 0)</f>
        <v>0</v>
      </c>
      <c r="S505" t="str">
        <f>VLOOKUP(Продажи[[#This Row],[id клиента]],клиенты!$A$2:$D$435,4,0)</f>
        <v>да</v>
      </c>
      <c r="T505" s="54">
        <f>VLOOKUP(Продажи[[#This Row],[id клиента]],клиенты!$A$2:$I$435,9,0)</f>
        <v>14.652977412731007</v>
      </c>
    </row>
    <row r="506" spans="1:20" x14ac:dyDescent="0.25">
      <c r="A506">
        <v>505</v>
      </c>
      <c r="B506">
        <v>336</v>
      </c>
      <c r="C506">
        <v>416</v>
      </c>
      <c r="D506">
        <v>2</v>
      </c>
      <c r="E506" s="35">
        <v>4160</v>
      </c>
      <c r="F506" s="48">
        <v>45173</v>
      </c>
      <c r="G506" t="s">
        <v>12</v>
      </c>
      <c r="H506">
        <v>335</v>
      </c>
      <c r="I506" t="str">
        <f>VLOOKUP(Продажи[[#This Row],[id товара]],Товары[],2,0)</f>
        <v>Чипсы</v>
      </c>
      <c r="J506" s="17">
        <f>AVERAGEIF(Продажи[Категория],Продажи[[#This Row],[Категория]],Продажи[цена за шт в рублях])</f>
        <v>273.72549019607845</v>
      </c>
      <c r="K506" s="16">
        <f>Продажи[[#This Row],[цена за шт в рублях]]/Продажи[[#This Row],[Средняя цена в категории за шт]]-1</f>
        <v>0.51977077363896829</v>
      </c>
      <c r="L506" t="str">
        <f>VLOOKUP(Продажи[[#This Row],[id товара]],Товары[],3,0)</f>
        <v>Estrella</v>
      </c>
      <c r="M506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506" s="16">
        <f>Продажи[[#This Row],[цена за шт в рублях]]/Продажи[[#This Row],[Средняя цена в категории за шт по поставщику]]-1</f>
        <v>0.56230795493342445</v>
      </c>
      <c r="O506" s="48">
        <f>VLOOKUP(Продажи[[#This Row],[id клиента]],клиенты!$A$2:$E$435,5,0)</f>
        <v>44619</v>
      </c>
      <c r="P506">
        <f>Продажи[[#This Row],[дата создания чека]]-Продажи[[#This Row],[Дата регистрации]]</f>
        <v>554</v>
      </c>
      <c r="Q506" t="str">
        <f>VLOOKUP(Продажи[[#This Row],[id клиента]],клиенты!$A$2:$G$435,7,0)</f>
        <v>Узбекистан</v>
      </c>
      <c r="R506">
        <f>IF(COUNTIF($H$2:H506, H506)=1, 1, 0)</f>
        <v>0</v>
      </c>
      <c r="S506" t="str">
        <f>VLOOKUP(Продажи[[#This Row],[id клиента]],клиенты!$A$2:$D$435,4,0)</f>
        <v>нет</v>
      </c>
      <c r="T506" s="54">
        <f>VLOOKUP(Продажи[[#This Row],[id клиента]],клиенты!$A$2:$I$435,9,0)</f>
        <v>23.260780287474333</v>
      </c>
    </row>
    <row r="507" spans="1:20" x14ac:dyDescent="0.25">
      <c r="A507">
        <v>506</v>
      </c>
      <c r="B507">
        <v>441</v>
      </c>
      <c r="C507">
        <v>293</v>
      </c>
      <c r="D507">
        <v>3</v>
      </c>
      <c r="E507" s="35">
        <v>4395</v>
      </c>
      <c r="F507" s="48">
        <v>45274</v>
      </c>
      <c r="G507" t="s">
        <v>24</v>
      </c>
      <c r="H507">
        <v>136</v>
      </c>
      <c r="I507" t="str">
        <f>VLOOKUP(Продажи[[#This Row],[id товара]],Товары[],2,0)</f>
        <v>Чай</v>
      </c>
      <c r="J507" s="17">
        <f>AVERAGEIF(Продажи[Категория],Продажи[[#This Row],[Категория]],Продажи[цена за шт в рублях])</f>
        <v>271.18181818181819</v>
      </c>
      <c r="K507" s="16">
        <f>Продажи[[#This Row],[цена за шт в рублях]]/Продажи[[#This Row],[Средняя цена в категории за шт]]-1</f>
        <v>8.0455916862219201E-2</v>
      </c>
      <c r="L507" t="str">
        <f>VLOOKUP(Продажи[[#This Row],[id товара]],Товары[],3,0)</f>
        <v>Lipton</v>
      </c>
      <c r="M507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507" s="16">
        <f>Продажи[[#This Row],[цена за шт в рублях]]/Продажи[[#This Row],[Средняя цена в категории за шт по поставщику]]-1</f>
        <v>0.12623912603681986</v>
      </c>
      <c r="O507" s="48">
        <f>VLOOKUP(Продажи[[#This Row],[id клиента]],клиенты!$A$2:$E$435,5,0)</f>
        <v>44860</v>
      </c>
      <c r="P507">
        <f>Продажи[[#This Row],[дата создания чека]]-Продажи[[#This Row],[Дата регистрации]]</f>
        <v>414</v>
      </c>
      <c r="Q507" t="str">
        <f>VLOOKUP(Продажи[[#This Row],[id клиента]],клиенты!$A$2:$G$435,7,0)</f>
        <v>Украина</v>
      </c>
      <c r="R507">
        <f>IF(COUNTIF($H$2:H507, H507)=1, 1, 0)</f>
        <v>0</v>
      </c>
      <c r="S507" t="str">
        <f>VLOOKUP(Продажи[[#This Row],[id клиента]],клиенты!$A$2:$D$435,4,0)</f>
        <v>да</v>
      </c>
      <c r="T507" s="54">
        <f>VLOOKUP(Продажи[[#This Row],[id клиента]],клиенты!$A$2:$I$435,9,0)</f>
        <v>17.248459958932237</v>
      </c>
    </row>
    <row r="508" spans="1:20" x14ac:dyDescent="0.25">
      <c r="A508">
        <v>507</v>
      </c>
      <c r="B508">
        <v>481</v>
      </c>
      <c r="C508">
        <v>63</v>
      </c>
      <c r="D508">
        <v>1</v>
      </c>
      <c r="E508" s="35">
        <v>315</v>
      </c>
      <c r="F508" s="48">
        <v>45301</v>
      </c>
      <c r="G508" t="s">
        <v>12</v>
      </c>
      <c r="H508">
        <v>388</v>
      </c>
      <c r="I508" t="str">
        <f>VLOOKUP(Продажи[[#This Row],[id товара]],Товары[],2,0)</f>
        <v>Чипсы</v>
      </c>
      <c r="J508" s="17">
        <f>AVERAGEIF(Продажи[Категория],Продажи[[#This Row],[Категория]],Продажи[цена за шт в рублях])</f>
        <v>273.72549019607845</v>
      </c>
      <c r="K508" s="16">
        <f>Продажи[[#This Row],[цена за шт в рублях]]/Продажи[[#This Row],[Средняя цена в категории за шт]]-1</f>
        <v>-0.76984240687679084</v>
      </c>
      <c r="L508" t="str">
        <f>VLOOKUP(Продажи[[#This Row],[id товара]],Товары[],3,0)</f>
        <v>Pringles</v>
      </c>
      <c r="M508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508" s="16">
        <f>Продажи[[#This Row],[цена за шт в рублях]]/Продажи[[#This Row],[Средняя цена в категории за шт по поставщику]]-1</f>
        <v>-0.77519116397621068</v>
      </c>
      <c r="O508" s="48">
        <f>VLOOKUP(Продажи[[#This Row],[id клиента]],клиенты!$A$2:$E$435,5,0)</f>
        <v>44581</v>
      </c>
      <c r="P508">
        <f>Продажи[[#This Row],[дата создания чека]]-Продажи[[#This Row],[Дата регистрации]]</f>
        <v>720</v>
      </c>
      <c r="Q508" t="str">
        <f>VLOOKUP(Продажи[[#This Row],[id клиента]],клиенты!$A$2:$G$435,7,0)</f>
        <v>Россия</v>
      </c>
      <c r="R508">
        <f>IF(COUNTIF($H$2:H508, H508)=1, 1, 0)</f>
        <v>0</v>
      </c>
      <c r="S508" t="str">
        <f>VLOOKUP(Продажи[[#This Row],[id клиента]],клиенты!$A$2:$D$435,4,0)</f>
        <v>да</v>
      </c>
      <c r="T508" s="54">
        <f>VLOOKUP(Продажи[[#This Row],[id клиента]],клиенты!$A$2:$I$435,9,0)</f>
        <v>24.082135523613964</v>
      </c>
    </row>
    <row r="509" spans="1:20" x14ac:dyDescent="0.25">
      <c r="A509">
        <v>508</v>
      </c>
      <c r="B509">
        <v>403</v>
      </c>
      <c r="C509">
        <v>240</v>
      </c>
      <c r="D509">
        <v>1</v>
      </c>
      <c r="E509" s="35">
        <v>1200</v>
      </c>
      <c r="F509" s="48">
        <v>45359</v>
      </c>
      <c r="G509" t="s">
        <v>10</v>
      </c>
      <c r="H509">
        <v>341</v>
      </c>
      <c r="I509" t="str">
        <f>VLOOKUP(Продажи[[#This Row],[id товара]],Товары[],2,0)</f>
        <v>Чай</v>
      </c>
      <c r="J509" s="17">
        <f>AVERAGEIF(Продажи[Категория],Продажи[[#This Row],[Категория]],Продажи[цена за шт в рублях])</f>
        <v>271.18181818181819</v>
      </c>
      <c r="K509" s="16">
        <f>Продажи[[#This Row],[цена за шт в рублях]]/Продажи[[#This Row],[Средняя цена в категории за шт]]-1</f>
        <v>-0.11498491451558834</v>
      </c>
      <c r="L509" t="str">
        <f>VLOOKUP(Продажи[[#This Row],[id товара]],Товары[],3,0)</f>
        <v>Ахмад</v>
      </c>
      <c r="M509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509" s="16">
        <f>Продажи[[#This Row],[цена за шт в рублях]]/Продажи[[#This Row],[Средняя цена в категории за шт по поставщику]]-1</f>
        <v>-1.3563501849568449E-2</v>
      </c>
      <c r="O509" s="48">
        <f>VLOOKUP(Продажи[[#This Row],[id клиента]],клиенты!$A$2:$E$435,5,0)</f>
        <v>44724</v>
      </c>
      <c r="P509">
        <f>Продажи[[#This Row],[дата создания чека]]-Продажи[[#This Row],[Дата регистрации]]</f>
        <v>635</v>
      </c>
      <c r="Q509" t="str">
        <f>VLOOKUP(Продажи[[#This Row],[id клиента]],клиенты!$A$2:$G$435,7,0)</f>
        <v>Россия</v>
      </c>
      <c r="R509">
        <f>IF(COUNTIF($H$2:H509, H509)=1, 1, 0)</f>
        <v>0</v>
      </c>
      <c r="S509" t="str">
        <f>VLOOKUP(Продажи[[#This Row],[id клиента]],клиенты!$A$2:$D$435,4,0)</f>
        <v>нет</v>
      </c>
      <c r="T509" s="54">
        <f>VLOOKUP(Продажи[[#This Row],[id клиента]],клиенты!$A$2:$I$435,9,0)</f>
        <v>21.946611909650922</v>
      </c>
    </row>
    <row r="510" spans="1:20" x14ac:dyDescent="0.25">
      <c r="A510">
        <v>509</v>
      </c>
      <c r="B510">
        <v>137</v>
      </c>
      <c r="C510">
        <v>432</v>
      </c>
      <c r="D510">
        <v>5</v>
      </c>
      <c r="E510" s="35">
        <v>10800</v>
      </c>
      <c r="F510" s="48">
        <v>45131</v>
      </c>
      <c r="G510" t="s">
        <v>22</v>
      </c>
      <c r="H510">
        <v>185</v>
      </c>
      <c r="I510" t="str">
        <f>VLOOKUP(Продажи[[#This Row],[id товара]],Товары[],2,0)</f>
        <v>Фрукты</v>
      </c>
      <c r="J510" s="17">
        <f>AVERAGEIF(Продажи[Категория],Продажи[[#This Row],[Категория]],Продажи[цена за шт в рублях])</f>
        <v>274.16279069767444</v>
      </c>
      <c r="K510" s="16">
        <f>Продажи[[#This Row],[цена за шт в рублях]]/Продажи[[#This Row],[Средняя цена в категории за шт]]-1</f>
        <v>0.57570616676562891</v>
      </c>
      <c r="L510" t="str">
        <f>VLOOKUP(Продажи[[#This Row],[id товара]],Товары[],3,0)</f>
        <v>Экзотик</v>
      </c>
      <c r="M510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510" s="16">
        <f>Продажи[[#This Row],[цена за шт в рублях]]/Продажи[[#This Row],[Средняя цена в категории за шт по поставщику]]-1</f>
        <v>0.70288248337028825</v>
      </c>
      <c r="O510" s="48">
        <f>VLOOKUP(Продажи[[#This Row],[id клиента]],клиенты!$A$2:$E$435,5,0)</f>
        <v>44683</v>
      </c>
      <c r="P510">
        <f>Продажи[[#This Row],[дата создания чека]]-Продажи[[#This Row],[Дата регистрации]]</f>
        <v>448</v>
      </c>
      <c r="Q510" t="str">
        <f>VLOOKUP(Продажи[[#This Row],[id клиента]],клиенты!$A$2:$G$435,7,0)</f>
        <v>Узбекистан</v>
      </c>
      <c r="R510">
        <f>IF(COUNTIF($H$2:H510, H510)=1, 1, 0)</f>
        <v>0</v>
      </c>
      <c r="S510" t="str">
        <f>VLOOKUP(Продажи[[#This Row],[id клиента]],клиенты!$A$2:$D$435,4,0)</f>
        <v>нет</v>
      </c>
      <c r="T510" s="54">
        <f>VLOOKUP(Продажи[[#This Row],[id клиента]],клиенты!$A$2:$I$435,9,0)</f>
        <v>21.322381930184804</v>
      </c>
    </row>
    <row r="511" spans="1:20" x14ac:dyDescent="0.25">
      <c r="A511">
        <v>510</v>
      </c>
      <c r="B511">
        <v>246</v>
      </c>
      <c r="C511">
        <v>196</v>
      </c>
      <c r="D511">
        <v>5</v>
      </c>
      <c r="E511" s="35">
        <v>4900</v>
      </c>
      <c r="F511" s="48">
        <v>45168</v>
      </c>
      <c r="G511" t="s">
        <v>15</v>
      </c>
      <c r="H511">
        <v>437</v>
      </c>
      <c r="I511" t="str">
        <f>VLOOKUP(Продажи[[#This Row],[id товара]],Товары[],2,0)</f>
        <v>Сыр</v>
      </c>
      <c r="J511" s="17">
        <f>AVERAGEIF(Продажи[Категория],Продажи[[#This Row],[Категория]],Продажи[цена за шт в рублях])</f>
        <v>262.63492063492066</v>
      </c>
      <c r="K511" s="16">
        <f>Продажи[[#This Row],[цена за шт в рублях]]/Продажи[[#This Row],[Средняя цена в категории за шт]]-1</f>
        <v>-0.25371691043152433</v>
      </c>
      <c r="L511" t="str">
        <f>VLOOKUP(Продажи[[#This Row],[id товара]],Товары[],3,0)</f>
        <v>President</v>
      </c>
      <c r="M511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511" s="16">
        <f>Продажи[[#This Row],[цена за шт в рублях]]/Продажи[[#This Row],[Средняя цена в категории за шт по поставщику]]-1</f>
        <v>-0.17896206655806379</v>
      </c>
      <c r="O511" s="48">
        <f>VLOOKUP(Продажи[[#This Row],[id клиента]],клиенты!$A$2:$E$435,5,0)</f>
        <v>44576</v>
      </c>
      <c r="P511">
        <f>Продажи[[#This Row],[дата создания чека]]-Продажи[[#This Row],[Дата регистрации]]</f>
        <v>592</v>
      </c>
      <c r="Q511" t="str">
        <f>VLOOKUP(Продажи[[#This Row],[id клиента]],клиенты!$A$2:$G$435,7,0)</f>
        <v>Узбекистан</v>
      </c>
      <c r="R511">
        <f>IF(COUNTIF($H$2:H511, H511)=1, 1, 0)</f>
        <v>0</v>
      </c>
      <c r="S511" t="str">
        <f>VLOOKUP(Продажи[[#This Row],[id клиента]],клиенты!$A$2:$D$435,4,0)</f>
        <v>нет</v>
      </c>
      <c r="T511" s="54">
        <f>VLOOKUP(Продажи[[#This Row],[id клиента]],клиенты!$A$2:$I$435,9,0)</f>
        <v>28.188911704312115</v>
      </c>
    </row>
    <row r="512" spans="1:20" x14ac:dyDescent="0.25">
      <c r="A512">
        <v>511</v>
      </c>
      <c r="B512">
        <v>4</v>
      </c>
      <c r="C512">
        <v>493</v>
      </c>
      <c r="D512">
        <v>4</v>
      </c>
      <c r="E512" s="35">
        <v>9860</v>
      </c>
      <c r="F512" s="48">
        <v>45155</v>
      </c>
      <c r="G512" t="s">
        <v>16</v>
      </c>
      <c r="H512">
        <v>263</v>
      </c>
      <c r="I512" t="str">
        <f>VLOOKUP(Продажи[[#This Row],[id товара]],Товары[],2,0)</f>
        <v>Рис</v>
      </c>
      <c r="J512" s="17">
        <f>AVERAGEIF(Продажи[Категория],Продажи[[#This Row],[Категория]],Продажи[цена за шт в рублях])</f>
        <v>258.375</v>
      </c>
      <c r="K512" s="16">
        <f>Продажи[[#This Row],[цена за шт в рублях]]/Продажи[[#This Row],[Средняя цена в категории за шт]]-1</f>
        <v>0.90807934204160623</v>
      </c>
      <c r="L512" t="str">
        <f>VLOOKUP(Продажи[[#This Row],[id товара]],Товары[],3,0)</f>
        <v>Белый Злат</v>
      </c>
      <c r="M512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512" s="16">
        <f>Продажи[[#This Row],[цена за шт в рублях]]/Продажи[[#This Row],[Средняя цена в категории за шт по поставщику]]-1</f>
        <v>0.82791712104689208</v>
      </c>
      <c r="O512" s="48">
        <f>VLOOKUP(Продажи[[#This Row],[id клиента]],клиенты!$A$2:$E$435,5,0)</f>
        <v>44612</v>
      </c>
      <c r="P512">
        <f>Продажи[[#This Row],[дата создания чека]]-Продажи[[#This Row],[Дата регистрации]]</f>
        <v>543</v>
      </c>
      <c r="Q512" t="str">
        <f>VLOOKUP(Продажи[[#This Row],[id клиента]],клиенты!$A$2:$G$435,7,0)</f>
        <v>Таджикистан</v>
      </c>
      <c r="R512">
        <f>IF(COUNTIF($H$2:H512, H512)=1, 1, 0)</f>
        <v>0</v>
      </c>
      <c r="S512" t="str">
        <f>VLOOKUP(Продажи[[#This Row],[id клиента]],клиенты!$A$2:$D$435,4,0)</f>
        <v>да</v>
      </c>
      <c r="T512" s="54">
        <f>VLOOKUP(Продажи[[#This Row],[id клиента]],клиенты!$A$2:$I$435,9,0)</f>
        <v>24.476386036960985</v>
      </c>
    </row>
    <row r="513" spans="1:20" x14ac:dyDescent="0.25">
      <c r="A513">
        <v>512</v>
      </c>
      <c r="B513">
        <v>484</v>
      </c>
      <c r="C513">
        <v>436</v>
      </c>
      <c r="D513">
        <v>2</v>
      </c>
      <c r="E513" s="35">
        <v>4360</v>
      </c>
      <c r="F513" s="48">
        <v>45405</v>
      </c>
      <c r="G513" t="s">
        <v>15</v>
      </c>
      <c r="H513">
        <v>358</v>
      </c>
      <c r="I513" t="str">
        <f>VLOOKUP(Продажи[[#This Row],[id товара]],Товары[],2,0)</f>
        <v>Печенье</v>
      </c>
      <c r="J513" s="17">
        <f>AVERAGEIF(Продажи[Категория],Продажи[[#This Row],[Категория]],Продажи[цена за шт в рублях])</f>
        <v>283.468085106383</v>
      </c>
      <c r="K513" s="16">
        <f>Продажи[[#This Row],[цена за шт в рублях]]/Продажи[[#This Row],[Средняя цена в категории за шт]]-1</f>
        <v>0.53809202131652012</v>
      </c>
      <c r="L513" t="str">
        <f>VLOOKUP(Продажи[[#This Row],[id товара]],Товары[],3,0)</f>
        <v>КДВ</v>
      </c>
      <c r="M513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513" s="16">
        <f>Продажи[[#This Row],[цена за шт в рублях]]/Продажи[[#This Row],[Средняя цена в категории за шт по поставщику]]-1</f>
        <v>0.34952380952380935</v>
      </c>
      <c r="O513" s="48">
        <f>VLOOKUP(Продажи[[#This Row],[id клиента]],клиенты!$A$2:$E$435,5,0)</f>
        <v>44771</v>
      </c>
      <c r="P513">
        <f>Продажи[[#This Row],[дата создания чека]]-Продажи[[#This Row],[Дата регистрации]]</f>
        <v>634</v>
      </c>
      <c r="Q513" t="str">
        <f>VLOOKUP(Продажи[[#This Row],[id клиента]],клиенты!$A$2:$G$435,7,0)</f>
        <v>Украина</v>
      </c>
      <c r="R513">
        <f>IF(COUNTIF($H$2:H513, H513)=1, 1, 0)</f>
        <v>0</v>
      </c>
      <c r="S513" t="str">
        <f>VLOOKUP(Продажи[[#This Row],[id клиента]],клиенты!$A$2:$D$435,4,0)</f>
        <v>да</v>
      </c>
      <c r="T513" s="54">
        <f>VLOOKUP(Продажи[[#This Row],[id клиента]],клиенты!$A$2:$I$435,9,0)</f>
        <v>20.829568788501028</v>
      </c>
    </row>
    <row r="514" spans="1:20" x14ac:dyDescent="0.25">
      <c r="A514">
        <v>513</v>
      </c>
      <c r="B514">
        <v>60</v>
      </c>
      <c r="C514">
        <v>412</v>
      </c>
      <c r="D514">
        <v>5</v>
      </c>
      <c r="E514" s="35">
        <v>10300</v>
      </c>
      <c r="F514" s="48">
        <v>44930</v>
      </c>
      <c r="G514" t="s">
        <v>17</v>
      </c>
      <c r="H514">
        <v>377</v>
      </c>
      <c r="I514" t="str">
        <f>VLOOKUP(Продажи[[#This Row],[id товара]],Товары[],2,0)</f>
        <v>Кофе</v>
      </c>
      <c r="J514" s="17">
        <f>AVERAGEIF(Продажи[Категория],Продажи[[#This Row],[Категория]],Продажи[цена за шт в рублях])</f>
        <v>249.02380952380952</v>
      </c>
      <c r="K514" s="16">
        <f>Продажи[[#This Row],[цена за шт в рублях]]/Продажи[[#This Row],[Средняя цена в категории за шт]]-1</f>
        <v>0.65446027344870461</v>
      </c>
      <c r="L514" t="str">
        <f>VLOOKUP(Продажи[[#This Row],[id товара]],Товары[],3,0)</f>
        <v>Jacobs</v>
      </c>
      <c r="M514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514" s="16">
        <f>Продажи[[#This Row],[цена за шт в рублях]]/Продажи[[#This Row],[Средняя цена в категории за шт по поставщику]]-1</f>
        <v>0.49161585365853666</v>
      </c>
      <c r="O514" s="48">
        <f>VLOOKUP(Продажи[[#This Row],[id клиента]],клиенты!$A$2:$E$435,5,0)</f>
        <v>44794</v>
      </c>
      <c r="P514">
        <f>Продажи[[#This Row],[дата создания чека]]-Продажи[[#This Row],[Дата регистрации]]</f>
        <v>136</v>
      </c>
      <c r="Q514" t="str">
        <f>VLOOKUP(Продажи[[#This Row],[id клиента]],клиенты!$A$2:$G$435,7,0)</f>
        <v>Узбекистан</v>
      </c>
      <c r="R514">
        <f>IF(COUNTIF($H$2:H514, H514)=1, 1, 0)</f>
        <v>0</v>
      </c>
      <c r="S514" t="str">
        <f>VLOOKUP(Продажи[[#This Row],[id клиента]],клиенты!$A$2:$D$435,4,0)</f>
        <v>нет</v>
      </c>
      <c r="T514" s="54">
        <f>VLOOKUP(Продажи[[#This Row],[id клиента]],клиенты!$A$2:$I$435,9,0)</f>
        <v>15.474332648870636</v>
      </c>
    </row>
    <row r="515" spans="1:20" x14ac:dyDescent="0.25">
      <c r="A515">
        <v>514</v>
      </c>
      <c r="B515">
        <v>477</v>
      </c>
      <c r="C515">
        <v>117</v>
      </c>
      <c r="D515">
        <v>3</v>
      </c>
      <c r="E515" s="35">
        <v>1755</v>
      </c>
      <c r="F515" s="48">
        <v>45247</v>
      </c>
      <c r="G515" t="s">
        <v>23</v>
      </c>
      <c r="H515">
        <v>450</v>
      </c>
      <c r="I515" t="str">
        <f>VLOOKUP(Продажи[[#This Row],[id товара]],Товары[],2,0)</f>
        <v>Макароны</v>
      </c>
      <c r="J515" s="17">
        <f>AVERAGEIF(Продажи[Категория],Продажи[[#This Row],[Категория]],Продажи[цена за шт в рублях])</f>
        <v>265.47674418604652</v>
      </c>
      <c r="K515" s="16">
        <f>Продажи[[#This Row],[цена за шт в рублях]]/Продажи[[#This Row],[Средняя цена в категории за шт]]-1</f>
        <v>-0.559283430423547</v>
      </c>
      <c r="L515" t="str">
        <f>VLOOKUP(Продажи[[#This Row],[id товара]],Товары[],3,0)</f>
        <v>Борилла</v>
      </c>
      <c r="M515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515" s="16">
        <f>Продажи[[#This Row],[цена за шт в рублях]]/Продажи[[#This Row],[Средняя цена в категории за шт по поставщику]]-1</f>
        <v>-0.50481611208406307</v>
      </c>
      <c r="O515" s="48">
        <f>VLOOKUP(Продажи[[#This Row],[id клиента]],клиенты!$A$2:$E$435,5,0)</f>
        <v>44619</v>
      </c>
      <c r="P515">
        <f>Продажи[[#This Row],[дата создания чека]]-Продажи[[#This Row],[Дата регистрации]]</f>
        <v>628</v>
      </c>
      <c r="Q515" t="str">
        <f>VLOOKUP(Продажи[[#This Row],[id клиента]],клиенты!$A$2:$G$435,7,0)</f>
        <v>Россия</v>
      </c>
      <c r="R515">
        <f>IF(COUNTIF($H$2:H515, H515)=1, 1, 0)</f>
        <v>0</v>
      </c>
      <c r="S515" t="str">
        <f>VLOOKUP(Продажи[[#This Row],[id клиента]],клиенты!$A$2:$D$435,4,0)</f>
        <v>да</v>
      </c>
      <c r="T515" s="54">
        <f>VLOOKUP(Продажи[[#This Row],[id клиента]],клиенты!$A$2:$I$435,9,0)</f>
        <v>20.632443531827516</v>
      </c>
    </row>
    <row r="516" spans="1:20" x14ac:dyDescent="0.25">
      <c r="A516">
        <v>515</v>
      </c>
      <c r="B516">
        <v>174</v>
      </c>
      <c r="C516">
        <v>301</v>
      </c>
      <c r="D516">
        <v>4</v>
      </c>
      <c r="E516" s="35">
        <v>6020</v>
      </c>
      <c r="F516" s="48">
        <v>45382</v>
      </c>
      <c r="G516" t="s">
        <v>14</v>
      </c>
      <c r="H516">
        <v>210</v>
      </c>
      <c r="I516" t="str">
        <f>VLOOKUP(Продажи[[#This Row],[id товара]],Товары[],2,0)</f>
        <v>Чай</v>
      </c>
      <c r="J516" s="17">
        <f>AVERAGEIF(Продажи[Категория],Продажи[[#This Row],[Категория]],Продажи[цена за шт в рублях])</f>
        <v>271.18181818181819</v>
      </c>
      <c r="K516" s="16">
        <f>Продажи[[#This Row],[цена за шт в рублях]]/Продажи[[#This Row],[Средняя цена в категории за шт]]-1</f>
        <v>0.10995641971169956</v>
      </c>
      <c r="L516" t="str">
        <f>VLOOKUP(Продажи[[#This Row],[id товара]],Товары[],3,0)</f>
        <v>Ахмад</v>
      </c>
      <c r="M516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516" s="16">
        <f>Продажи[[#This Row],[цена за шт в рублях]]/Продажи[[#This Row],[Средняя цена в категории за шт по поставщику]]-1</f>
        <v>0.23715577476366612</v>
      </c>
      <c r="O516" s="48">
        <f>VLOOKUP(Продажи[[#This Row],[id клиента]],клиенты!$A$2:$E$435,5,0)</f>
        <v>44602</v>
      </c>
      <c r="P516">
        <f>Продажи[[#This Row],[дата создания чека]]-Продажи[[#This Row],[Дата регистрации]]</f>
        <v>780</v>
      </c>
      <c r="Q516" t="str">
        <f>VLOOKUP(Продажи[[#This Row],[id клиента]],клиенты!$A$2:$G$435,7,0)</f>
        <v>Узбекистан</v>
      </c>
      <c r="R516">
        <f>IF(COUNTIF($H$2:H516, H516)=1, 1, 0)</f>
        <v>1</v>
      </c>
      <c r="S516" t="str">
        <f>VLOOKUP(Продажи[[#This Row],[id клиента]],клиенты!$A$2:$D$435,4,0)</f>
        <v>нет</v>
      </c>
      <c r="T516" s="54">
        <f>VLOOKUP(Продажи[[#This Row],[id клиента]],клиенты!$A$2:$I$435,9,0)</f>
        <v>25.626283367556468</v>
      </c>
    </row>
    <row r="517" spans="1:20" x14ac:dyDescent="0.25">
      <c r="A517">
        <v>516</v>
      </c>
      <c r="B517">
        <v>240</v>
      </c>
      <c r="C517">
        <v>156</v>
      </c>
      <c r="D517">
        <v>4</v>
      </c>
      <c r="E517" s="35">
        <v>3120</v>
      </c>
      <c r="F517" s="48">
        <v>45317</v>
      </c>
      <c r="G517" t="s">
        <v>23</v>
      </c>
      <c r="H517">
        <v>67</v>
      </c>
      <c r="I517" t="str">
        <f>VLOOKUP(Продажи[[#This Row],[id товара]],Товары[],2,0)</f>
        <v>Макароны</v>
      </c>
      <c r="J517" s="17">
        <f>AVERAGEIF(Продажи[Категория],Продажи[[#This Row],[Категория]],Продажи[цена за шт в рублях])</f>
        <v>265.47674418604652</v>
      </c>
      <c r="K517" s="16">
        <f>Продажи[[#This Row],[цена за шт в рублях]]/Продажи[[#This Row],[Средняя цена в категории за шт]]-1</f>
        <v>-0.41237790723139589</v>
      </c>
      <c r="L517" t="str">
        <f>VLOOKUP(Продажи[[#This Row],[id товара]],Товары[],3,0)</f>
        <v>Борилла</v>
      </c>
      <c r="M517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517" s="16">
        <f>Продажи[[#This Row],[цена за шт в рублях]]/Продажи[[#This Row],[Средняя цена в категории за шт по поставщику]]-1</f>
        <v>-0.33975481611208413</v>
      </c>
      <c r="O517" s="48">
        <f>VLOOKUP(Продажи[[#This Row],[id клиента]],клиенты!$A$2:$E$435,5,0)</f>
        <v>44731</v>
      </c>
      <c r="P517">
        <f>Продажи[[#This Row],[дата создания чека]]-Продажи[[#This Row],[Дата регистрации]]</f>
        <v>586</v>
      </c>
      <c r="Q517" t="str">
        <f>VLOOKUP(Продажи[[#This Row],[id клиента]],клиенты!$A$2:$G$435,7,0)</f>
        <v>Узбекистан</v>
      </c>
      <c r="R517">
        <f>IF(COUNTIF($H$2:H517, H517)=1, 1, 0)</f>
        <v>1</v>
      </c>
      <c r="S517" t="str">
        <f>VLOOKUP(Продажи[[#This Row],[id клиента]],клиенты!$A$2:$D$435,4,0)</f>
        <v>да</v>
      </c>
      <c r="T517" s="54">
        <f>VLOOKUP(Продажи[[#This Row],[id клиента]],клиенты!$A$2:$I$435,9,0)</f>
        <v>19.252566735112936</v>
      </c>
    </row>
    <row r="518" spans="1:20" x14ac:dyDescent="0.25">
      <c r="A518">
        <v>517</v>
      </c>
      <c r="B518">
        <v>299</v>
      </c>
      <c r="C518">
        <v>141</v>
      </c>
      <c r="D518">
        <v>4</v>
      </c>
      <c r="E518" s="35">
        <v>2820</v>
      </c>
      <c r="F518" s="48">
        <v>45269</v>
      </c>
      <c r="G518" t="s">
        <v>18</v>
      </c>
      <c r="H518">
        <v>125</v>
      </c>
      <c r="I518" t="str">
        <f>VLOOKUP(Продажи[[#This Row],[id товара]],Товары[],2,0)</f>
        <v>Чай</v>
      </c>
      <c r="J518" s="17">
        <f>AVERAGEIF(Продажи[Категория],Продажи[[#This Row],[Категория]],Продажи[цена за шт в рублях])</f>
        <v>271.18181818181819</v>
      </c>
      <c r="K518" s="16">
        <f>Продажи[[#This Row],[цена за шт в рублях]]/Продажи[[#This Row],[Средняя цена в категории за шт]]-1</f>
        <v>-0.48005363727790817</v>
      </c>
      <c r="L518" t="str">
        <f>VLOOKUP(Продажи[[#This Row],[id товара]],Товары[],3,0)</f>
        <v>Lipton</v>
      </c>
      <c r="M518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518" s="16">
        <f>Продажи[[#This Row],[цена за шт в рублях]]/Продажи[[#This Row],[Средняя цена в категории за шт по поставщику]]-1</f>
        <v>-0.45802144446692283</v>
      </c>
      <c r="O518" s="48">
        <f>VLOOKUP(Продажи[[#This Row],[id клиента]],клиенты!$A$2:$E$435,5,0)</f>
        <v>44701</v>
      </c>
      <c r="P518">
        <f>Продажи[[#This Row],[дата создания чека]]-Продажи[[#This Row],[Дата регистрации]]</f>
        <v>568</v>
      </c>
      <c r="Q518" t="str">
        <f>VLOOKUP(Продажи[[#This Row],[id клиента]],клиенты!$A$2:$G$435,7,0)</f>
        <v>Россия</v>
      </c>
      <c r="R518">
        <f>IF(COUNTIF($H$2:H518, H518)=1, 1, 0)</f>
        <v>1</v>
      </c>
      <c r="S518" t="str">
        <f>VLOOKUP(Продажи[[#This Row],[id клиента]],клиенты!$A$2:$D$435,4,0)</f>
        <v>нет</v>
      </c>
      <c r="T518" s="54">
        <f>VLOOKUP(Продажи[[#This Row],[id клиента]],клиенты!$A$2:$I$435,9,0)</f>
        <v>19.548254620123203</v>
      </c>
    </row>
    <row r="519" spans="1:20" x14ac:dyDescent="0.25">
      <c r="A519">
        <v>518</v>
      </c>
      <c r="B519">
        <v>481</v>
      </c>
      <c r="C519">
        <v>463</v>
      </c>
      <c r="D519">
        <v>2</v>
      </c>
      <c r="E519" s="35">
        <v>4630</v>
      </c>
      <c r="F519" s="48">
        <v>45171</v>
      </c>
      <c r="G519" t="s">
        <v>22</v>
      </c>
      <c r="H519">
        <v>213</v>
      </c>
      <c r="I519" t="str">
        <f>VLOOKUP(Продажи[[#This Row],[id товара]],Товары[],2,0)</f>
        <v>Чипсы</v>
      </c>
      <c r="J519" s="17">
        <f>AVERAGEIF(Продажи[Категория],Продажи[[#This Row],[Категория]],Продажи[цена за шт в рублях])</f>
        <v>273.72549019607845</v>
      </c>
      <c r="K519" s="16">
        <f>Продажи[[#This Row],[цена за шт в рублях]]/Продажи[[#This Row],[Средняя цена в категории за шт]]-1</f>
        <v>0.69147564469914036</v>
      </c>
      <c r="L519" t="str">
        <f>VLOOKUP(Продажи[[#This Row],[id товара]],Товары[],3,0)</f>
        <v>Pringles</v>
      </c>
      <c r="M519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519" s="16">
        <f>Продажи[[#This Row],[цена за шт в рублях]]/Продажи[[#This Row],[Средняя цена в категории за шт по поставщику]]-1</f>
        <v>0.65216652506372141</v>
      </c>
      <c r="O519" s="48">
        <f>VLOOKUP(Продажи[[#This Row],[id клиента]],клиенты!$A$2:$E$435,5,0)</f>
        <v>44733</v>
      </c>
      <c r="P519">
        <f>Продажи[[#This Row],[дата создания чека]]-Продажи[[#This Row],[Дата регистрации]]</f>
        <v>438</v>
      </c>
      <c r="Q519" t="str">
        <f>VLOOKUP(Продажи[[#This Row],[id клиента]],клиенты!$A$2:$G$435,7,0)</f>
        <v>Узбекистан</v>
      </c>
      <c r="R519">
        <f>IF(COUNTIF($H$2:H519, H519)=1, 1, 0)</f>
        <v>1</v>
      </c>
      <c r="S519" t="str">
        <f>VLOOKUP(Продажи[[#This Row],[id клиента]],клиенты!$A$2:$D$435,4,0)</f>
        <v>нет</v>
      </c>
      <c r="T519" s="54">
        <f>VLOOKUP(Продажи[[#This Row],[id клиента]],клиенты!$A$2:$I$435,9,0)</f>
        <v>14.390143737166325</v>
      </c>
    </row>
    <row r="520" spans="1:20" x14ac:dyDescent="0.25">
      <c r="A520">
        <v>519</v>
      </c>
      <c r="B520">
        <v>213</v>
      </c>
      <c r="C520">
        <v>432</v>
      </c>
      <c r="D520">
        <v>3</v>
      </c>
      <c r="E520" s="35">
        <v>6480</v>
      </c>
      <c r="F520" s="48">
        <v>45196</v>
      </c>
      <c r="G520" t="s">
        <v>21</v>
      </c>
      <c r="H520">
        <v>254</v>
      </c>
      <c r="I520" t="str">
        <f>VLOOKUP(Продажи[[#This Row],[id товара]],Товары[],2,0)</f>
        <v>Сахар</v>
      </c>
      <c r="J520" s="17">
        <f>AVERAGEIF(Продажи[Категория],Продажи[[#This Row],[Категория]],Продажи[цена за шт в рублях])</f>
        <v>252.76271186440678</v>
      </c>
      <c r="K520" s="16">
        <f>Продажи[[#This Row],[цена за шт в рублях]]/Продажи[[#This Row],[Средняя цена в категории за шт]]-1</f>
        <v>0.70911285455642736</v>
      </c>
      <c r="L520" t="str">
        <f>VLOOKUP(Продажи[[#This Row],[id товара]],Товары[],3,0)</f>
        <v>Продимекс</v>
      </c>
      <c r="M520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520" s="16">
        <f>Продажи[[#This Row],[цена за шт в рублях]]/Продажи[[#This Row],[Средняя цена в категории за шт по поставщику]]-1</f>
        <v>0.79625779625779636</v>
      </c>
      <c r="O520" s="48">
        <f>VLOOKUP(Продажи[[#This Row],[id клиента]],клиенты!$A$2:$E$435,5,0)</f>
        <v>44862</v>
      </c>
      <c r="P520">
        <f>Продажи[[#This Row],[дата создания чека]]-Продажи[[#This Row],[Дата регистрации]]</f>
        <v>334</v>
      </c>
      <c r="Q520" t="str">
        <f>VLOOKUP(Продажи[[#This Row],[id клиента]],клиенты!$A$2:$G$435,7,0)</f>
        <v>Беларусь</v>
      </c>
      <c r="R520">
        <f>IF(COUNTIF($H$2:H520, H520)=1, 1, 0)</f>
        <v>0</v>
      </c>
      <c r="S520" t="str">
        <f>VLOOKUP(Продажи[[#This Row],[id клиента]],клиенты!$A$2:$D$435,4,0)</f>
        <v>да</v>
      </c>
      <c r="T520" s="54">
        <f>VLOOKUP(Продажи[[#This Row],[id клиента]],клиенты!$A$2:$I$435,9,0)</f>
        <v>10.973305954825461</v>
      </c>
    </row>
    <row r="521" spans="1:20" x14ac:dyDescent="0.25">
      <c r="A521">
        <v>520</v>
      </c>
      <c r="B521">
        <v>484</v>
      </c>
      <c r="C521">
        <v>238</v>
      </c>
      <c r="D521">
        <v>2</v>
      </c>
      <c r="E521" s="35">
        <v>2380</v>
      </c>
      <c r="F521" s="48">
        <v>45364</v>
      </c>
      <c r="G521" t="s">
        <v>14</v>
      </c>
      <c r="H521">
        <v>252</v>
      </c>
      <c r="I521" t="str">
        <f>VLOOKUP(Продажи[[#This Row],[id товара]],Товары[],2,0)</f>
        <v>Печенье</v>
      </c>
      <c r="J521" s="17">
        <f>AVERAGEIF(Продажи[Категория],Продажи[[#This Row],[Категория]],Продажи[цена за шт в рублях])</f>
        <v>283.468085106383</v>
      </c>
      <c r="K521" s="16">
        <f>Продажи[[#This Row],[цена за шт в рублях]]/Продажи[[#This Row],[Средняя цена в категории за шт]]-1</f>
        <v>-0.16039930946483527</v>
      </c>
      <c r="L521" t="str">
        <f>VLOOKUP(Продажи[[#This Row],[id товара]],Товары[],3,0)</f>
        <v>КДВ</v>
      </c>
      <c r="M521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521" s="16">
        <f>Продажи[[#This Row],[цена за шт в рублях]]/Продажи[[#This Row],[Средняя цена в категории за шт по поставщику]]-1</f>
        <v>-0.26333333333333342</v>
      </c>
      <c r="O521" s="48">
        <f>VLOOKUP(Продажи[[#This Row],[id клиента]],клиенты!$A$2:$E$435,5,0)</f>
        <v>44643</v>
      </c>
      <c r="P521">
        <f>Продажи[[#This Row],[дата создания чека]]-Продажи[[#This Row],[Дата регистрации]]</f>
        <v>721</v>
      </c>
      <c r="Q521" t="str">
        <f>VLOOKUP(Продажи[[#This Row],[id клиента]],клиенты!$A$2:$G$435,7,0)</f>
        <v>Россия</v>
      </c>
      <c r="R521">
        <f>IF(COUNTIF($H$2:H521, H521)=1, 1, 0)</f>
        <v>0</v>
      </c>
      <c r="S521" t="str">
        <f>VLOOKUP(Продажи[[#This Row],[id клиента]],клиенты!$A$2:$D$435,4,0)</f>
        <v>нет</v>
      </c>
      <c r="T521" s="54">
        <f>VLOOKUP(Продажи[[#This Row],[id клиента]],клиенты!$A$2:$I$435,9,0)</f>
        <v>23.687885010266939</v>
      </c>
    </row>
    <row r="522" spans="1:20" x14ac:dyDescent="0.25">
      <c r="A522">
        <v>521</v>
      </c>
      <c r="B522">
        <v>479</v>
      </c>
      <c r="C522">
        <v>131</v>
      </c>
      <c r="D522">
        <v>5</v>
      </c>
      <c r="E522" s="35">
        <v>3275</v>
      </c>
      <c r="F522" s="48">
        <v>44965</v>
      </c>
      <c r="G522" t="s">
        <v>12</v>
      </c>
      <c r="H522">
        <v>164</v>
      </c>
      <c r="I522" t="str">
        <f>VLOOKUP(Продажи[[#This Row],[id товара]],Товары[],2,0)</f>
        <v>Овощи</v>
      </c>
      <c r="J522" s="17">
        <f>AVERAGEIF(Продажи[Категория],Продажи[[#This Row],[Категория]],Продажи[цена за шт в рублях])</f>
        <v>250.48780487804879</v>
      </c>
      <c r="K522" s="16">
        <f>Продажи[[#This Row],[цена за шт в рублях]]/Продажи[[#This Row],[Средняя цена в категории за шт]]-1</f>
        <v>-0.47702044790652387</v>
      </c>
      <c r="L522" t="str">
        <f>VLOOKUP(Продажи[[#This Row],[id товара]],Товары[],3,0)</f>
        <v>Гавриш</v>
      </c>
      <c r="M522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522" s="16">
        <f>Продажи[[#This Row],[цена за шт в рублях]]/Продажи[[#This Row],[Средняя цена в категории за шт по поставщику]]-1</f>
        <v>-0.47106325706594887</v>
      </c>
      <c r="O522" s="48">
        <f>VLOOKUP(Продажи[[#This Row],[id клиента]],клиенты!$A$2:$E$435,5,0)</f>
        <v>44678</v>
      </c>
      <c r="P522">
        <f>Продажи[[#This Row],[дата создания чека]]-Продажи[[#This Row],[Дата регистрации]]</f>
        <v>287</v>
      </c>
      <c r="Q522" t="str">
        <f>VLOOKUP(Продажи[[#This Row],[id клиента]],клиенты!$A$2:$G$435,7,0)</f>
        <v>Россия</v>
      </c>
      <c r="R522">
        <f>IF(COUNTIF($H$2:H522, H522)=1, 1, 0)</f>
        <v>0</v>
      </c>
      <c r="S522" t="str">
        <f>VLOOKUP(Продажи[[#This Row],[id клиента]],клиенты!$A$2:$D$435,4,0)</f>
        <v>нет</v>
      </c>
      <c r="T522" s="54">
        <f>VLOOKUP(Продажи[[#This Row],[id клиента]],клиенты!$A$2:$I$435,9,0)</f>
        <v>21.585215605749486</v>
      </c>
    </row>
    <row r="523" spans="1:20" x14ac:dyDescent="0.25">
      <c r="A523">
        <v>522</v>
      </c>
      <c r="B523">
        <v>159</v>
      </c>
      <c r="C523">
        <v>225</v>
      </c>
      <c r="D523">
        <v>1</v>
      </c>
      <c r="E523" s="35">
        <v>1125</v>
      </c>
      <c r="F523" s="48">
        <v>45016</v>
      </c>
      <c r="G523" t="s">
        <v>21</v>
      </c>
      <c r="H523">
        <v>258</v>
      </c>
      <c r="I523" t="str">
        <f>VLOOKUP(Продажи[[#This Row],[id товара]],Товары[],2,0)</f>
        <v>Крупа</v>
      </c>
      <c r="J523" s="17">
        <f>AVERAGEIF(Продажи[Категория],Продажи[[#This Row],[Категория]],Продажи[цена за шт в рублях])</f>
        <v>255.11627906976744</v>
      </c>
      <c r="K523" s="16">
        <f>Продажи[[#This Row],[цена за шт в рублях]]/Продажи[[#This Row],[Средняя цена в категории за шт]]-1</f>
        <v>-0.11804922515952598</v>
      </c>
      <c r="L523" t="str">
        <f>VLOOKUP(Продажи[[#This Row],[id товара]],Товары[],3,0)</f>
        <v>Националь</v>
      </c>
      <c r="M523" s="32">
        <f>AVERAGEIFS(Продажи[цена за шт в рублях],Продажи[Категория],Продажи[[#This Row],[Категория]],Продажи[Поставщик],Продажи[[#This Row],[Поставщик]])</f>
        <v>274.28571428571428</v>
      </c>
      <c r="N523" s="16">
        <f>Продажи[[#This Row],[цена за шт в рублях]]/Продажи[[#This Row],[Средняя цена в категории за шт по поставщику]]-1</f>
        <v>-0.1796875</v>
      </c>
      <c r="O523" s="48">
        <f>VLOOKUP(Продажи[[#This Row],[id клиента]],клиенты!$A$2:$E$435,5,0)</f>
        <v>44717</v>
      </c>
      <c r="P523">
        <f>Продажи[[#This Row],[дата создания чека]]-Продажи[[#This Row],[Дата регистрации]]</f>
        <v>299</v>
      </c>
      <c r="Q523" t="str">
        <f>VLOOKUP(Продажи[[#This Row],[id клиента]],клиенты!$A$2:$G$435,7,0)</f>
        <v>Украина</v>
      </c>
      <c r="R523">
        <f>IF(COUNTIF($H$2:H523, H523)=1, 1, 0)</f>
        <v>0</v>
      </c>
      <c r="S523" t="str">
        <f>VLOOKUP(Продажи[[#This Row],[id клиента]],клиенты!$A$2:$D$435,4,0)</f>
        <v>да</v>
      </c>
      <c r="T523" s="54">
        <f>VLOOKUP(Продажи[[#This Row],[id клиента]],клиенты!$A$2:$I$435,9,0)</f>
        <v>22.866529774127311</v>
      </c>
    </row>
    <row r="524" spans="1:20" x14ac:dyDescent="0.25">
      <c r="A524">
        <v>523</v>
      </c>
      <c r="B524">
        <v>110</v>
      </c>
      <c r="C524">
        <v>279</v>
      </c>
      <c r="D524">
        <v>1</v>
      </c>
      <c r="E524" s="35">
        <v>1395</v>
      </c>
      <c r="F524" s="48">
        <v>45311</v>
      </c>
      <c r="G524" t="s">
        <v>18</v>
      </c>
      <c r="H524">
        <v>290</v>
      </c>
      <c r="I524" t="str">
        <f>VLOOKUP(Продажи[[#This Row],[id товара]],Товары[],2,0)</f>
        <v>Макароны</v>
      </c>
      <c r="J524" s="17">
        <f>AVERAGEIF(Продажи[Категория],Продажи[[#This Row],[Категория]],Продажи[цена за шт в рублях])</f>
        <v>265.47674418604652</v>
      </c>
      <c r="K524" s="16">
        <f>Продажи[[#This Row],[цена за шт в рублях]]/Продажи[[#This Row],[Средняя цена в категории за шт]]-1</f>
        <v>5.0939512066926484E-2</v>
      </c>
      <c r="L524" t="str">
        <f>VLOOKUP(Продажи[[#This Row],[id товара]],Товары[],3,0)</f>
        <v>Паста Зара</v>
      </c>
      <c r="M524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524" s="16">
        <f>Продажи[[#This Row],[цена за шт в рублях]]/Продажи[[#This Row],[Средняя цена в категории за шт по поставщику]]-1</f>
        <v>8.4008987007913039E-3</v>
      </c>
      <c r="O524" s="48">
        <f>VLOOKUP(Продажи[[#This Row],[id клиента]],клиенты!$A$2:$E$435,5,0)</f>
        <v>44777</v>
      </c>
      <c r="P524">
        <f>Продажи[[#This Row],[дата создания чека]]-Продажи[[#This Row],[Дата регистрации]]</f>
        <v>534</v>
      </c>
      <c r="Q524" t="str">
        <f>VLOOKUP(Продажи[[#This Row],[id клиента]],клиенты!$A$2:$G$435,7,0)</f>
        <v>Россия</v>
      </c>
      <c r="R524">
        <f>IF(COUNTIF($H$2:H524, H524)=1, 1, 0)</f>
        <v>0</v>
      </c>
      <c r="S524" t="str">
        <f>VLOOKUP(Продажи[[#This Row],[id клиента]],клиенты!$A$2:$D$435,4,0)</f>
        <v>да</v>
      </c>
      <c r="T524" s="54">
        <f>VLOOKUP(Продажи[[#This Row],[id клиента]],клиенты!$A$2:$I$435,9,0)</f>
        <v>19.449691991786448</v>
      </c>
    </row>
    <row r="525" spans="1:20" x14ac:dyDescent="0.25">
      <c r="A525">
        <v>524</v>
      </c>
      <c r="B525">
        <v>224</v>
      </c>
      <c r="C525">
        <v>161</v>
      </c>
      <c r="D525">
        <v>2</v>
      </c>
      <c r="E525" s="35">
        <v>1610</v>
      </c>
      <c r="F525" s="48">
        <v>45177</v>
      </c>
      <c r="G525" t="s">
        <v>18</v>
      </c>
      <c r="H525">
        <v>336</v>
      </c>
      <c r="I525" t="str">
        <f>VLOOKUP(Продажи[[#This Row],[id товара]],Товары[],2,0)</f>
        <v>Чипсы</v>
      </c>
      <c r="J525" s="17">
        <f>AVERAGEIF(Продажи[Категория],Продажи[[#This Row],[Категория]],Продажи[цена за шт в рублях])</f>
        <v>273.72549019607845</v>
      </c>
      <c r="K525" s="16">
        <f>Продажи[[#This Row],[цена за шт в рублях]]/Продажи[[#This Row],[Средняя цена в категории за шт]]-1</f>
        <v>-0.41181948424068771</v>
      </c>
      <c r="L525" t="str">
        <f>VLOOKUP(Продажи[[#This Row],[id товара]],Товары[],3,0)</f>
        <v>Pringles</v>
      </c>
      <c r="M525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525" s="16">
        <f>Продажи[[#This Row],[цена за шт в рублях]]/Продажи[[#This Row],[Средняя цена в категории за шт по поставщику]]-1</f>
        <v>-0.4254885301614274</v>
      </c>
      <c r="O525" s="48">
        <f>VLOOKUP(Продажи[[#This Row],[id клиента]],клиенты!$A$2:$E$435,5,0)</f>
        <v>44856</v>
      </c>
      <c r="P525">
        <f>Продажи[[#This Row],[дата создания чека]]-Продажи[[#This Row],[Дата регистрации]]</f>
        <v>321</v>
      </c>
      <c r="Q525" t="str">
        <f>VLOOKUP(Продажи[[#This Row],[id клиента]],клиенты!$A$2:$G$435,7,0)</f>
        <v>Узбекистан</v>
      </c>
      <c r="R525">
        <f>IF(COUNTIF($H$2:H525, H525)=1, 1, 0)</f>
        <v>1</v>
      </c>
      <c r="S525" t="str">
        <f>VLOOKUP(Продажи[[#This Row],[id клиента]],клиенты!$A$2:$D$435,4,0)</f>
        <v>нет</v>
      </c>
      <c r="T525" s="54">
        <f>VLOOKUP(Продажи[[#This Row],[id клиента]],клиенты!$A$2:$I$435,9,0)</f>
        <v>18.102669404517453</v>
      </c>
    </row>
    <row r="526" spans="1:20" x14ac:dyDescent="0.25">
      <c r="A526">
        <v>525</v>
      </c>
      <c r="B526">
        <v>126</v>
      </c>
      <c r="C526">
        <v>267</v>
      </c>
      <c r="D526">
        <v>1</v>
      </c>
      <c r="E526" s="35">
        <v>1335</v>
      </c>
      <c r="F526" s="48">
        <v>44989</v>
      </c>
      <c r="G526" t="s">
        <v>24</v>
      </c>
      <c r="H526">
        <v>437</v>
      </c>
      <c r="I526" t="str">
        <f>VLOOKUP(Продажи[[#This Row],[id товара]],Товары[],2,0)</f>
        <v>Сахар</v>
      </c>
      <c r="J526" s="17">
        <f>AVERAGEIF(Продажи[Категория],Продажи[[#This Row],[Категория]],Продажи[цена за шт в рублях])</f>
        <v>252.76271186440678</v>
      </c>
      <c r="K526" s="16">
        <f>Продажи[[#This Row],[цена за шт в рублях]]/Продажи[[#This Row],[Средняя цена в категории за шт]]-1</f>
        <v>5.6326694830014068E-2</v>
      </c>
      <c r="L526" t="str">
        <f>VLOOKUP(Продажи[[#This Row],[id товара]],Товары[],3,0)</f>
        <v>Русский сахар</v>
      </c>
      <c r="M526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526" s="16">
        <f>Продажи[[#This Row],[цена за шт в рублях]]/Продажи[[#This Row],[Средняя цена в категории за шт по поставщику]]-1</f>
        <v>-9.0016038492381822E-2</v>
      </c>
      <c r="O526" s="48">
        <f>VLOOKUP(Продажи[[#This Row],[id клиента]],клиенты!$A$2:$E$435,5,0)</f>
        <v>44576</v>
      </c>
      <c r="P526">
        <f>Продажи[[#This Row],[дата создания чека]]-Продажи[[#This Row],[Дата регистрации]]</f>
        <v>413</v>
      </c>
      <c r="Q526" t="str">
        <f>VLOOKUP(Продажи[[#This Row],[id клиента]],клиенты!$A$2:$G$435,7,0)</f>
        <v>Узбекистан</v>
      </c>
      <c r="R526">
        <f>IF(COUNTIF($H$2:H526, H526)=1, 1, 0)</f>
        <v>0</v>
      </c>
      <c r="S526" t="str">
        <f>VLOOKUP(Продажи[[#This Row],[id клиента]],клиенты!$A$2:$D$435,4,0)</f>
        <v>нет</v>
      </c>
      <c r="T526" s="54">
        <f>VLOOKUP(Продажи[[#This Row],[id клиента]],клиенты!$A$2:$I$435,9,0)</f>
        <v>28.188911704312115</v>
      </c>
    </row>
    <row r="527" spans="1:20" x14ac:dyDescent="0.25">
      <c r="A527">
        <v>526</v>
      </c>
      <c r="B527">
        <v>344</v>
      </c>
      <c r="C527">
        <v>110</v>
      </c>
      <c r="D527">
        <v>4</v>
      </c>
      <c r="E527" s="35">
        <v>2200</v>
      </c>
      <c r="F527" s="48">
        <v>45284</v>
      </c>
      <c r="G527" t="s">
        <v>25</v>
      </c>
      <c r="H527">
        <v>294</v>
      </c>
      <c r="I527" t="str">
        <f>VLOOKUP(Продажи[[#This Row],[id товара]],Товары[],2,0)</f>
        <v>Сок</v>
      </c>
      <c r="J527" s="17">
        <f>AVERAGEIF(Продажи[Категория],Продажи[[#This Row],[Категория]],Продажи[цена за шт в рублях])</f>
        <v>268.60344827586209</v>
      </c>
      <c r="K527" s="16">
        <f>Продажи[[#This Row],[цена за шт в рублях]]/Продажи[[#This Row],[Средняя цена в категории за шт]]-1</f>
        <v>-0.59047435650555236</v>
      </c>
      <c r="L527" t="str">
        <f>VLOOKUP(Продажи[[#This Row],[id товара]],Товары[],3,0)</f>
        <v>Сады Придонья</v>
      </c>
      <c r="M527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527" s="16">
        <f>Продажи[[#This Row],[цена за шт в рублях]]/Продажи[[#This Row],[Средняя цена в категории за шт по поставщику]]-1</f>
        <v>-0.56723891273247495</v>
      </c>
      <c r="O527" s="48">
        <f>VLOOKUP(Продажи[[#This Row],[id клиента]],клиенты!$A$2:$E$435,5,0)</f>
        <v>44879</v>
      </c>
      <c r="P527">
        <f>Продажи[[#This Row],[дата создания чека]]-Продажи[[#This Row],[Дата регистрации]]</f>
        <v>405</v>
      </c>
      <c r="Q527" t="str">
        <f>VLOOKUP(Продажи[[#This Row],[id клиента]],клиенты!$A$2:$G$435,7,0)</f>
        <v>Украина</v>
      </c>
      <c r="R527">
        <f>IF(COUNTIF($H$2:H527, H527)=1, 1, 0)</f>
        <v>1</v>
      </c>
      <c r="S527" t="str">
        <f>VLOOKUP(Продажи[[#This Row],[id клиента]],клиенты!$A$2:$D$435,4,0)</f>
        <v>да</v>
      </c>
      <c r="T527" s="54">
        <f>VLOOKUP(Продажи[[#This Row],[id клиента]],клиенты!$A$2:$I$435,9,0)</f>
        <v>13.305954825462011</v>
      </c>
    </row>
    <row r="528" spans="1:20" x14ac:dyDescent="0.25">
      <c r="A528">
        <v>527</v>
      </c>
      <c r="B528">
        <v>447</v>
      </c>
      <c r="C528">
        <v>316</v>
      </c>
      <c r="D528">
        <v>1</v>
      </c>
      <c r="E528" s="35">
        <v>1580</v>
      </c>
      <c r="F528" s="48">
        <v>45121</v>
      </c>
      <c r="G528" t="s">
        <v>17</v>
      </c>
      <c r="H528">
        <v>297</v>
      </c>
      <c r="I528" t="str">
        <f>VLOOKUP(Продажи[[#This Row],[id товара]],Товары[],2,0)</f>
        <v>Йогурт</v>
      </c>
      <c r="J528" s="17">
        <f>AVERAGEIF(Продажи[Категория],Продажи[[#This Row],[Категория]],Продажи[цена за шт в рублях])</f>
        <v>263.25423728813558</v>
      </c>
      <c r="K528" s="16">
        <f>Продажи[[#This Row],[цена за шт в рублях]]/Продажи[[#This Row],[Средняя цена в категории за шт]]-1</f>
        <v>0.20036054596961117</v>
      </c>
      <c r="L528" t="str">
        <f>VLOOKUP(Продажи[[#This Row],[id товара]],Товары[],3,0)</f>
        <v>Эрманн</v>
      </c>
      <c r="M528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528" s="16">
        <f>Продажи[[#This Row],[цена за шт в рублях]]/Продажи[[#This Row],[Средняя цена в категории за шт по поставщику]]-1</f>
        <v>0.27162977867203209</v>
      </c>
      <c r="O528" s="48">
        <f>VLOOKUP(Продажи[[#This Row],[id клиента]],клиенты!$A$2:$E$435,5,0)</f>
        <v>44666</v>
      </c>
      <c r="P528">
        <f>Продажи[[#This Row],[дата создания чека]]-Продажи[[#This Row],[Дата регистрации]]</f>
        <v>455</v>
      </c>
      <c r="Q528" t="str">
        <f>VLOOKUP(Продажи[[#This Row],[id клиента]],клиенты!$A$2:$G$435,7,0)</f>
        <v>Украина</v>
      </c>
      <c r="R528">
        <f>IF(COUNTIF($H$2:H528, H528)=1, 1, 0)</f>
        <v>0</v>
      </c>
      <c r="S528" t="str">
        <f>VLOOKUP(Продажи[[#This Row],[id клиента]],клиенты!$A$2:$D$435,4,0)</f>
        <v>нет</v>
      </c>
      <c r="T528" s="54">
        <f>VLOOKUP(Продажи[[#This Row],[id клиента]],клиенты!$A$2:$I$435,9,0)</f>
        <v>20.271047227926079</v>
      </c>
    </row>
    <row r="529" spans="1:20" x14ac:dyDescent="0.25">
      <c r="A529">
        <v>528</v>
      </c>
      <c r="B529">
        <v>450</v>
      </c>
      <c r="C529">
        <v>228</v>
      </c>
      <c r="D529">
        <v>4</v>
      </c>
      <c r="E529" s="35">
        <v>4560</v>
      </c>
      <c r="F529" s="48">
        <v>45193</v>
      </c>
      <c r="G529" t="s">
        <v>15</v>
      </c>
      <c r="H529">
        <v>27</v>
      </c>
      <c r="I529" t="str">
        <f>VLOOKUP(Продажи[[#This Row],[id товара]],Товары[],2,0)</f>
        <v>Хлеб</v>
      </c>
      <c r="J529" s="17">
        <f>AVERAGEIF(Продажи[Категория],Продажи[[#This Row],[Категория]],Продажи[цена за шт в рублях])</f>
        <v>300.31818181818181</v>
      </c>
      <c r="K529" s="16">
        <f>Продажи[[#This Row],[цена за шт в рублях]]/Продажи[[#This Row],[Средняя цена в категории за шт]]-1</f>
        <v>-0.24080520659906157</v>
      </c>
      <c r="L529" t="str">
        <f>VLOOKUP(Продажи[[#This Row],[id товара]],Товары[],3,0)</f>
        <v>Хлебный Дом</v>
      </c>
      <c r="M529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529" s="16">
        <f>Продажи[[#This Row],[цена за шт в рублях]]/Продажи[[#This Row],[Средняя цена в категории за шт по поставщику]]-1</f>
        <v>-0.19072408897302418</v>
      </c>
      <c r="O529" s="48">
        <f>VLOOKUP(Продажи[[#This Row],[id клиента]],клиенты!$A$2:$E$435,5,0)</f>
        <v>44586</v>
      </c>
      <c r="P529">
        <f>Продажи[[#This Row],[дата создания чека]]-Продажи[[#This Row],[Дата регистрации]]</f>
        <v>607</v>
      </c>
      <c r="Q529" t="str">
        <f>VLOOKUP(Продажи[[#This Row],[id клиента]],клиенты!$A$2:$G$435,7,0)</f>
        <v>Украина</v>
      </c>
      <c r="R529">
        <f>IF(COUNTIF($H$2:H529, H529)=1, 1, 0)</f>
        <v>1</v>
      </c>
      <c r="S529" t="str">
        <f>VLOOKUP(Продажи[[#This Row],[id клиента]],клиенты!$A$2:$D$435,4,0)</f>
        <v>нет</v>
      </c>
      <c r="T529" s="54">
        <f>VLOOKUP(Продажи[[#This Row],[id клиента]],клиенты!$A$2:$I$435,9,0)</f>
        <v>19.942505133470227</v>
      </c>
    </row>
    <row r="530" spans="1:20" x14ac:dyDescent="0.25">
      <c r="A530">
        <v>529</v>
      </c>
      <c r="B530">
        <v>60</v>
      </c>
      <c r="C530">
        <v>100</v>
      </c>
      <c r="D530">
        <v>1</v>
      </c>
      <c r="E530" s="35">
        <v>500</v>
      </c>
      <c r="F530" s="48">
        <v>45397</v>
      </c>
      <c r="G530" t="s">
        <v>27</v>
      </c>
      <c r="H530">
        <v>102</v>
      </c>
      <c r="I530" t="str">
        <f>VLOOKUP(Продажи[[#This Row],[id товара]],Товары[],2,0)</f>
        <v>Кофе</v>
      </c>
      <c r="J530" s="17">
        <f>AVERAGEIF(Продажи[Категория],Продажи[[#This Row],[Категория]],Продажи[цена за шт в рублях])</f>
        <v>249.02380952380952</v>
      </c>
      <c r="K530" s="16">
        <f>Продажи[[#This Row],[цена за шт в рублях]]/Продажи[[#This Row],[Средняя цена в категории за шт]]-1</f>
        <v>-0.59843197246390667</v>
      </c>
      <c r="L530" t="str">
        <f>VLOOKUP(Продажи[[#This Row],[id товара]],Товары[],3,0)</f>
        <v>Jacobs</v>
      </c>
      <c r="M530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530" s="16">
        <f>Продажи[[#This Row],[цена за шт в рублях]]/Продажи[[#This Row],[Средняя цена в категории за шт по поставщику]]-1</f>
        <v>-0.63795731707317072</v>
      </c>
      <c r="O530" s="48">
        <f>VLOOKUP(Продажи[[#This Row],[id клиента]],клиенты!$A$2:$E$435,5,0)</f>
        <v>44723</v>
      </c>
      <c r="P530">
        <f>Продажи[[#This Row],[дата создания чека]]-Продажи[[#This Row],[Дата регистрации]]</f>
        <v>674</v>
      </c>
      <c r="Q530" t="str">
        <f>VLOOKUP(Продажи[[#This Row],[id клиента]],клиенты!$A$2:$G$435,7,0)</f>
        <v>Узбекистан</v>
      </c>
      <c r="R530">
        <f>IF(COUNTIF($H$2:H530, H530)=1, 1, 0)</f>
        <v>0</v>
      </c>
      <c r="S530" t="str">
        <f>VLOOKUP(Продажи[[#This Row],[id клиента]],клиенты!$A$2:$D$435,4,0)</f>
        <v>нет</v>
      </c>
      <c r="T530" s="54">
        <f>VLOOKUP(Продажи[[#This Row],[id клиента]],клиенты!$A$2:$I$435,9,0)</f>
        <v>22.143737166324435</v>
      </c>
    </row>
    <row r="531" spans="1:20" x14ac:dyDescent="0.25">
      <c r="A531">
        <v>530</v>
      </c>
      <c r="B531">
        <v>42</v>
      </c>
      <c r="C531">
        <v>332</v>
      </c>
      <c r="D531">
        <v>2</v>
      </c>
      <c r="E531" s="35">
        <v>3320</v>
      </c>
      <c r="F531" s="48">
        <v>45301</v>
      </c>
      <c r="G531" t="s">
        <v>8</v>
      </c>
      <c r="H531">
        <v>323</v>
      </c>
      <c r="I531" t="str">
        <f>VLOOKUP(Продажи[[#This Row],[id товара]],Товары[],2,0)</f>
        <v>Рис</v>
      </c>
      <c r="J531" s="17">
        <f>AVERAGEIF(Продажи[Категория],Продажи[[#This Row],[Категория]],Продажи[цена за шт в рублях])</f>
        <v>258.375</v>
      </c>
      <c r="K531" s="16">
        <f>Продажи[[#This Row],[цена за шт в рублях]]/Продажи[[#This Row],[Средняя цена в категории за шт]]-1</f>
        <v>0.28495403967102084</v>
      </c>
      <c r="L531" t="str">
        <f>VLOOKUP(Продажи[[#This Row],[id товара]],Товары[],3,0)</f>
        <v>Мистраль</v>
      </c>
      <c r="M531" s="32">
        <f>AVERAGEIFS(Продажи[цена за шт в рублях],Продажи[Категория],Продажи[[#This Row],[Категория]],Продажи[Поставщик],Продажи[[#This Row],[Поставщик]])</f>
        <v>181.57142857142858</v>
      </c>
      <c r="N531" s="16">
        <f>Продажи[[#This Row],[цена за шт в рублях]]/Продажи[[#This Row],[Средняя цена в категории за шт по поставщику]]-1</f>
        <v>0.82848151062155773</v>
      </c>
      <c r="O531" s="48">
        <f>VLOOKUP(Продажи[[#This Row],[id клиента]],клиенты!$A$2:$E$435,5,0)</f>
        <v>44821</v>
      </c>
      <c r="P531">
        <f>Продажи[[#This Row],[дата создания чека]]-Продажи[[#This Row],[Дата регистрации]]</f>
        <v>480</v>
      </c>
      <c r="Q531" t="str">
        <f>VLOOKUP(Продажи[[#This Row],[id клиента]],клиенты!$A$2:$G$435,7,0)</f>
        <v>Таджикистан</v>
      </c>
      <c r="R531">
        <f>IF(COUNTIF($H$2:H531, H531)=1, 1, 0)</f>
        <v>0</v>
      </c>
      <c r="S531" t="str">
        <f>VLOOKUP(Продажи[[#This Row],[id клиента]],клиенты!$A$2:$D$435,4,0)</f>
        <v>да</v>
      </c>
      <c r="T531" s="54">
        <f>VLOOKUP(Продажи[[#This Row],[id клиента]],клиенты!$A$2:$I$435,9,0)</f>
        <v>18.759753593429156</v>
      </c>
    </row>
    <row r="532" spans="1:20" x14ac:dyDescent="0.25">
      <c r="A532">
        <v>531</v>
      </c>
      <c r="B532">
        <v>267</v>
      </c>
      <c r="C532">
        <v>65</v>
      </c>
      <c r="D532">
        <v>2</v>
      </c>
      <c r="E532" s="35">
        <v>650</v>
      </c>
      <c r="F532" s="48">
        <v>45142</v>
      </c>
      <c r="G532" t="s">
        <v>25</v>
      </c>
      <c r="H532">
        <v>53</v>
      </c>
      <c r="I532" t="str">
        <f>VLOOKUP(Продажи[[#This Row],[id товара]],Товары[],2,0)</f>
        <v>Овощи</v>
      </c>
      <c r="J532" s="17">
        <f>AVERAGEIF(Продажи[Категория],Продажи[[#This Row],[Категория]],Продажи[цена за шт в рублях])</f>
        <v>250.48780487804879</v>
      </c>
      <c r="K532" s="16">
        <f>Продажи[[#This Row],[цена за шт в рублях]]/Продажи[[#This Row],[Средняя цена в категории за шт]]-1</f>
        <v>-0.740506329113924</v>
      </c>
      <c r="L532" t="str">
        <f>VLOOKUP(Продажи[[#This Row],[id товара]],Товары[],3,0)</f>
        <v>Семко</v>
      </c>
      <c r="M532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532" s="16">
        <f>Продажи[[#This Row],[цена за шт в рублях]]/Продажи[[#This Row],[Средняя цена в категории за шт по поставщику]]-1</f>
        <v>-0.6875</v>
      </c>
      <c r="O532" s="48">
        <f>VLOOKUP(Продажи[[#This Row],[id клиента]],клиенты!$A$2:$E$435,5,0)</f>
        <v>44593</v>
      </c>
      <c r="P532">
        <f>Продажи[[#This Row],[дата создания чека]]-Продажи[[#This Row],[Дата регистрации]]</f>
        <v>549</v>
      </c>
      <c r="Q532" t="str">
        <f>VLOOKUP(Продажи[[#This Row],[id клиента]],клиенты!$A$2:$G$435,7,0)</f>
        <v>Россия</v>
      </c>
      <c r="R532">
        <f>IF(COUNTIF($H$2:H532, H532)=1, 1, 0)</f>
        <v>1</v>
      </c>
      <c r="S532" t="str">
        <f>VLOOKUP(Продажи[[#This Row],[id клиента]],клиенты!$A$2:$D$435,4,0)</f>
        <v>нет</v>
      </c>
      <c r="T532" s="54">
        <f>VLOOKUP(Продажи[[#This Row],[id клиента]],клиенты!$A$2:$I$435,9,0)</f>
        <v>18.234086242299796</v>
      </c>
    </row>
    <row r="533" spans="1:20" x14ac:dyDescent="0.25">
      <c r="A533">
        <v>532</v>
      </c>
      <c r="B533">
        <v>161</v>
      </c>
      <c r="C533">
        <v>489</v>
      </c>
      <c r="D533">
        <v>5</v>
      </c>
      <c r="E533" s="35">
        <v>12225</v>
      </c>
      <c r="F533" s="48">
        <v>45117</v>
      </c>
      <c r="G533" t="s">
        <v>13</v>
      </c>
      <c r="H533">
        <v>143</v>
      </c>
      <c r="I533" t="str">
        <f>VLOOKUP(Продажи[[#This Row],[id товара]],Товары[],2,0)</f>
        <v>Молоко</v>
      </c>
      <c r="J533" s="17">
        <f>AVERAGEIF(Продажи[Категория],Продажи[[#This Row],[Категория]],Продажи[цена за шт в рублях])</f>
        <v>294.95238095238096</v>
      </c>
      <c r="K533" s="16">
        <f>Продажи[[#This Row],[цена за шт в рублях]]/Продажи[[#This Row],[Средняя цена в категории за шт]]-1</f>
        <v>0.65789473684210531</v>
      </c>
      <c r="L533" t="str">
        <f>VLOOKUP(Продажи[[#This Row],[id товара]],Товары[],3,0)</f>
        <v>Простоквашино</v>
      </c>
      <c r="M533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533" s="16">
        <f>Продажи[[#This Row],[цена за шт в рублях]]/Продажи[[#This Row],[Средняя цена в категории за шт по поставщику]]-1</f>
        <v>0.53378956372968345</v>
      </c>
      <c r="O533" s="48">
        <f>VLOOKUP(Продажи[[#This Row],[id клиента]],клиенты!$A$2:$E$435,5,0)</f>
        <v>44601</v>
      </c>
      <c r="P533">
        <f>Продажи[[#This Row],[дата создания чека]]-Продажи[[#This Row],[Дата регистрации]]</f>
        <v>516</v>
      </c>
      <c r="Q533" t="str">
        <f>VLOOKUP(Продажи[[#This Row],[id клиента]],клиенты!$A$2:$G$435,7,0)</f>
        <v>Россия</v>
      </c>
      <c r="R533">
        <f>IF(COUNTIF($H$2:H533, H533)=1, 1, 0)</f>
        <v>1</v>
      </c>
      <c r="S533" t="str">
        <f>VLOOKUP(Продажи[[#This Row],[id клиента]],клиенты!$A$2:$D$435,4,0)</f>
        <v>нет</v>
      </c>
      <c r="T533" s="54">
        <f>VLOOKUP(Продажи[[#This Row],[id клиента]],клиенты!$A$2:$I$435,9,0)</f>
        <v>16.95277207392197</v>
      </c>
    </row>
    <row r="534" spans="1:20" x14ac:dyDescent="0.25">
      <c r="A534">
        <v>533</v>
      </c>
      <c r="B534">
        <v>83</v>
      </c>
      <c r="C534">
        <v>315</v>
      </c>
      <c r="D534">
        <v>2</v>
      </c>
      <c r="E534" s="35">
        <v>3150</v>
      </c>
      <c r="F534" s="48">
        <v>45369</v>
      </c>
      <c r="G534" t="s">
        <v>16</v>
      </c>
      <c r="H534">
        <v>135</v>
      </c>
      <c r="I534" t="str">
        <f>VLOOKUP(Продажи[[#This Row],[id товара]],Товары[],2,0)</f>
        <v>Сок</v>
      </c>
      <c r="J534" s="17">
        <f>AVERAGEIF(Продажи[Категория],Продажи[[#This Row],[Категория]],Продажи[цена за шт в рублях])</f>
        <v>268.60344827586209</v>
      </c>
      <c r="K534" s="16">
        <f>Продажи[[#This Row],[цена за шт в рублях]]/Продажи[[#This Row],[Средняя цена в категории за шт]]-1</f>
        <v>0.17273252455228172</v>
      </c>
      <c r="L534" t="str">
        <f>VLOOKUP(Продажи[[#This Row],[id товара]],Товары[],3,0)</f>
        <v>Сады Придонья</v>
      </c>
      <c r="M534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534" s="16">
        <f>Продажи[[#This Row],[цена за шт в рублях]]/Продажи[[#This Row],[Средняя цена в категории за шт по поставщику]]-1</f>
        <v>0.23927038626609431</v>
      </c>
      <c r="O534" s="48">
        <f>VLOOKUP(Продажи[[#This Row],[id клиента]],клиенты!$A$2:$E$435,5,0)</f>
        <v>44602</v>
      </c>
      <c r="P534">
        <f>Продажи[[#This Row],[дата создания чека]]-Продажи[[#This Row],[Дата регистрации]]</f>
        <v>767</v>
      </c>
      <c r="Q534" t="str">
        <f>VLOOKUP(Продажи[[#This Row],[id клиента]],клиенты!$A$2:$G$435,7,0)</f>
        <v>Россия</v>
      </c>
      <c r="R534">
        <f>IF(COUNTIF($H$2:H534, H534)=1, 1, 0)</f>
        <v>1</v>
      </c>
      <c r="S534" t="str">
        <f>VLOOKUP(Продажи[[#This Row],[id клиента]],клиенты!$A$2:$D$435,4,0)</f>
        <v>да</v>
      </c>
      <c r="T534" s="54">
        <f>VLOOKUP(Продажи[[#This Row],[id клиента]],клиенты!$A$2:$I$435,9,0)</f>
        <v>25.199178644763862</v>
      </c>
    </row>
    <row r="535" spans="1:20" x14ac:dyDescent="0.25">
      <c r="A535">
        <v>534</v>
      </c>
      <c r="B535">
        <v>315</v>
      </c>
      <c r="C535">
        <v>348</v>
      </c>
      <c r="D535">
        <v>2</v>
      </c>
      <c r="E535" s="35">
        <v>3480</v>
      </c>
      <c r="F535" s="48">
        <v>45002</v>
      </c>
      <c r="G535" t="s">
        <v>12</v>
      </c>
      <c r="H535">
        <v>402</v>
      </c>
      <c r="I535" t="str">
        <f>VLOOKUP(Продажи[[#This Row],[id товара]],Товары[],2,0)</f>
        <v>Йогурт</v>
      </c>
      <c r="J535" s="17">
        <f>AVERAGEIF(Продажи[Категория],Продажи[[#This Row],[Категория]],Продажи[цена за шт в рублях])</f>
        <v>263.25423728813558</v>
      </c>
      <c r="K535" s="16">
        <f>Продажи[[#This Row],[цена за шт в рублях]]/Продажи[[#This Row],[Средняя цена в категории за шт]]-1</f>
        <v>0.32191604429564769</v>
      </c>
      <c r="L535" t="str">
        <f>VLOOKUP(Продажи[[#This Row],[id товара]],Товары[],3,0)</f>
        <v>Чудо</v>
      </c>
      <c r="M535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535" s="16">
        <f>Продажи[[#This Row],[цена за шт в рублях]]/Продажи[[#This Row],[Средняя цена в категории за шт по поставщику]]-1</f>
        <v>0.21212121212121193</v>
      </c>
      <c r="O535" s="48">
        <f>VLOOKUP(Продажи[[#This Row],[id клиента]],клиенты!$A$2:$E$435,5,0)</f>
        <v>44742</v>
      </c>
      <c r="P535">
        <f>Продажи[[#This Row],[дата создания чека]]-Продажи[[#This Row],[Дата регистрации]]</f>
        <v>260</v>
      </c>
      <c r="Q535" t="str">
        <f>VLOOKUP(Продажи[[#This Row],[id клиента]],клиенты!$A$2:$G$435,7,0)</f>
        <v>Узбекистан</v>
      </c>
      <c r="R535">
        <f>IF(COUNTIF($H$2:H535, H535)=1, 1, 0)</f>
        <v>0</v>
      </c>
      <c r="S535" t="str">
        <f>VLOOKUP(Продажи[[#This Row],[id клиента]],клиенты!$A$2:$D$435,4,0)</f>
        <v>да</v>
      </c>
      <c r="T535" s="54">
        <f>VLOOKUP(Продажи[[#This Row],[id клиента]],клиенты!$A$2:$I$435,9,0)</f>
        <v>11.564681724845997</v>
      </c>
    </row>
    <row r="536" spans="1:20" x14ac:dyDescent="0.25">
      <c r="A536">
        <v>535</v>
      </c>
      <c r="B536">
        <v>121</v>
      </c>
      <c r="C536">
        <v>77</v>
      </c>
      <c r="D536">
        <v>1</v>
      </c>
      <c r="E536" s="35">
        <v>385</v>
      </c>
      <c r="F536" s="48">
        <v>45047</v>
      </c>
      <c r="G536" t="s">
        <v>11</v>
      </c>
      <c r="H536">
        <v>279</v>
      </c>
      <c r="I536" t="str">
        <f>VLOOKUP(Продажи[[#This Row],[id товара]],Товары[],2,0)</f>
        <v>Чипсы</v>
      </c>
      <c r="J536" s="17">
        <f>AVERAGEIF(Продажи[Категория],Продажи[[#This Row],[Категория]],Продажи[цена за шт в рублях])</f>
        <v>273.72549019607845</v>
      </c>
      <c r="K536" s="16">
        <f>Продажи[[#This Row],[цена за шт в рублях]]/Продажи[[#This Row],[Средняя цена в категории за шт]]-1</f>
        <v>-0.71869627507163325</v>
      </c>
      <c r="L536" t="str">
        <f>VLOOKUP(Продажи[[#This Row],[id товара]],Товары[],3,0)</f>
        <v>Pringles</v>
      </c>
      <c r="M536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536" s="16">
        <f>Продажи[[#This Row],[цена за шт в рублях]]/Продажи[[#This Row],[Средняя цена в категории за шт по поставщику]]-1</f>
        <v>-0.72523364485981312</v>
      </c>
      <c r="O536" s="48">
        <f>VLOOKUP(Продажи[[#This Row],[id клиента]],клиенты!$A$2:$E$435,5,0)</f>
        <v>44786</v>
      </c>
      <c r="P536">
        <f>Продажи[[#This Row],[дата создания чека]]-Продажи[[#This Row],[Дата регистрации]]</f>
        <v>261</v>
      </c>
      <c r="Q536" t="str">
        <f>VLOOKUP(Продажи[[#This Row],[id клиента]],клиенты!$A$2:$G$435,7,0)</f>
        <v>Узбекистан</v>
      </c>
      <c r="R536">
        <f>IF(COUNTIF($H$2:H536, H536)=1, 1, 0)</f>
        <v>1</v>
      </c>
      <c r="S536" t="str">
        <f>VLOOKUP(Продажи[[#This Row],[id клиента]],клиенты!$A$2:$D$435,4,0)</f>
        <v>да</v>
      </c>
      <c r="T536" s="54">
        <f>VLOOKUP(Продажи[[#This Row],[id клиента]],клиенты!$A$2:$I$435,9,0)</f>
        <v>16.985626283367555</v>
      </c>
    </row>
    <row r="537" spans="1:20" x14ac:dyDescent="0.25">
      <c r="A537">
        <v>536</v>
      </c>
      <c r="B537">
        <v>371</v>
      </c>
      <c r="C537">
        <v>62</v>
      </c>
      <c r="D537">
        <v>5</v>
      </c>
      <c r="E537" s="35">
        <v>1550</v>
      </c>
      <c r="F537" s="48">
        <v>45330</v>
      </c>
      <c r="G537" t="s">
        <v>10</v>
      </c>
      <c r="H537">
        <v>385</v>
      </c>
      <c r="I537" t="str">
        <f>VLOOKUP(Продажи[[#This Row],[id товара]],Товары[],2,0)</f>
        <v>Сахар</v>
      </c>
      <c r="J537" s="17">
        <f>AVERAGEIF(Продажи[Категория],Продажи[[#This Row],[Категория]],Продажи[цена за шт в рублях])</f>
        <v>252.76271186440678</v>
      </c>
      <c r="K537" s="16">
        <f>Продажи[[#This Row],[цена за шт в рублях]]/Продажи[[#This Row],[Средняя цена в категории за шт]]-1</f>
        <v>-0.75471065513310531</v>
      </c>
      <c r="L537" t="str">
        <f>VLOOKUP(Продажи[[#This Row],[id товара]],Товары[],3,0)</f>
        <v>Русский сахар</v>
      </c>
      <c r="M537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537" s="16">
        <f>Продажи[[#This Row],[цена за шт в рублях]]/Продажи[[#This Row],[Средняя цена в категории за шт по поставщику]]-1</f>
        <v>-0.78869286287089013</v>
      </c>
      <c r="O537" s="48">
        <f>VLOOKUP(Продажи[[#This Row],[id клиента]],клиенты!$A$2:$E$435,5,0)</f>
        <v>44753</v>
      </c>
      <c r="P537">
        <f>Продажи[[#This Row],[дата создания чека]]-Продажи[[#This Row],[Дата регистрации]]</f>
        <v>577</v>
      </c>
      <c r="Q537" t="str">
        <f>VLOOKUP(Продажи[[#This Row],[id клиента]],клиенты!$A$2:$G$435,7,0)</f>
        <v>Украина</v>
      </c>
      <c r="R537">
        <f>IF(COUNTIF($H$2:H537, H537)=1, 1, 0)</f>
        <v>0</v>
      </c>
      <c r="S537" t="str">
        <f>VLOOKUP(Продажи[[#This Row],[id клиента]],клиенты!$A$2:$D$435,4,0)</f>
        <v>нет</v>
      </c>
      <c r="T537" s="54">
        <f>VLOOKUP(Продажи[[#This Row],[id клиента]],клиенты!$A$2:$I$435,9,0)</f>
        <v>21.453798767967147</v>
      </c>
    </row>
    <row r="538" spans="1:20" x14ac:dyDescent="0.25">
      <c r="A538">
        <v>537</v>
      </c>
      <c r="B538">
        <v>169</v>
      </c>
      <c r="C538">
        <v>429</v>
      </c>
      <c r="D538">
        <v>2</v>
      </c>
      <c r="E538" s="35">
        <v>4290</v>
      </c>
      <c r="F538" s="48">
        <v>45289</v>
      </c>
      <c r="G538" t="s">
        <v>26</v>
      </c>
      <c r="H538">
        <v>326</v>
      </c>
      <c r="I538" t="str">
        <f>VLOOKUP(Продажи[[#This Row],[id товара]],Товары[],2,0)</f>
        <v>Фрукты</v>
      </c>
      <c r="J538" s="17">
        <f>AVERAGEIF(Продажи[Категория],Продажи[[#This Row],[Категория]],Продажи[цена за шт в рублях])</f>
        <v>274.16279069767444</v>
      </c>
      <c r="K538" s="16">
        <f>Продажи[[#This Row],[цена за шт в рублях]]/Продажи[[#This Row],[Средняя цена в категории за шт]]-1</f>
        <v>0.56476376282975638</v>
      </c>
      <c r="L538" t="str">
        <f>VLOOKUP(Продажи[[#This Row],[id товара]],Товары[],3,0)</f>
        <v>Фруктовый Рай</v>
      </c>
      <c r="M538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538" s="16">
        <f>Продажи[[#This Row],[цена за шт в рублях]]/Продажи[[#This Row],[Средняя цена в категории за шт по поставщику]]-1</f>
        <v>0.66081000595592609</v>
      </c>
      <c r="O538" s="48">
        <f>VLOOKUP(Продажи[[#This Row],[id клиента]],клиенты!$A$2:$E$435,5,0)</f>
        <v>44655</v>
      </c>
      <c r="P538">
        <f>Продажи[[#This Row],[дата создания чека]]-Продажи[[#This Row],[Дата регистрации]]</f>
        <v>634</v>
      </c>
      <c r="Q538" t="str">
        <f>VLOOKUP(Продажи[[#This Row],[id клиента]],клиенты!$A$2:$G$435,7,0)</f>
        <v>Россия</v>
      </c>
      <c r="R538">
        <f>IF(COUNTIF($H$2:H538, H538)=1, 1, 0)</f>
        <v>0</v>
      </c>
      <c r="S538" t="str">
        <f>VLOOKUP(Продажи[[#This Row],[id клиента]],клиенты!$A$2:$D$435,4,0)</f>
        <v>нет</v>
      </c>
      <c r="T538" s="54">
        <f>VLOOKUP(Продажи[[#This Row],[id клиента]],клиенты!$A$2:$I$435,9,0)</f>
        <v>20.829568788501028</v>
      </c>
    </row>
    <row r="539" spans="1:20" x14ac:dyDescent="0.25">
      <c r="A539">
        <v>538</v>
      </c>
      <c r="B539">
        <v>433</v>
      </c>
      <c r="C539">
        <v>115</v>
      </c>
      <c r="D539">
        <v>4</v>
      </c>
      <c r="E539" s="35">
        <v>2300</v>
      </c>
      <c r="F539" s="48">
        <v>45203</v>
      </c>
      <c r="G539" t="s">
        <v>25</v>
      </c>
      <c r="H539">
        <v>138</v>
      </c>
      <c r="I539" t="str">
        <f>VLOOKUP(Продажи[[#This Row],[id товара]],Товары[],2,0)</f>
        <v>Рыба</v>
      </c>
      <c r="J539" s="17">
        <f>AVERAGEIF(Продажи[Категория],Продажи[[#This Row],[Категория]],Продажи[цена за шт в рублях])</f>
        <v>258.5128205128205</v>
      </c>
      <c r="K539" s="16">
        <f>Продажи[[#This Row],[цена за шт в рублях]]/Продажи[[#This Row],[Средняя цена в категории за шт]]-1</f>
        <v>-0.55514778813727439</v>
      </c>
      <c r="L539" t="str">
        <f>VLOOKUP(Продажи[[#This Row],[id товара]],Товары[],3,0)</f>
        <v>Меридиан</v>
      </c>
      <c r="M539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539" s="16">
        <f>Продажи[[#This Row],[цена за шт в рублях]]/Продажи[[#This Row],[Средняя цена в категории за шт по поставщику]]-1</f>
        <v>-0.55879034078086209</v>
      </c>
      <c r="O539" s="48">
        <f>VLOOKUP(Продажи[[#This Row],[id клиента]],клиенты!$A$2:$E$435,5,0)</f>
        <v>44723</v>
      </c>
      <c r="P539">
        <f>Продажи[[#This Row],[дата создания чека]]-Продажи[[#This Row],[Дата регистрации]]</f>
        <v>480</v>
      </c>
      <c r="Q539" t="str">
        <f>VLOOKUP(Продажи[[#This Row],[id клиента]],клиенты!$A$2:$G$435,7,0)</f>
        <v>Украина</v>
      </c>
      <c r="R539">
        <f>IF(COUNTIF($H$2:H539, H539)=1, 1, 0)</f>
        <v>0</v>
      </c>
      <c r="S539" t="str">
        <f>VLOOKUP(Продажи[[#This Row],[id клиента]],клиенты!$A$2:$D$435,4,0)</f>
        <v>да</v>
      </c>
      <c r="T539" s="54">
        <f>VLOOKUP(Продажи[[#This Row],[id клиента]],клиенты!$A$2:$I$435,9,0)</f>
        <v>15.770020533880903</v>
      </c>
    </row>
    <row r="540" spans="1:20" x14ac:dyDescent="0.25">
      <c r="A540">
        <v>539</v>
      </c>
      <c r="B540">
        <v>43</v>
      </c>
      <c r="C540">
        <v>158</v>
      </c>
      <c r="D540">
        <v>5</v>
      </c>
      <c r="E540" s="35">
        <v>3950</v>
      </c>
      <c r="F540" s="48">
        <v>45397</v>
      </c>
      <c r="G540" t="s">
        <v>16</v>
      </c>
      <c r="H540">
        <v>271</v>
      </c>
      <c r="I540" t="str">
        <f>VLOOKUP(Продажи[[#This Row],[id товара]],Товары[],2,0)</f>
        <v>Печенье</v>
      </c>
      <c r="J540" s="17">
        <f>AVERAGEIF(Продажи[Категория],Продажи[[#This Row],[Категория]],Продажи[цена за шт в рублях])</f>
        <v>283.468085106383</v>
      </c>
      <c r="K540" s="16">
        <f>Продажи[[#This Row],[цена за шт в рублях]]/Продажи[[#This Row],[Средняя цена в категории за шт]]-1</f>
        <v>-0.44261802897245373</v>
      </c>
      <c r="L540" t="str">
        <f>VLOOKUP(Продажи[[#This Row],[id товара]],Товары[],3,0)</f>
        <v>КДВ</v>
      </c>
      <c r="M540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540" s="16">
        <f>Продажи[[#This Row],[цена за шт в рублях]]/Продажи[[#This Row],[Средняя цена в категории за шт по поставщику]]-1</f>
        <v>-0.51095238095238105</v>
      </c>
      <c r="O540" s="48">
        <f>VLOOKUP(Продажи[[#This Row],[id клиента]],клиенты!$A$2:$E$435,5,0)</f>
        <v>44892</v>
      </c>
      <c r="P540">
        <f>Продажи[[#This Row],[дата создания чека]]-Продажи[[#This Row],[Дата регистрации]]</f>
        <v>505</v>
      </c>
      <c r="Q540" t="str">
        <f>VLOOKUP(Продажи[[#This Row],[id клиента]],клиенты!$A$2:$G$435,7,0)</f>
        <v>Беларусь</v>
      </c>
      <c r="R540">
        <f>IF(COUNTIF($H$2:H540, H540)=1, 1, 0)</f>
        <v>1</v>
      </c>
      <c r="S540" t="str">
        <f>VLOOKUP(Продажи[[#This Row],[id клиента]],клиенты!$A$2:$D$435,4,0)</f>
        <v>нет</v>
      </c>
      <c r="T540" s="54">
        <f>VLOOKUP(Продажи[[#This Row],[id клиента]],клиенты!$A$2:$I$435,9,0)</f>
        <v>16.591375770020534</v>
      </c>
    </row>
    <row r="541" spans="1:20" x14ac:dyDescent="0.25">
      <c r="A541">
        <v>540</v>
      </c>
      <c r="B541">
        <v>453</v>
      </c>
      <c r="C541">
        <v>318</v>
      </c>
      <c r="D541">
        <v>4</v>
      </c>
      <c r="E541" s="35">
        <v>6360</v>
      </c>
      <c r="F541" s="48">
        <v>45355</v>
      </c>
      <c r="G541" t="s">
        <v>16</v>
      </c>
      <c r="H541">
        <v>408</v>
      </c>
      <c r="I541" t="str">
        <f>VLOOKUP(Продажи[[#This Row],[id товара]],Товары[],2,0)</f>
        <v>Макароны</v>
      </c>
      <c r="J541" s="17">
        <f>AVERAGEIF(Продажи[Категория],Продажи[[#This Row],[Категория]],Продажи[цена за шт в рублях])</f>
        <v>265.47674418604652</v>
      </c>
      <c r="K541" s="16">
        <f>Продажи[[#This Row],[цена за шт в рублях]]/Продажи[[#This Row],[Средняя цена в категории за шт]]-1</f>
        <v>0.19784503525907748</v>
      </c>
      <c r="L541" t="str">
        <f>VLOOKUP(Продажи[[#This Row],[id товара]],Товары[],3,0)</f>
        <v>Макфа</v>
      </c>
      <c r="M541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541" s="16">
        <f>Продажи[[#This Row],[цена за шт в рублях]]/Продажи[[#This Row],[Средняя цена в категории за шт по поставщику]]-1</f>
        <v>-3.4235229155162861E-2</v>
      </c>
      <c r="O541" s="48">
        <f>VLOOKUP(Продажи[[#This Row],[id клиента]],клиенты!$A$2:$E$435,5,0)</f>
        <v>44857</v>
      </c>
      <c r="P541">
        <f>Продажи[[#This Row],[дата создания чека]]-Продажи[[#This Row],[Дата регистрации]]</f>
        <v>498</v>
      </c>
      <c r="Q541" t="str">
        <f>VLOOKUP(Продажи[[#This Row],[id клиента]],клиенты!$A$2:$G$435,7,0)</f>
        <v>Россия</v>
      </c>
      <c r="R541">
        <f>IF(COUNTIF($H$2:H541, H541)=1, 1, 0)</f>
        <v>0</v>
      </c>
      <c r="S541" t="str">
        <f>VLOOKUP(Продажи[[#This Row],[id клиента]],клиенты!$A$2:$D$435,4,0)</f>
        <v>нет</v>
      </c>
      <c r="T541" s="54">
        <f>VLOOKUP(Продажи[[#This Row],[id клиента]],клиенты!$A$2:$I$435,9,0)</f>
        <v>16.361396303901437</v>
      </c>
    </row>
    <row r="542" spans="1:20" x14ac:dyDescent="0.25">
      <c r="A542">
        <v>541</v>
      </c>
      <c r="B542">
        <v>403</v>
      </c>
      <c r="C542">
        <v>184</v>
      </c>
      <c r="D542">
        <v>5</v>
      </c>
      <c r="E542" s="35">
        <v>4600</v>
      </c>
      <c r="F542" s="48">
        <v>45378</v>
      </c>
      <c r="G542" t="s">
        <v>11</v>
      </c>
      <c r="H542">
        <v>444</v>
      </c>
      <c r="I542" t="str">
        <f>VLOOKUP(Продажи[[#This Row],[id товара]],Товары[],2,0)</f>
        <v>Чай</v>
      </c>
      <c r="J542" s="17">
        <f>AVERAGEIF(Продажи[Категория],Продажи[[#This Row],[Категория]],Продажи[цена за шт в рублях])</f>
        <v>271.18181818181819</v>
      </c>
      <c r="K542" s="16">
        <f>Продажи[[#This Row],[цена за шт в рублях]]/Продажи[[#This Row],[Средняя цена в категории за шт]]-1</f>
        <v>-0.32148843446195108</v>
      </c>
      <c r="L542" t="str">
        <f>VLOOKUP(Продажи[[#This Row],[id товара]],Товары[],3,0)</f>
        <v>Ахмад</v>
      </c>
      <c r="M542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542" s="16">
        <f>Продажи[[#This Row],[цена за шт в рублях]]/Продажи[[#This Row],[Средняя цена в категории за шт по поставщику]]-1</f>
        <v>-0.24373201808466916</v>
      </c>
      <c r="O542" s="48">
        <f>VLOOKUP(Продажи[[#This Row],[id клиента]],клиенты!$A$2:$E$435,5,0)</f>
        <v>44688</v>
      </c>
      <c r="P542">
        <f>Продажи[[#This Row],[дата создания чека]]-Продажи[[#This Row],[Дата регистрации]]</f>
        <v>690</v>
      </c>
      <c r="Q542" t="str">
        <f>VLOOKUP(Продажи[[#This Row],[id клиента]],клиенты!$A$2:$G$435,7,0)</f>
        <v>Россия</v>
      </c>
      <c r="R542">
        <f>IF(COUNTIF($H$2:H542, H542)=1, 1, 0)</f>
        <v>1</v>
      </c>
      <c r="S542" t="str">
        <f>VLOOKUP(Продажи[[#This Row],[id клиента]],клиенты!$A$2:$D$435,4,0)</f>
        <v>да</v>
      </c>
      <c r="T542" s="54">
        <f>VLOOKUP(Продажи[[#This Row],[id клиента]],клиенты!$A$2:$I$435,9,0)</f>
        <v>22.669404517453799</v>
      </c>
    </row>
    <row r="543" spans="1:20" x14ac:dyDescent="0.25">
      <c r="A543">
        <v>542</v>
      </c>
      <c r="B543">
        <v>248</v>
      </c>
      <c r="C543">
        <v>497</v>
      </c>
      <c r="D543">
        <v>2</v>
      </c>
      <c r="E543" s="35">
        <v>4970</v>
      </c>
      <c r="F543" s="48">
        <v>45051</v>
      </c>
      <c r="G543" t="s">
        <v>17</v>
      </c>
      <c r="H543">
        <v>116</v>
      </c>
      <c r="I543" t="str">
        <f>VLOOKUP(Продажи[[#This Row],[id товара]],Товары[],2,0)</f>
        <v>Конфеты</v>
      </c>
      <c r="J543" s="17">
        <f>AVERAGEIF(Продажи[Категория],Продажи[[#This Row],[Категория]],Продажи[цена за шт в рублях])</f>
        <v>267.85483870967744</v>
      </c>
      <c r="K543" s="16">
        <f>Продажи[[#This Row],[цена за шт в рублях]]/Продажи[[#This Row],[Средняя цена в категории за шт]]-1</f>
        <v>0.85548262780755091</v>
      </c>
      <c r="L543" t="str">
        <f>VLOOKUP(Продажи[[#This Row],[id товара]],Товары[],3,0)</f>
        <v>Красный Октябрь</v>
      </c>
      <c r="M543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543" s="16">
        <f>Продажи[[#This Row],[цена за шт в рублях]]/Продажи[[#This Row],[Средняя цена в категории за шт по поставщику]]-1</f>
        <v>0.81635449977158525</v>
      </c>
      <c r="O543" s="48">
        <f>VLOOKUP(Продажи[[#This Row],[id клиента]],клиенты!$A$2:$E$435,5,0)</f>
        <v>44643</v>
      </c>
      <c r="P543">
        <f>Продажи[[#This Row],[дата создания чека]]-Продажи[[#This Row],[Дата регистрации]]</f>
        <v>408</v>
      </c>
      <c r="Q543" t="str">
        <f>VLOOKUP(Продажи[[#This Row],[id клиента]],клиенты!$A$2:$G$435,7,0)</f>
        <v>Россия</v>
      </c>
      <c r="R543">
        <f>IF(COUNTIF($H$2:H543, H543)=1, 1, 0)</f>
        <v>0</v>
      </c>
      <c r="S543" t="str">
        <f>VLOOKUP(Продажи[[#This Row],[id клиента]],клиенты!$A$2:$D$435,4,0)</f>
        <v>нет</v>
      </c>
      <c r="T543" s="54">
        <f>VLOOKUP(Продажи[[#This Row],[id клиента]],клиенты!$A$2:$I$435,9,0)</f>
        <v>21.125256673511295</v>
      </c>
    </row>
    <row r="544" spans="1:20" x14ac:dyDescent="0.25">
      <c r="A544">
        <v>543</v>
      </c>
      <c r="B544">
        <v>492</v>
      </c>
      <c r="C544">
        <v>469</v>
      </c>
      <c r="D544">
        <v>4</v>
      </c>
      <c r="E544" s="35">
        <v>9380</v>
      </c>
      <c r="F544" s="48">
        <v>45386</v>
      </c>
      <c r="G544" t="s">
        <v>10</v>
      </c>
      <c r="H544">
        <v>38</v>
      </c>
      <c r="I544" t="str">
        <f>VLOOKUP(Продажи[[#This Row],[id товара]],Товары[],2,0)</f>
        <v>Рыба</v>
      </c>
      <c r="J544" s="17">
        <f>AVERAGEIF(Продажи[Категория],Продажи[[#This Row],[Категория]],Продажи[цена за шт в рублях])</f>
        <v>258.5128205128205</v>
      </c>
      <c r="K544" s="16">
        <f>Продажи[[#This Row],[цена за шт в рублях]]/Продажи[[#This Row],[Средняя цена в категории за шт]]-1</f>
        <v>0.81422336837928988</v>
      </c>
      <c r="L544" t="str">
        <f>VLOOKUP(Продажи[[#This Row],[id товара]],Товары[],3,0)</f>
        <v>Русское море</v>
      </c>
      <c r="M544" s="32">
        <f>AVERAGEIFS(Продажи[цена за шт в рублях],Продажи[Категория],Продажи[[#This Row],[Категория]],Продажи[Поставщик],Продажи[[#This Row],[Поставщик]])</f>
        <v>292.66666666666669</v>
      </c>
      <c r="N544" s="16">
        <f>Продажи[[#This Row],[цена за шт в рублях]]/Продажи[[#This Row],[Средняя цена в категории за шт по поставщику]]-1</f>
        <v>0.60250569476081983</v>
      </c>
      <c r="O544" s="48">
        <f>VLOOKUP(Продажи[[#This Row],[id клиента]],клиенты!$A$2:$E$435,5,0)</f>
        <v>44819</v>
      </c>
      <c r="P544">
        <f>Продажи[[#This Row],[дата создания чека]]-Продажи[[#This Row],[Дата регистрации]]</f>
        <v>567</v>
      </c>
      <c r="Q544" t="str">
        <f>VLOOKUP(Продажи[[#This Row],[id клиента]],клиенты!$A$2:$G$435,7,0)</f>
        <v>Таджикистан</v>
      </c>
      <c r="R544">
        <f>IF(COUNTIF($H$2:H544, H544)=1, 1, 0)</f>
        <v>0</v>
      </c>
      <c r="S544" t="str">
        <f>VLOOKUP(Продажи[[#This Row],[id клиента]],клиенты!$A$2:$D$435,4,0)</f>
        <v>нет</v>
      </c>
      <c r="T544" s="54">
        <f>VLOOKUP(Продажи[[#This Row],[id клиента]],клиенты!$A$2:$I$435,9,0)</f>
        <v>18.628336755646817</v>
      </c>
    </row>
    <row r="545" spans="1:20" x14ac:dyDescent="0.25">
      <c r="A545">
        <v>544</v>
      </c>
      <c r="B545">
        <v>428</v>
      </c>
      <c r="C545">
        <v>263</v>
      </c>
      <c r="D545">
        <v>4</v>
      </c>
      <c r="E545" s="35">
        <v>5260</v>
      </c>
      <c r="F545" s="48">
        <v>45385</v>
      </c>
      <c r="G545" t="s">
        <v>22</v>
      </c>
      <c r="H545">
        <v>136</v>
      </c>
      <c r="I545" t="str">
        <f>VLOOKUP(Продажи[[#This Row],[id товара]],Товары[],2,0)</f>
        <v>Конфеты</v>
      </c>
      <c r="J545" s="17">
        <f>AVERAGEIF(Продажи[Категория],Продажи[[#This Row],[Категория]],Продажи[цена за шт в рублях])</f>
        <v>267.85483870967744</v>
      </c>
      <c r="K545" s="16">
        <f>Продажи[[#This Row],[цена за шт в рублях]]/Продажи[[#This Row],[Средняя цена в категории за шт]]-1</f>
        <v>-1.8124887095803066E-2</v>
      </c>
      <c r="L545" t="str">
        <f>VLOOKUP(Продажи[[#This Row],[id товара]],Товары[],3,0)</f>
        <v>Бабаевский</v>
      </c>
      <c r="M545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545" s="16">
        <f>Продажи[[#This Row],[цена за шт в рублях]]/Продажи[[#This Row],[Средняя цена в категории за шт по поставщику]]-1</f>
        <v>5.0910167233979564E-2</v>
      </c>
      <c r="O545" s="48">
        <f>VLOOKUP(Продажи[[#This Row],[id клиента]],клиенты!$A$2:$E$435,5,0)</f>
        <v>44860</v>
      </c>
      <c r="P545">
        <f>Продажи[[#This Row],[дата создания чека]]-Продажи[[#This Row],[Дата регистрации]]</f>
        <v>525</v>
      </c>
      <c r="Q545" t="str">
        <f>VLOOKUP(Продажи[[#This Row],[id клиента]],клиенты!$A$2:$G$435,7,0)</f>
        <v>Украина</v>
      </c>
      <c r="R545">
        <f>IF(COUNTIF($H$2:H545, H545)=1, 1, 0)</f>
        <v>0</v>
      </c>
      <c r="S545" t="str">
        <f>VLOOKUP(Продажи[[#This Row],[id клиента]],клиенты!$A$2:$D$435,4,0)</f>
        <v>да</v>
      </c>
      <c r="T545" s="54">
        <f>VLOOKUP(Продажи[[#This Row],[id клиента]],клиенты!$A$2:$I$435,9,0)</f>
        <v>17.248459958932237</v>
      </c>
    </row>
    <row r="546" spans="1:20" x14ac:dyDescent="0.25">
      <c r="A546">
        <v>545</v>
      </c>
      <c r="B546">
        <v>91</v>
      </c>
      <c r="C546">
        <v>335</v>
      </c>
      <c r="D546">
        <v>2</v>
      </c>
      <c r="E546" s="35">
        <v>3350</v>
      </c>
      <c r="F546" s="48">
        <v>45186</v>
      </c>
      <c r="G546" t="s">
        <v>23</v>
      </c>
      <c r="H546">
        <v>310</v>
      </c>
      <c r="I546" t="str">
        <f>VLOOKUP(Продажи[[#This Row],[id товара]],Товары[],2,0)</f>
        <v>Сыр</v>
      </c>
      <c r="J546" s="17">
        <f>AVERAGEIF(Продажи[Категория],Продажи[[#This Row],[Категория]],Продажи[цена за шт в рублях])</f>
        <v>262.63492063492066</v>
      </c>
      <c r="K546" s="16">
        <f>Продажи[[#This Row],[цена за шт в рублях]]/Продажи[[#This Row],[Средняя цена в категории за шт]]-1</f>
        <v>0.27553487247673147</v>
      </c>
      <c r="L546" t="str">
        <f>VLOOKUP(Продажи[[#This Row],[id товара]],Товары[],3,0)</f>
        <v>Сырная долина</v>
      </c>
      <c r="M546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546" s="16">
        <f>Продажи[[#This Row],[цена за шт в рублях]]/Продажи[[#This Row],[Средняя цена в категории за шт по поставщику]]-1</f>
        <v>0.23616236162361615</v>
      </c>
      <c r="O546" s="48">
        <f>VLOOKUP(Продажи[[#This Row],[id клиента]],клиенты!$A$2:$E$435,5,0)</f>
        <v>44807</v>
      </c>
      <c r="P546">
        <f>Продажи[[#This Row],[дата создания чека]]-Продажи[[#This Row],[Дата регистрации]]</f>
        <v>379</v>
      </c>
      <c r="Q546" t="str">
        <f>VLOOKUP(Продажи[[#This Row],[id клиента]],клиенты!$A$2:$G$435,7,0)</f>
        <v>Таджикистан</v>
      </c>
      <c r="R546">
        <f>IF(COUNTIF($H$2:H546, H546)=1, 1, 0)</f>
        <v>0</v>
      </c>
      <c r="S546" t="str">
        <f>VLOOKUP(Продажи[[#This Row],[id клиента]],клиенты!$A$2:$D$435,4,0)</f>
        <v>нет</v>
      </c>
      <c r="T546" s="54">
        <f>VLOOKUP(Продажи[[#This Row],[id клиента]],клиенты!$A$2:$I$435,9,0)</f>
        <v>15.112936344969199</v>
      </c>
    </row>
    <row r="547" spans="1:20" x14ac:dyDescent="0.25">
      <c r="A547">
        <v>546</v>
      </c>
      <c r="B547">
        <v>122</v>
      </c>
      <c r="C547">
        <v>309</v>
      </c>
      <c r="D547">
        <v>3</v>
      </c>
      <c r="E547" s="35">
        <v>4635</v>
      </c>
      <c r="F547" s="48">
        <v>45073</v>
      </c>
      <c r="G547" t="s">
        <v>19</v>
      </c>
      <c r="H547">
        <v>263</v>
      </c>
      <c r="I547" t="str">
        <f>VLOOKUP(Продажи[[#This Row],[id товара]],Товары[],2,0)</f>
        <v>Фрукты</v>
      </c>
      <c r="J547" s="17">
        <f>AVERAGEIF(Продажи[Категория],Продажи[[#This Row],[Категория]],Продажи[цена за шт в рублях])</f>
        <v>274.16279069767444</v>
      </c>
      <c r="K547" s="16">
        <f>Продажи[[#This Row],[цена за шт в рублях]]/Продажи[[#This Row],[Средняя цена в категории за шт]]-1</f>
        <v>0.12706760539485962</v>
      </c>
      <c r="L547" t="str">
        <f>VLOOKUP(Продажи[[#This Row],[id товара]],Товары[],3,0)</f>
        <v>Фрукты-Ягоды</v>
      </c>
      <c r="M547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547" s="16">
        <f>Продажи[[#This Row],[цена за шт в рублях]]/Продажи[[#This Row],[Средняя цена в категории за шт по поставщику]]-1</f>
        <v>0.10095011876484561</v>
      </c>
      <c r="O547" s="48">
        <f>VLOOKUP(Продажи[[#This Row],[id клиента]],клиенты!$A$2:$E$435,5,0)</f>
        <v>44612</v>
      </c>
      <c r="P547">
        <f>Продажи[[#This Row],[дата создания чека]]-Продажи[[#This Row],[Дата регистрации]]</f>
        <v>461</v>
      </c>
      <c r="Q547" t="str">
        <f>VLOOKUP(Продажи[[#This Row],[id клиента]],клиенты!$A$2:$G$435,7,0)</f>
        <v>Таджикистан</v>
      </c>
      <c r="R547">
        <f>IF(COUNTIF($H$2:H547, H547)=1, 1, 0)</f>
        <v>0</v>
      </c>
      <c r="S547" t="str">
        <f>VLOOKUP(Продажи[[#This Row],[id клиента]],клиенты!$A$2:$D$435,4,0)</f>
        <v>да</v>
      </c>
      <c r="T547" s="54">
        <f>VLOOKUP(Продажи[[#This Row],[id клиента]],клиенты!$A$2:$I$435,9,0)</f>
        <v>24.476386036960985</v>
      </c>
    </row>
    <row r="548" spans="1:20" x14ac:dyDescent="0.25">
      <c r="A548">
        <v>547</v>
      </c>
      <c r="B548">
        <v>444</v>
      </c>
      <c r="C548">
        <v>59</v>
      </c>
      <c r="D548">
        <v>2</v>
      </c>
      <c r="E548" s="35">
        <v>590</v>
      </c>
      <c r="F548" s="48">
        <v>45263</v>
      </c>
      <c r="G548" t="s">
        <v>27</v>
      </c>
      <c r="H548">
        <v>381</v>
      </c>
      <c r="I548" t="str">
        <f>VLOOKUP(Продажи[[#This Row],[id товара]],Товары[],2,0)</f>
        <v>Йогурт</v>
      </c>
      <c r="J548" s="17">
        <f>AVERAGEIF(Продажи[Категория],Продажи[[#This Row],[Категория]],Продажи[цена за шт в рублях])</f>
        <v>263.25423728813558</v>
      </c>
      <c r="K548" s="16">
        <f>Продажи[[#This Row],[цена за шт в рублях]]/Продажи[[#This Row],[Средняя цена в категории за шт]]-1</f>
        <v>-0.77588204996137011</v>
      </c>
      <c r="L548" t="str">
        <f>VLOOKUP(Продажи[[#This Row],[id товара]],Товары[],3,0)</f>
        <v>Эрманн</v>
      </c>
      <c r="M548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548" s="16">
        <f>Продажи[[#This Row],[цена за шт в рублях]]/Продажи[[#This Row],[Средняя цена в категории за шт по поставщику]]-1</f>
        <v>-0.76257545271629779</v>
      </c>
      <c r="O548" s="48">
        <f>VLOOKUP(Продажи[[#This Row],[id клиента]],клиенты!$A$2:$E$435,5,0)</f>
        <v>44714</v>
      </c>
      <c r="P548">
        <f>Продажи[[#This Row],[дата создания чека]]-Продажи[[#This Row],[Дата регистрации]]</f>
        <v>549</v>
      </c>
      <c r="Q548" t="str">
        <f>VLOOKUP(Продажи[[#This Row],[id клиента]],клиенты!$A$2:$G$435,7,0)</f>
        <v>Узбекистан</v>
      </c>
      <c r="R548">
        <f>IF(COUNTIF($H$2:H548, H548)=1, 1, 0)</f>
        <v>0</v>
      </c>
      <c r="S548" t="str">
        <f>VLOOKUP(Продажи[[#This Row],[id клиента]],клиенты!$A$2:$D$435,4,0)</f>
        <v>нет</v>
      </c>
      <c r="T548" s="54">
        <f>VLOOKUP(Продажи[[#This Row],[id клиента]],клиенты!$A$2:$I$435,9,0)</f>
        <v>21.848049281314168</v>
      </c>
    </row>
    <row r="549" spans="1:20" x14ac:dyDescent="0.25">
      <c r="A549">
        <v>548</v>
      </c>
      <c r="B549">
        <v>334</v>
      </c>
      <c r="C549">
        <v>459</v>
      </c>
      <c r="D549">
        <v>5</v>
      </c>
      <c r="E549" s="35">
        <v>11475</v>
      </c>
      <c r="F549" s="48">
        <v>45146</v>
      </c>
      <c r="G549" t="s">
        <v>8</v>
      </c>
      <c r="H549">
        <v>167</v>
      </c>
      <c r="I549" t="str">
        <f>VLOOKUP(Продажи[[#This Row],[id товара]],Товары[],2,0)</f>
        <v>Молоко</v>
      </c>
      <c r="J549" s="17">
        <f>AVERAGEIF(Продажи[Категория],Продажи[[#This Row],[Категория]],Продажи[цена за шт в рублях])</f>
        <v>294.95238095238096</v>
      </c>
      <c r="K549" s="16">
        <f>Продажи[[#This Row],[цена за шт в рублях]]/Продажи[[#This Row],[Средняя цена в категории за шт]]-1</f>
        <v>0.55618340329350979</v>
      </c>
      <c r="L549" t="str">
        <f>VLOOKUP(Продажи[[#This Row],[id товара]],Товары[],3,0)</f>
        <v>Домик в деревне</v>
      </c>
      <c r="M549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549" s="16">
        <f>Продажи[[#This Row],[цена за шт в рублях]]/Продажи[[#This Row],[Средняя цена в категории за шт по поставщику]]-1</f>
        <v>0.67044076021027088</v>
      </c>
      <c r="O549" s="48">
        <f>VLOOKUP(Продажи[[#This Row],[id клиента]],клиенты!$A$2:$E$435,5,0)</f>
        <v>44563</v>
      </c>
      <c r="P549">
        <f>Продажи[[#This Row],[дата создания чека]]-Продажи[[#This Row],[Дата регистрации]]</f>
        <v>583</v>
      </c>
      <c r="Q549" t="str">
        <f>VLOOKUP(Продажи[[#This Row],[id клиента]],клиенты!$A$2:$G$435,7,0)</f>
        <v>Узбекистан</v>
      </c>
      <c r="R549">
        <f>IF(COUNTIF($H$2:H549, H549)=1, 1, 0)</f>
        <v>0</v>
      </c>
      <c r="S549" t="str">
        <f>VLOOKUP(Продажи[[#This Row],[id клиента]],клиенты!$A$2:$D$435,4,0)</f>
        <v>да</v>
      </c>
      <c r="T549" s="54">
        <f>VLOOKUP(Продажи[[#This Row],[id клиента]],клиенты!$A$2:$I$435,9,0)</f>
        <v>26.119096509240247</v>
      </c>
    </row>
    <row r="550" spans="1:20" x14ac:dyDescent="0.25">
      <c r="A550">
        <v>549</v>
      </c>
      <c r="B550">
        <v>431</v>
      </c>
      <c r="C550">
        <v>149</v>
      </c>
      <c r="D550">
        <v>5</v>
      </c>
      <c r="E550" s="35">
        <v>3725</v>
      </c>
      <c r="F550" s="48">
        <v>45271</v>
      </c>
      <c r="G550" t="s">
        <v>23</v>
      </c>
      <c r="H550">
        <v>12</v>
      </c>
      <c r="I550" t="str">
        <f>VLOOKUP(Продажи[[#This Row],[id товара]],Товары[],2,0)</f>
        <v>Овощи</v>
      </c>
      <c r="J550" s="17">
        <f>AVERAGEIF(Продажи[Категория],Продажи[[#This Row],[Категория]],Продажи[цена за шт в рублях])</f>
        <v>250.48780487804879</v>
      </c>
      <c r="K550" s="16">
        <f>Продажи[[#This Row],[цена за шт в рублях]]/Продажи[[#This Row],[Средняя цена в категории за шт]]-1</f>
        <v>-0.40516066212268742</v>
      </c>
      <c r="L550" t="str">
        <f>VLOOKUP(Продажи[[#This Row],[id товара]],Товары[],3,0)</f>
        <v>Гавриш</v>
      </c>
      <c r="M550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550" s="16">
        <f>Продажи[[#This Row],[цена за шт в рублях]]/Продажи[[#This Row],[Средняя цена в категории за шт по поставщику]]-1</f>
        <v>-0.39838492597577391</v>
      </c>
      <c r="O550" s="48">
        <f>VLOOKUP(Продажи[[#This Row],[id клиента]],клиенты!$A$2:$E$435,5,0)</f>
        <v>44842</v>
      </c>
      <c r="P550">
        <f>Продажи[[#This Row],[дата создания чека]]-Продажи[[#This Row],[Дата регистрации]]</f>
        <v>429</v>
      </c>
      <c r="Q550" t="str">
        <f>VLOOKUP(Продажи[[#This Row],[id клиента]],клиенты!$A$2:$G$435,7,0)</f>
        <v>Беларусь</v>
      </c>
      <c r="R550">
        <f>IF(COUNTIF($H$2:H550, H550)=1, 1, 0)</f>
        <v>0</v>
      </c>
      <c r="S550" t="str">
        <f>VLOOKUP(Продажи[[#This Row],[id клиента]],клиенты!$A$2:$D$435,4,0)</f>
        <v>да</v>
      </c>
      <c r="T550" s="54">
        <f>VLOOKUP(Продажи[[#This Row],[id клиента]],клиенты!$A$2:$I$435,9,0)</f>
        <v>17.117043121149898</v>
      </c>
    </row>
    <row r="551" spans="1:20" x14ac:dyDescent="0.25">
      <c r="A551">
        <v>550</v>
      </c>
      <c r="B551">
        <v>62</v>
      </c>
      <c r="C551">
        <v>88</v>
      </c>
      <c r="D551">
        <v>1</v>
      </c>
      <c r="E551" s="35">
        <v>440</v>
      </c>
      <c r="F551" s="48">
        <v>44950</v>
      </c>
      <c r="G551" t="s">
        <v>14</v>
      </c>
      <c r="H551">
        <v>44</v>
      </c>
      <c r="I551" t="str">
        <f>VLOOKUP(Продажи[[#This Row],[id товара]],Товары[],2,0)</f>
        <v>Рыба</v>
      </c>
      <c r="J551" s="17">
        <f>AVERAGEIF(Продажи[Категория],Продажи[[#This Row],[Категория]],Продажи[цена за шт в рублях])</f>
        <v>258.5128205128205</v>
      </c>
      <c r="K551" s="16">
        <f>Продажи[[#This Row],[цена за шт в рублях]]/Продажи[[#This Row],[Средняя цена в категории за шт]]-1</f>
        <v>-0.65959135092243604</v>
      </c>
      <c r="L551" t="str">
        <f>VLOOKUP(Продажи[[#This Row],[id товара]],Товары[],3,0)</f>
        <v>Балтийский берег</v>
      </c>
      <c r="M551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551" s="16">
        <f>Продажи[[#This Row],[цена за шт в рублях]]/Продажи[[#This Row],[Средняя цена в категории за шт по поставщику]]-1</f>
        <v>-0.69643541586814872</v>
      </c>
      <c r="O551" s="48">
        <f>VLOOKUP(Продажи[[#This Row],[id клиента]],клиенты!$A$2:$E$435,5,0)</f>
        <v>44701</v>
      </c>
      <c r="P551">
        <f>Продажи[[#This Row],[дата создания чека]]-Продажи[[#This Row],[Дата регистрации]]</f>
        <v>249</v>
      </c>
      <c r="Q551" t="str">
        <f>VLOOKUP(Продажи[[#This Row],[id клиента]],клиенты!$A$2:$G$435,7,0)</f>
        <v>Беларусь</v>
      </c>
      <c r="R551">
        <f>IF(COUNTIF($H$2:H551, H551)=1, 1, 0)</f>
        <v>0</v>
      </c>
      <c r="S551" t="str">
        <f>VLOOKUP(Продажи[[#This Row],[id клиента]],клиенты!$A$2:$D$435,4,0)</f>
        <v>нет</v>
      </c>
      <c r="T551" s="54">
        <f>VLOOKUP(Продажи[[#This Row],[id клиента]],клиенты!$A$2:$I$435,9,0)</f>
        <v>23.392197125256672</v>
      </c>
    </row>
    <row r="552" spans="1:20" x14ac:dyDescent="0.25">
      <c r="A552">
        <v>551</v>
      </c>
      <c r="B552">
        <v>458</v>
      </c>
      <c r="C552">
        <v>79</v>
      </c>
      <c r="D552">
        <v>2</v>
      </c>
      <c r="E552" s="35">
        <v>790</v>
      </c>
      <c r="F552" s="48">
        <v>45023</v>
      </c>
      <c r="G552" t="s">
        <v>22</v>
      </c>
      <c r="H552">
        <v>133</v>
      </c>
      <c r="I552" t="str">
        <f>VLOOKUP(Продажи[[#This Row],[id товара]],Товары[],2,0)</f>
        <v>Макароны</v>
      </c>
      <c r="J552" s="17">
        <f>AVERAGEIF(Продажи[Категория],Продажи[[#This Row],[Категория]],Продажи[цена за шт в рублях])</f>
        <v>265.47674418604652</v>
      </c>
      <c r="K552" s="16">
        <f>Продажи[[#This Row],[цена за шт в рублях]]/Продажи[[#This Row],[Средняя цена в категории за шт]]-1</f>
        <v>-0.70242214532871972</v>
      </c>
      <c r="L552" t="str">
        <f>VLOOKUP(Продажи[[#This Row],[id товара]],Товары[],3,0)</f>
        <v>Борилла</v>
      </c>
      <c r="M552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552" s="16">
        <f>Продажи[[#This Row],[цена за шт в рублях]]/Продажи[[#This Row],[Средняя цена в категории за шт по поставщику]]-1</f>
        <v>-0.66564506713368354</v>
      </c>
      <c r="O552" s="48">
        <f>VLOOKUP(Продажи[[#This Row],[id клиента]],клиенты!$A$2:$E$435,5,0)</f>
        <v>44588</v>
      </c>
      <c r="P552">
        <f>Продажи[[#This Row],[дата создания чека]]-Продажи[[#This Row],[Дата регистрации]]</f>
        <v>435</v>
      </c>
      <c r="Q552" t="str">
        <f>VLOOKUP(Продажи[[#This Row],[id клиента]],клиенты!$A$2:$G$435,7,0)</f>
        <v>Узбекистан</v>
      </c>
      <c r="R552">
        <f>IF(COUNTIF($H$2:H552, H552)=1, 1, 0)</f>
        <v>1</v>
      </c>
      <c r="S552" t="str">
        <f>VLOOKUP(Продажи[[#This Row],[id клиента]],клиенты!$A$2:$D$435,4,0)</f>
        <v>нет</v>
      </c>
      <c r="T552" s="54">
        <f>VLOOKUP(Продажи[[#This Row],[id клиента]],клиенты!$A$2:$I$435,9,0)</f>
        <v>14.291581108829568</v>
      </c>
    </row>
    <row r="553" spans="1:20" x14ac:dyDescent="0.25">
      <c r="A553">
        <v>552</v>
      </c>
      <c r="B553">
        <v>119</v>
      </c>
      <c r="C553">
        <v>369</v>
      </c>
      <c r="D553">
        <v>2</v>
      </c>
      <c r="E553" s="35">
        <v>3690</v>
      </c>
      <c r="F553" s="48">
        <v>45105</v>
      </c>
      <c r="G553" t="s">
        <v>20</v>
      </c>
      <c r="H553">
        <v>21</v>
      </c>
      <c r="I553" t="str">
        <f>VLOOKUP(Продажи[[#This Row],[id товара]],Товары[],2,0)</f>
        <v>Печенье</v>
      </c>
      <c r="J553" s="17">
        <f>AVERAGEIF(Продажи[Категория],Продажи[[#This Row],[Категория]],Продажи[цена за шт в рублях])</f>
        <v>283.468085106383</v>
      </c>
      <c r="K553" s="16">
        <f>Продажи[[#This Row],[цена за шт в рублях]]/Продажи[[#This Row],[Средняя цена в категории за шт]]-1</f>
        <v>0.30173384372888989</v>
      </c>
      <c r="L553" t="str">
        <f>VLOOKUP(Продажи[[#This Row],[id товара]],Товары[],3,0)</f>
        <v>КДВ</v>
      </c>
      <c r="M553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553" s="16">
        <f>Продажи[[#This Row],[цена за шт в рублях]]/Продажи[[#This Row],[Средняя цена в категории за шт по поставщику]]-1</f>
        <v>0.14214285714285713</v>
      </c>
      <c r="O553" s="48">
        <f>VLOOKUP(Продажи[[#This Row],[id клиента]],клиенты!$A$2:$E$435,5,0)</f>
        <v>44881</v>
      </c>
      <c r="P553">
        <f>Продажи[[#This Row],[дата создания чека]]-Продажи[[#This Row],[Дата регистрации]]</f>
        <v>224</v>
      </c>
      <c r="Q553" t="str">
        <f>VLOOKUP(Продажи[[#This Row],[id клиента]],клиенты!$A$2:$G$435,7,0)</f>
        <v>Беларусь</v>
      </c>
      <c r="R553">
        <f>IF(COUNTIF($H$2:H553, H553)=1, 1, 0)</f>
        <v>0</v>
      </c>
      <c r="S553" t="str">
        <f>VLOOKUP(Продажи[[#This Row],[id клиента]],клиенты!$A$2:$D$435,4,0)</f>
        <v>да</v>
      </c>
      <c r="T553" s="54">
        <f>VLOOKUP(Продажи[[#This Row],[id клиента]],клиенты!$A$2:$I$435,9,0)</f>
        <v>7.3593429158110881</v>
      </c>
    </row>
    <row r="554" spans="1:20" x14ac:dyDescent="0.25">
      <c r="A554">
        <v>553</v>
      </c>
      <c r="B554">
        <v>388</v>
      </c>
      <c r="C554">
        <v>107</v>
      </c>
      <c r="D554">
        <v>1</v>
      </c>
      <c r="E554" s="35">
        <v>535</v>
      </c>
      <c r="F554" s="48">
        <v>45137</v>
      </c>
      <c r="G554" t="s">
        <v>12</v>
      </c>
      <c r="H554">
        <v>179</v>
      </c>
      <c r="I554" t="str">
        <f>VLOOKUP(Продажи[[#This Row],[id товара]],Товары[],2,0)</f>
        <v>Рыба</v>
      </c>
      <c r="J554" s="17">
        <f>AVERAGEIF(Продажи[Категория],Продажи[[#This Row],[Категория]],Продажи[цена за шт в рублях])</f>
        <v>258.5128205128205</v>
      </c>
      <c r="K554" s="16">
        <f>Продажи[[#This Row],[цена за шт в рублях]]/Продажи[[#This Row],[Средняя цена в категории за шт]]-1</f>
        <v>-0.5860940289625074</v>
      </c>
      <c r="L554" t="str">
        <f>VLOOKUP(Продажи[[#This Row],[id товара]],Товары[],3,0)</f>
        <v>Меридиан</v>
      </c>
      <c r="M554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554" s="16">
        <f>Продажи[[#This Row],[цена за шт в рублях]]/Продажи[[#This Row],[Средняя цена в категории за шт по поставщику]]-1</f>
        <v>-0.58948318663958466</v>
      </c>
      <c r="O554" s="48">
        <f>VLOOKUP(Продажи[[#This Row],[id клиента]],клиенты!$A$2:$E$435,5,0)</f>
        <v>44833</v>
      </c>
      <c r="P554">
        <f>Продажи[[#This Row],[дата создания чека]]-Продажи[[#This Row],[Дата регистрации]]</f>
        <v>304</v>
      </c>
      <c r="Q554" t="str">
        <f>VLOOKUP(Продажи[[#This Row],[id клиента]],клиенты!$A$2:$G$435,7,0)</f>
        <v>Россия</v>
      </c>
      <c r="R554">
        <f>IF(COUNTIF($H$2:H554, H554)=1, 1, 0)</f>
        <v>0</v>
      </c>
      <c r="S554" t="str">
        <f>VLOOKUP(Продажи[[#This Row],[id клиента]],клиенты!$A$2:$D$435,4,0)</f>
        <v>да</v>
      </c>
      <c r="T554" s="54">
        <f>VLOOKUP(Продажи[[#This Row],[id клиента]],клиенты!$A$2:$I$435,9,0)</f>
        <v>18.004106776180699</v>
      </c>
    </row>
    <row r="555" spans="1:20" x14ac:dyDescent="0.25">
      <c r="A555">
        <v>554</v>
      </c>
      <c r="B555">
        <v>303</v>
      </c>
      <c r="C555">
        <v>258</v>
      </c>
      <c r="D555">
        <v>4</v>
      </c>
      <c r="E555" s="35">
        <v>5160</v>
      </c>
      <c r="F555" s="48">
        <v>45076</v>
      </c>
      <c r="G555" t="s">
        <v>18</v>
      </c>
      <c r="H555">
        <v>300</v>
      </c>
      <c r="I555" t="str">
        <f>VLOOKUP(Продажи[[#This Row],[id товара]],Товары[],2,0)</f>
        <v>Фрукты</v>
      </c>
      <c r="J555" s="17">
        <f>AVERAGEIF(Продажи[Категория],Продажи[[#This Row],[Категория]],Продажи[цена за шт в рублях])</f>
        <v>274.16279069767444</v>
      </c>
      <c r="K555" s="16">
        <f>Продажи[[#This Row],[цена за шт в рублях]]/Продажи[[#This Row],[Средняя цена в категории за шт]]-1</f>
        <v>-5.89532615149716E-2</v>
      </c>
      <c r="L555" t="str">
        <f>VLOOKUP(Продажи[[#This Row],[id товара]],Товары[],3,0)</f>
        <v>Фруктовый Рай</v>
      </c>
      <c r="M555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555" s="16">
        <f>Продажи[[#This Row],[цена за шт в рублях]]/Продажи[[#This Row],[Средняя цена в категории за шт по поставщику]]-1</f>
        <v>-1.1911852293031711E-3</v>
      </c>
      <c r="O555" s="48">
        <f>VLOOKUP(Продажи[[#This Row],[id клиента]],клиенты!$A$2:$E$435,5,0)</f>
        <v>44824</v>
      </c>
      <c r="P555">
        <f>Продажи[[#This Row],[дата создания чека]]-Продажи[[#This Row],[Дата регистрации]]</f>
        <v>252</v>
      </c>
      <c r="Q555" t="str">
        <f>VLOOKUP(Продажи[[#This Row],[id клиента]],клиенты!$A$2:$G$435,7,0)</f>
        <v>Украина</v>
      </c>
      <c r="R555">
        <f>IF(COUNTIF($H$2:H555, H555)=1, 1, 0)</f>
        <v>1</v>
      </c>
      <c r="S555" t="str">
        <f>VLOOKUP(Продажи[[#This Row],[id клиента]],клиенты!$A$2:$D$435,4,0)</f>
        <v>да</v>
      </c>
      <c r="T555" s="54">
        <f>VLOOKUP(Продажи[[#This Row],[id клиента]],клиенты!$A$2:$I$435,9,0)</f>
        <v>8.2792607802874745</v>
      </c>
    </row>
    <row r="556" spans="1:20" x14ac:dyDescent="0.25">
      <c r="A556">
        <v>555</v>
      </c>
      <c r="B556">
        <v>160</v>
      </c>
      <c r="C556">
        <v>400</v>
      </c>
      <c r="D556">
        <v>3</v>
      </c>
      <c r="E556" s="35">
        <v>6000</v>
      </c>
      <c r="F556" s="48">
        <v>45181</v>
      </c>
      <c r="G556" t="s">
        <v>27</v>
      </c>
      <c r="H556">
        <v>134</v>
      </c>
      <c r="I556" t="str">
        <f>VLOOKUP(Продажи[[#This Row],[id товара]],Товары[],2,0)</f>
        <v>Крупа</v>
      </c>
      <c r="J556" s="17">
        <f>AVERAGEIF(Продажи[Категория],Продажи[[#This Row],[Категория]],Продажи[цена за шт в рублях])</f>
        <v>255.11627906976744</v>
      </c>
      <c r="K556" s="16">
        <f>Продажи[[#This Row],[цена за шт в рублях]]/Продажи[[#This Row],[Средняя цена в категории за шт]]-1</f>
        <v>0.56791248860528709</v>
      </c>
      <c r="L556" t="str">
        <f>VLOOKUP(Продажи[[#This Row],[id товара]],Товары[],3,0)</f>
        <v>Мистраль</v>
      </c>
      <c r="M556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556" s="16">
        <f>Продажи[[#This Row],[цена за шт в рублях]]/Продажи[[#This Row],[Средняя цена в категории за шт по поставщику]]-1</f>
        <v>0.59803318992009835</v>
      </c>
      <c r="O556" s="48">
        <f>VLOOKUP(Продажи[[#This Row],[id клиента]],клиенты!$A$2:$E$435,5,0)</f>
        <v>44753</v>
      </c>
      <c r="P556">
        <f>Продажи[[#This Row],[дата создания чека]]-Продажи[[#This Row],[Дата регистрации]]</f>
        <v>428</v>
      </c>
      <c r="Q556" t="str">
        <f>VLOOKUP(Продажи[[#This Row],[id клиента]],клиенты!$A$2:$G$435,7,0)</f>
        <v>Россия</v>
      </c>
      <c r="R556">
        <f>IF(COUNTIF($H$2:H556, H556)=1, 1, 0)</f>
        <v>0</v>
      </c>
      <c r="S556" t="str">
        <f>VLOOKUP(Продажи[[#This Row],[id клиента]],клиенты!$A$2:$D$435,4,0)</f>
        <v>да</v>
      </c>
      <c r="T556" s="54">
        <f>VLOOKUP(Продажи[[#This Row],[id клиента]],клиенты!$A$2:$I$435,9,0)</f>
        <v>20.336755646817249</v>
      </c>
    </row>
    <row r="557" spans="1:20" x14ac:dyDescent="0.25">
      <c r="A557">
        <v>556</v>
      </c>
      <c r="B557">
        <v>66</v>
      </c>
      <c r="C557">
        <v>230</v>
      </c>
      <c r="D557">
        <v>2</v>
      </c>
      <c r="E557" s="35">
        <v>2300</v>
      </c>
      <c r="F557" s="48">
        <v>45074</v>
      </c>
      <c r="G557" t="s">
        <v>21</v>
      </c>
      <c r="H557">
        <v>391</v>
      </c>
      <c r="I557" t="str">
        <f>VLOOKUP(Продажи[[#This Row],[id товара]],Товары[],2,0)</f>
        <v>Кофе</v>
      </c>
      <c r="J557" s="17">
        <f>AVERAGEIF(Продажи[Категория],Продажи[[#This Row],[Категория]],Продажи[цена за шт в рублях])</f>
        <v>249.02380952380952</v>
      </c>
      <c r="K557" s="16">
        <f>Продажи[[#This Row],[цена за шт в рублях]]/Продажи[[#This Row],[Средняя цена в категории за шт]]-1</f>
        <v>-7.639353666698534E-2</v>
      </c>
      <c r="L557" t="str">
        <f>VLOOKUP(Продажи[[#This Row],[id товара]],Товары[],3,0)</f>
        <v>Черная Карта</v>
      </c>
      <c r="M557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557" s="16">
        <f>Продажи[[#This Row],[цена за шт в рублях]]/Продажи[[#This Row],[Средняя цена в категории за шт по поставщику]]-1</f>
        <v>3.5103510351035094E-2</v>
      </c>
      <c r="O557" s="48">
        <f>VLOOKUP(Продажи[[#This Row],[id клиента]],клиенты!$A$2:$E$435,5,0)</f>
        <v>44675</v>
      </c>
      <c r="P557">
        <f>Продажи[[#This Row],[дата создания чека]]-Продажи[[#This Row],[Дата регистрации]]</f>
        <v>399</v>
      </c>
      <c r="Q557" t="str">
        <f>VLOOKUP(Продажи[[#This Row],[id клиента]],клиенты!$A$2:$G$435,7,0)</f>
        <v>Таджикистан</v>
      </c>
      <c r="R557">
        <f>IF(COUNTIF($H$2:H557, H557)=1, 1, 0)</f>
        <v>0</v>
      </c>
      <c r="S557" t="str">
        <f>VLOOKUP(Продажи[[#This Row],[id клиента]],клиенты!$A$2:$D$435,4,0)</f>
        <v>да</v>
      </c>
      <c r="T557" s="54">
        <f>VLOOKUP(Продажи[[#This Row],[id клиента]],клиенты!$A$2:$I$435,9,0)</f>
        <v>13.207392197125257</v>
      </c>
    </row>
    <row r="558" spans="1:20" x14ac:dyDescent="0.25">
      <c r="A558">
        <v>557</v>
      </c>
      <c r="B558">
        <v>125</v>
      </c>
      <c r="C558">
        <v>187</v>
      </c>
      <c r="D558">
        <v>5</v>
      </c>
      <c r="E558" s="35">
        <v>4675</v>
      </c>
      <c r="F558" s="48">
        <v>45027</v>
      </c>
      <c r="G558" t="s">
        <v>23</v>
      </c>
      <c r="H558">
        <v>54</v>
      </c>
      <c r="I558" t="str">
        <f>VLOOKUP(Продажи[[#This Row],[id товара]],Товары[],2,0)</f>
        <v>Рис</v>
      </c>
      <c r="J558" s="17">
        <f>AVERAGEIF(Продажи[Категория],Продажи[[#This Row],[Категория]],Продажи[цена за шт в рублях])</f>
        <v>258.375</v>
      </c>
      <c r="K558" s="16">
        <f>Продажи[[#This Row],[цена за шт в рублях]]/Продажи[[#This Row],[Средняя цена в категории за шт]]-1</f>
        <v>-0.27624576681180457</v>
      </c>
      <c r="L558" t="str">
        <f>VLOOKUP(Продажи[[#This Row],[id товара]],Товары[],3,0)</f>
        <v>Националь</v>
      </c>
      <c r="M558" s="32">
        <f>AVERAGEIFS(Продажи[цена за шт в рублях],Продажи[Категория],Продажи[[#This Row],[Категория]],Продажи[Поставщик],Продажи[[#This Row],[Поставщик]])</f>
        <v>187</v>
      </c>
      <c r="N558" s="16">
        <f>Продажи[[#This Row],[цена за шт в рублях]]/Продажи[[#This Row],[Средняя цена в категории за шт по поставщику]]-1</f>
        <v>0</v>
      </c>
      <c r="O558" s="48">
        <f>VLOOKUP(Продажи[[#This Row],[id клиента]],клиенты!$A$2:$E$435,5,0)</f>
        <v>44847</v>
      </c>
      <c r="P558">
        <f>Продажи[[#This Row],[дата создания чека]]-Продажи[[#This Row],[Дата регистрации]]</f>
        <v>180</v>
      </c>
      <c r="Q558" t="str">
        <f>VLOOKUP(Продажи[[#This Row],[id клиента]],клиенты!$A$2:$G$435,7,0)</f>
        <v>Беларусь</v>
      </c>
      <c r="R558">
        <f>IF(COUNTIF($H$2:H558, H558)=1, 1, 0)</f>
        <v>1</v>
      </c>
      <c r="S558" t="str">
        <f>VLOOKUP(Продажи[[#This Row],[id клиента]],клиенты!$A$2:$D$435,4,0)</f>
        <v>нет</v>
      </c>
      <c r="T558" s="54">
        <f>VLOOKUP(Продажи[[#This Row],[id клиента]],клиенты!$A$2:$I$435,9,0)</f>
        <v>17.905544147843944</v>
      </c>
    </row>
    <row r="559" spans="1:20" x14ac:dyDescent="0.25">
      <c r="A559">
        <v>558</v>
      </c>
      <c r="B559">
        <v>280</v>
      </c>
      <c r="C559">
        <v>234</v>
      </c>
      <c r="D559">
        <v>2</v>
      </c>
      <c r="E559" s="35">
        <v>2340</v>
      </c>
      <c r="F559" s="48">
        <v>45088</v>
      </c>
      <c r="G559" t="s">
        <v>12</v>
      </c>
      <c r="H559">
        <v>19</v>
      </c>
      <c r="I559" t="str">
        <f>VLOOKUP(Продажи[[#This Row],[id товара]],Товары[],2,0)</f>
        <v>Сыр</v>
      </c>
      <c r="J559" s="17">
        <f>AVERAGEIF(Продажи[Категория],Продажи[[#This Row],[Категория]],Продажи[цена за шт в рублях])</f>
        <v>262.63492063492066</v>
      </c>
      <c r="K559" s="16">
        <f>Продажи[[#This Row],[цена за шт в рублях]]/Продажи[[#This Row],[Средняя цена в категории за шт]]-1</f>
        <v>-0.10902937265804435</v>
      </c>
      <c r="L559" t="str">
        <f>VLOOKUP(Продажи[[#This Row],[id товара]],Товары[],3,0)</f>
        <v>President</v>
      </c>
      <c r="M559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559" s="16">
        <f>Продажи[[#This Row],[цена за шт в рублях]]/Продажи[[#This Row],[Средняя цена в категории за шт по поставщику]]-1</f>
        <v>-1.9781242727484272E-2</v>
      </c>
      <c r="O559" s="48">
        <f>VLOOKUP(Продажи[[#This Row],[id клиента]],клиенты!$A$2:$E$435,5,0)</f>
        <v>44902</v>
      </c>
      <c r="P559">
        <f>Продажи[[#This Row],[дата создания чека]]-Продажи[[#This Row],[Дата регистрации]]</f>
        <v>186</v>
      </c>
      <c r="Q559" t="str">
        <f>VLOOKUP(Продажи[[#This Row],[id клиента]],клиенты!$A$2:$G$435,7,0)</f>
        <v>Россия</v>
      </c>
      <c r="R559">
        <f>IF(COUNTIF($H$2:H559, H559)=1, 1, 0)</f>
        <v>0</v>
      </c>
      <c r="S559" t="str">
        <f>VLOOKUP(Продажи[[#This Row],[id клиента]],клиенты!$A$2:$D$435,4,0)</f>
        <v>да</v>
      </c>
      <c r="T559" s="54">
        <f>VLOOKUP(Продажи[[#This Row],[id клиента]],клиенты!$A$2:$I$435,9,0)</f>
        <v>12.320328542094456</v>
      </c>
    </row>
    <row r="560" spans="1:20" x14ac:dyDescent="0.25">
      <c r="A560">
        <v>559</v>
      </c>
      <c r="B560">
        <v>309</v>
      </c>
      <c r="C560">
        <v>368</v>
      </c>
      <c r="D560">
        <v>3</v>
      </c>
      <c r="E560" s="35">
        <v>5520</v>
      </c>
      <c r="F560" s="48">
        <v>44960</v>
      </c>
      <c r="G560" t="s">
        <v>15</v>
      </c>
      <c r="H560">
        <v>340</v>
      </c>
      <c r="I560" t="str">
        <f>VLOOKUP(Продажи[[#This Row],[id товара]],Товары[],2,0)</f>
        <v>Конфеты</v>
      </c>
      <c r="J560" s="17">
        <f>AVERAGEIF(Продажи[Категория],Продажи[[#This Row],[Категория]],Продажи[цена за шт в рублях])</f>
        <v>267.85483870967744</v>
      </c>
      <c r="K560" s="16">
        <f>Продажи[[#This Row],[цена за шт в рублях]]/Продажи[[#This Row],[Средняя цена в категории за шт]]-1</f>
        <v>0.37387848497621468</v>
      </c>
      <c r="L560" t="str">
        <f>VLOOKUP(Продажи[[#This Row],[id товара]],Товары[],3,0)</f>
        <v>Рот Фронт</v>
      </c>
      <c r="M560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560" s="16">
        <f>Продажи[[#This Row],[цена за шт в рублях]]/Продажи[[#This Row],[Средняя цена в категории за шт по поставщику]]-1</f>
        <v>0.27672228646951913</v>
      </c>
      <c r="O560" s="48">
        <f>VLOOKUP(Продажи[[#This Row],[id клиента]],клиенты!$A$2:$E$435,5,0)</f>
        <v>44896</v>
      </c>
      <c r="P560">
        <f>Продажи[[#This Row],[дата создания чека]]-Продажи[[#This Row],[Дата регистрации]]</f>
        <v>64</v>
      </c>
      <c r="Q560" t="str">
        <f>VLOOKUP(Продажи[[#This Row],[id клиента]],клиенты!$A$2:$G$435,7,0)</f>
        <v>Россия</v>
      </c>
      <c r="R560">
        <f>IF(COUNTIF($H$2:H560, H560)=1, 1, 0)</f>
        <v>1</v>
      </c>
      <c r="S560" t="str">
        <f>VLOOKUP(Продажи[[#This Row],[id клиента]],клиенты!$A$2:$D$435,4,0)</f>
        <v>нет</v>
      </c>
      <c r="T560" s="54">
        <f>VLOOKUP(Продажи[[#This Row],[id клиента]],клиенты!$A$2:$I$435,9,0)</f>
        <v>11.696098562628336</v>
      </c>
    </row>
    <row r="561" spans="1:20" x14ac:dyDescent="0.25">
      <c r="A561">
        <v>560</v>
      </c>
      <c r="B561">
        <v>317</v>
      </c>
      <c r="C561">
        <v>267</v>
      </c>
      <c r="D561">
        <v>3</v>
      </c>
      <c r="E561" s="35">
        <v>4005</v>
      </c>
      <c r="F561" s="48">
        <v>45396</v>
      </c>
      <c r="G561" t="s">
        <v>26</v>
      </c>
      <c r="H561">
        <v>71</v>
      </c>
      <c r="I561" t="str">
        <f>VLOOKUP(Продажи[[#This Row],[id товара]],Товары[],2,0)</f>
        <v>Сок</v>
      </c>
      <c r="J561" s="17">
        <f>AVERAGEIF(Продажи[Категория],Продажи[[#This Row],[Категория]],Продажи[цена за шт в рублях])</f>
        <v>268.60344827586209</v>
      </c>
      <c r="K561" s="16">
        <f>Продажи[[#This Row],[цена за шт в рублях]]/Продажи[[#This Row],[Средняя цена в категории за шт]]-1</f>
        <v>-5.9695744271135442E-3</v>
      </c>
      <c r="L561" t="str">
        <f>VLOOKUP(Продажи[[#This Row],[id товара]],Товары[],3,0)</f>
        <v>Фруктовый сад</v>
      </c>
      <c r="M561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561" s="16">
        <f>Продажи[[#This Row],[цена за шт в рублях]]/Продажи[[#This Row],[Средняя цена в категории за шт по поставщику]]-1</f>
        <v>-5.3086556577634947E-2</v>
      </c>
      <c r="O561" s="48">
        <f>VLOOKUP(Продажи[[#This Row],[id клиента]],клиенты!$A$2:$E$435,5,0)</f>
        <v>44762</v>
      </c>
      <c r="P561">
        <f>Продажи[[#This Row],[дата создания чека]]-Продажи[[#This Row],[Дата регистрации]]</f>
        <v>634</v>
      </c>
      <c r="Q561" t="str">
        <f>VLOOKUP(Продажи[[#This Row],[id клиента]],клиенты!$A$2:$G$435,7,0)</f>
        <v>Украина</v>
      </c>
      <c r="R561">
        <f>IF(COUNTIF($H$2:H561, H561)=1, 1, 0)</f>
        <v>0</v>
      </c>
      <c r="S561" t="str">
        <f>VLOOKUP(Продажи[[#This Row],[id клиента]],клиенты!$A$2:$D$435,4,0)</f>
        <v>да</v>
      </c>
      <c r="T561" s="54">
        <f>VLOOKUP(Продажи[[#This Row],[id клиента]],клиенты!$A$2:$I$435,9,0)</f>
        <v>22.04517453798768</v>
      </c>
    </row>
    <row r="562" spans="1:20" x14ac:dyDescent="0.25">
      <c r="A562">
        <v>561</v>
      </c>
      <c r="B562">
        <v>260</v>
      </c>
      <c r="C562">
        <v>370</v>
      </c>
      <c r="D562">
        <v>5</v>
      </c>
      <c r="E562" s="35">
        <v>9250</v>
      </c>
      <c r="F562" s="48">
        <v>44958</v>
      </c>
      <c r="G562" t="s">
        <v>18</v>
      </c>
      <c r="H562">
        <v>102</v>
      </c>
      <c r="I562" t="str">
        <f>VLOOKUP(Продажи[[#This Row],[id товара]],Товары[],2,0)</f>
        <v>Соль</v>
      </c>
      <c r="J562" s="17">
        <f>AVERAGEIF(Продажи[Категория],Продажи[[#This Row],[Категория]],Продажи[цена за шт в рублях])</f>
        <v>264.8679245283019</v>
      </c>
      <c r="K562" s="16">
        <f>Продажи[[#This Row],[цена за шт в рублях]]/Продажи[[#This Row],[Средняя цена в категории за шт]]-1</f>
        <v>0.39692263855250021</v>
      </c>
      <c r="L562" t="str">
        <f>VLOOKUP(Продажи[[#This Row],[id товара]],Товары[],3,0)</f>
        <v>Экстра</v>
      </c>
      <c r="M562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562" s="16">
        <f>Продажи[[#This Row],[цена за шт в рублях]]/Продажи[[#This Row],[Средняя цена в категории за шт по поставщику]]-1</f>
        <v>0.15320067130184589</v>
      </c>
      <c r="O562" s="48">
        <f>VLOOKUP(Продажи[[#This Row],[id клиента]],клиенты!$A$2:$E$435,5,0)</f>
        <v>44723</v>
      </c>
      <c r="P562">
        <f>Продажи[[#This Row],[дата создания чека]]-Продажи[[#This Row],[Дата регистрации]]</f>
        <v>235</v>
      </c>
      <c r="Q562" t="str">
        <f>VLOOKUP(Продажи[[#This Row],[id клиента]],клиенты!$A$2:$G$435,7,0)</f>
        <v>Узбекистан</v>
      </c>
      <c r="R562">
        <f>IF(COUNTIF($H$2:H562, H562)=1, 1, 0)</f>
        <v>0</v>
      </c>
      <c r="S562" t="str">
        <f>VLOOKUP(Продажи[[#This Row],[id клиента]],клиенты!$A$2:$D$435,4,0)</f>
        <v>нет</v>
      </c>
      <c r="T562" s="54">
        <f>VLOOKUP(Продажи[[#This Row],[id клиента]],клиенты!$A$2:$I$435,9,0)</f>
        <v>22.143737166324435</v>
      </c>
    </row>
    <row r="563" spans="1:20" x14ac:dyDescent="0.25">
      <c r="A563">
        <v>562</v>
      </c>
      <c r="B563">
        <v>448</v>
      </c>
      <c r="C563">
        <v>170</v>
      </c>
      <c r="D563">
        <v>1</v>
      </c>
      <c r="E563" s="35">
        <v>850</v>
      </c>
      <c r="F563" s="48">
        <v>45075</v>
      </c>
      <c r="G563" t="s">
        <v>26</v>
      </c>
      <c r="H563">
        <v>43</v>
      </c>
      <c r="I563" t="str">
        <f>VLOOKUP(Продажи[[#This Row],[id товара]],Товары[],2,0)</f>
        <v>Йогурт</v>
      </c>
      <c r="J563" s="17">
        <f>AVERAGEIF(Продажи[Категория],Продажи[[#This Row],[Категория]],Продажи[цена за шт в рублях])</f>
        <v>263.25423728813558</v>
      </c>
      <c r="K563" s="16">
        <f>Продажи[[#This Row],[цена за шт в рублях]]/Продажи[[#This Row],[Средняя цена в категории за шт]]-1</f>
        <v>-0.35423641514293069</v>
      </c>
      <c r="L563" t="str">
        <f>VLOOKUP(Продажи[[#This Row],[id товара]],Товары[],3,0)</f>
        <v>Ростагроэкспорт</v>
      </c>
      <c r="M563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563" s="16">
        <f>Продажи[[#This Row],[цена за шт в рублях]]/Продажи[[#This Row],[Средняя цена в категории за шт по поставщику]]-1</f>
        <v>-0.34052960026986001</v>
      </c>
      <c r="O563" s="48">
        <f>VLOOKUP(Продажи[[#This Row],[id клиента]],клиенты!$A$2:$E$435,5,0)</f>
        <v>44912</v>
      </c>
      <c r="P563">
        <f>Продажи[[#This Row],[дата создания чека]]-Продажи[[#This Row],[Дата регистрации]]</f>
        <v>163</v>
      </c>
      <c r="Q563" t="str">
        <f>VLOOKUP(Продажи[[#This Row],[id клиента]],клиенты!$A$2:$G$435,7,0)</f>
        <v>Россия</v>
      </c>
      <c r="R563">
        <f>IF(COUNTIF($H$2:H563, H563)=1, 1, 0)</f>
        <v>0</v>
      </c>
      <c r="S563" t="str">
        <f>VLOOKUP(Продажи[[#This Row],[id клиента]],клиенты!$A$2:$D$435,4,0)</f>
        <v>да</v>
      </c>
      <c r="T563" s="54">
        <f>VLOOKUP(Продажи[[#This Row],[id клиента]],клиенты!$A$2:$I$435,9,0)</f>
        <v>16.854209445585216</v>
      </c>
    </row>
    <row r="564" spans="1:20" x14ac:dyDescent="0.25">
      <c r="A564">
        <v>563</v>
      </c>
      <c r="B564">
        <v>158</v>
      </c>
      <c r="C564">
        <v>71</v>
      </c>
      <c r="D564">
        <v>2</v>
      </c>
      <c r="E564" s="35">
        <v>710</v>
      </c>
      <c r="F564" s="48">
        <v>45051</v>
      </c>
      <c r="G564" t="s">
        <v>13</v>
      </c>
      <c r="H564">
        <v>29</v>
      </c>
      <c r="I564" t="str">
        <f>VLOOKUP(Продажи[[#This Row],[id товара]],Товары[],2,0)</f>
        <v>Сахар</v>
      </c>
      <c r="J564" s="17">
        <f>AVERAGEIF(Продажи[Категория],Продажи[[#This Row],[Категория]],Продажи[цена за шт в рублях])</f>
        <v>252.76271186440678</v>
      </c>
      <c r="K564" s="16">
        <f>Продажи[[#This Row],[цена за шт в рублях]]/Продажи[[#This Row],[Средняя цена в категории за шт]]-1</f>
        <v>-0.71910413732984646</v>
      </c>
      <c r="L564" t="str">
        <f>VLOOKUP(Продажи[[#This Row],[id товара]],Товары[],3,0)</f>
        <v>Сладов</v>
      </c>
      <c r="M564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564" s="16">
        <f>Продажи[[#This Row],[цена за шт в рублях]]/Продажи[[#This Row],[Средняя цена в категории за шт по поставщику]]-1</f>
        <v>-0.7044950055493896</v>
      </c>
      <c r="O564" s="48">
        <f>VLOOKUP(Продажи[[#This Row],[id клиента]],клиенты!$A$2:$E$435,5,0)</f>
        <v>44704</v>
      </c>
      <c r="P564">
        <f>Продажи[[#This Row],[дата создания чека]]-Продажи[[#This Row],[Дата регистрации]]</f>
        <v>347</v>
      </c>
      <c r="Q564" t="str">
        <f>VLOOKUP(Продажи[[#This Row],[id клиента]],клиенты!$A$2:$G$435,7,0)</f>
        <v>Россия</v>
      </c>
      <c r="R564">
        <f>IF(COUNTIF($H$2:H564, H564)=1, 1, 0)</f>
        <v>0</v>
      </c>
      <c r="S564" t="str">
        <f>VLOOKUP(Продажи[[#This Row],[id клиента]],клиенты!$A$2:$D$435,4,0)</f>
        <v>да</v>
      </c>
      <c r="T564" s="54">
        <f>VLOOKUP(Продажи[[#This Row],[id клиента]],клиенты!$A$2:$I$435,9,0)</f>
        <v>11.827515400410677</v>
      </c>
    </row>
    <row r="565" spans="1:20" x14ac:dyDescent="0.25">
      <c r="A565">
        <v>564</v>
      </c>
      <c r="B565">
        <v>274</v>
      </c>
      <c r="C565">
        <v>472</v>
      </c>
      <c r="D565">
        <v>3</v>
      </c>
      <c r="E565" s="35">
        <v>7080</v>
      </c>
      <c r="F565" s="48">
        <v>45408</v>
      </c>
      <c r="G565" t="s">
        <v>9</v>
      </c>
      <c r="H565">
        <v>272</v>
      </c>
      <c r="I565" t="str">
        <f>VLOOKUP(Продажи[[#This Row],[id товара]],Товары[],2,0)</f>
        <v>Молоко</v>
      </c>
      <c r="J565" s="17">
        <f>AVERAGEIF(Продажи[Категория],Продажи[[#This Row],[Категория]],Продажи[цена за шт в рублях])</f>
        <v>294.95238095238096</v>
      </c>
      <c r="K565" s="16">
        <f>Продажи[[#This Row],[цена за шт в рублях]]/Продажи[[#This Row],[Средняя цена в категории за шт]]-1</f>
        <v>0.60025831449790124</v>
      </c>
      <c r="L565" t="str">
        <f>VLOOKUP(Продажи[[#This Row],[id товара]],Товары[],3,0)</f>
        <v>Простоквашино</v>
      </c>
      <c r="M565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565" s="16">
        <f>Продажи[[#This Row],[цена за шт в рублях]]/Продажи[[#This Row],[Средняя цена в категории за шт по поставщику]]-1</f>
        <v>0.48046763615625898</v>
      </c>
      <c r="O565" s="48">
        <f>VLOOKUP(Продажи[[#This Row],[id клиента]],клиенты!$A$2:$E$435,5,0)</f>
        <v>44668</v>
      </c>
      <c r="P565">
        <f>Продажи[[#This Row],[дата создания чека]]-Продажи[[#This Row],[Дата регистрации]]</f>
        <v>740</v>
      </c>
      <c r="Q565" t="str">
        <f>VLOOKUP(Продажи[[#This Row],[id клиента]],клиенты!$A$2:$G$435,7,0)</f>
        <v>Таджикистан</v>
      </c>
      <c r="R565">
        <f>IF(COUNTIF($H$2:H565, H565)=1, 1, 0)</f>
        <v>1</v>
      </c>
      <c r="S565" t="str">
        <f>VLOOKUP(Продажи[[#This Row],[id клиента]],клиенты!$A$2:$D$435,4,0)</f>
        <v>нет</v>
      </c>
      <c r="T565" s="54">
        <f>VLOOKUP(Продажи[[#This Row],[id клиента]],клиенты!$A$2:$I$435,9,0)</f>
        <v>24.312114989733061</v>
      </c>
    </row>
    <row r="566" spans="1:20" x14ac:dyDescent="0.25">
      <c r="A566">
        <v>565</v>
      </c>
      <c r="B566">
        <v>471</v>
      </c>
      <c r="C566">
        <v>294</v>
      </c>
      <c r="D566">
        <v>2</v>
      </c>
      <c r="E566" s="35">
        <v>2940</v>
      </c>
      <c r="F566" s="48">
        <v>45112</v>
      </c>
      <c r="G566" t="s">
        <v>11</v>
      </c>
      <c r="H566">
        <v>370</v>
      </c>
      <c r="I566" t="str">
        <f>VLOOKUP(Продажи[[#This Row],[id товара]],Товары[],2,0)</f>
        <v>Овощи</v>
      </c>
      <c r="J566" s="17">
        <f>AVERAGEIF(Продажи[Категория],Продажи[[#This Row],[Категория]],Продажи[цена за шт в рублях])</f>
        <v>250.48780487804879</v>
      </c>
      <c r="K566" s="16">
        <f>Продажи[[#This Row],[цена за шт в рублях]]/Продажи[[#This Row],[Средняя цена в категории за шт]]-1</f>
        <v>0.17370983446932819</v>
      </c>
      <c r="L566" t="str">
        <f>VLOOKUP(Продажи[[#This Row],[id товара]],Товары[],3,0)</f>
        <v>Зеленая грядка</v>
      </c>
      <c r="M566" s="32">
        <f>AVERAGEIFS(Продажи[цена за шт в рублях],Продажи[Категория],Продажи[[#This Row],[Категория]],Продажи[Поставщик],Продажи[[#This Row],[Поставщик]])</f>
        <v>159.19999999999999</v>
      </c>
      <c r="N566" s="16">
        <f>Продажи[[#This Row],[цена за шт в рублях]]/Продажи[[#This Row],[Средняя цена в категории за шт по поставщику]]-1</f>
        <v>0.8467336683417086</v>
      </c>
      <c r="O566" s="48">
        <f>VLOOKUP(Продажи[[#This Row],[id клиента]],клиенты!$A$2:$E$435,5,0)</f>
        <v>44726</v>
      </c>
      <c r="P566">
        <f>Продажи[[#This Row],[дата создания чека]]-Продажи[[#This Row],[Дата регистрации]]</f>
        <v>386</v>
      </c>
      <c r="Q566" t="str">
        <f>VLOOKUP(Продажи[[#This Row],[id клиента]],клиенты!$A$2:$G$435,7,0)</f>
        <v>Таджикистан</v>
      </c>
      <c r="R566">
        <f>IF(COUNTIF($H$2:H566, H566)=1, 1, 0)</f>
        <v>0</v>
      </c>
      <c r="S566" t="str">
        <f>VLOOKUP(Продажи[[#This Row],[id клиента]],клиенты!$A$2:$D$435,4,0)</f>
        <v>да</v>
      </c>
      <c r="T566" s="54">
        <f>VLOOKUP(Продажи[[#This Row],[id клиента]],клиенты!$A$2:$I$435,9,0)</f>
        <v>14.422997946611909</v>
      </c>
    </row>
    <row r="567" spans="1:20" x14ac:dyDescent="0.25">
      <c r="A567">
        <v>566</v>
      </c>
      <c r="B567">
        <v>398</v>
      </c>
      <c r="C567">
        <v>65</v>
      </c>
      <c r="D567">
        <v>4</v>
      </c>
      <c r="E567" s="35">
        <v>1300</v>
      </c>
      <c r="F567" s="48">
        <v>45055</v>
      </c>
      <c r="G567" t="s">
        <v>15</v>
      </c>
      <c r="H567">
        <v>165</v>
      </c>
      <c r="I567" t="str">
        <f>VLOOKUP(Продажи[[#This Row],[id товара]],Товары[],2,0)</f>
        <v>Сок</v>
      </c>
      <c r="J567" s="17">
        <f>AVERAGEIF(Продажи[Категория],Продажи[[#This Row],[Категория]],Продажи[цена за шт в рублях])</f>
        <v>268.60344827586209</v>
      </c>
      <c r="K567" s="16">
        <f>Продажи[[#This Row],[цена за шт в рублях]]/Продажи[[#This Row],[Средняя цена в категории за шт]]-1</f>
        <v>-0.75800757429873555</v>
      </c>
      <c r="L567" t="str">
        <f>VLOOKUP(Продажи[[#This Row],[id товара]],Товары[],3,0)</f>
        <v>Фруктовый сад</v>
      </c>
      <c r="M567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567" s="16">
        <f>Продажи[[#This Row],[цена за шт в рублях]]/Продажи[[#This Row],[Средняя цена в категории за шт по поставщику]]-1</f>
        <v>-0.7694780006649673</v>
      </c>
      <c r="O567" s="48">
        <f>VLOOKUP(Продажи[[#This Row],[id клиента]],клиенты!$A$2:$E$435,5,0)</f>
        <v>44599</v>
      </c>
      <c r="P567">
        <f>Продажи[[#This Row],[дата создания чека]]-Продажи[[#This Row],[Дата регистрации]]</f>
        <v>456</v>
      </c>
      <c r="Q567" t="str">
        <f>VLOOKUP(Продажи[[#This Row],[id клиента]],клиенты!$A$2:$G$435,7,0)</f>
        <v>Таджикистан</v>
      </c>
      <c r="R567">
        <f>IF(COUNTIF($H$2:H567, H567)=1, 1, 0)</f>
        <v>1</v>
      </c>
      <c r="S567" t="str">
        <f>VLOOKUP(Продажи[[#This Row],[id клиента]],клиенты!$A$2:$D$435,4,0)</f>
        <v>да</v>
      </c>
      <c r="T567" s="54">
        <f>VLOOKUP(Продажи[[#This Row],[id клиента]],клиенты!$A$2:$I$435,9,0)</f>
        <v>25.560574948665298</v>
      </c>
    </row>
    <row r="568" spans="1:20" x14ac:dyDescent="0.25">
      <c r="A568">
        <v>567</v>
      </c>
      <c r="B568">
        <v>395</v>
      </c>
      <c r="C568">
        <v>454</v>
      </c>
      <c r="D568">
        <v>5</v>
      </c>
      <c r="E568" s="35">
        <v>11350</v>
      </c>
      <c r="F568" s="48">
        <v>45278</v>
      </c>
      <c r="G568" t="s">
        <v>12</v>
      </c>
      <c r="H568">
        <v>147</v>
      </c>
      <c r="I568" t="str">
        <f>VLOOKUP(Продажи[[#This Row],[id товара]],Товары[],2,0)</f>
        <v>Соль</v>
      </c>
      <c r="J568" s="17">
        <f>AVERAGEIF(Продажи[Категория],Продажи[[#This Row],[Категория]],Продажи[цена за шт в рублях])</f>
        <v>264.8679245283019</v>
      </c>
      <c r="K568" s="16">
        <f>Продажи[[#This Row],[цена за шт в рублях]]/Продажи[[#This Row],[Средняя цена в категории за шт]]-1</f>
        <v>0.71406183216982466</v>
      </c>
      <c r="L568" t="str">
        <f>VLOOKUP(Продажи[[#This Row],[id товара]],Товары[],3,0)</f>
        <v>Славянская</v>
      </c>
      <c r="M568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568" s="16">
        <f>Продажи[[#This Row],[цена за шт в рублях]]/Продажи[[#This Row],[Средняя цена в категории за шт по поставщику]]-1</f>
        <v>0.91628561378825202</v>
      </c>
      <c r="O568" s="48">
        <f>VLOOKUP(Продажи[[#This Row],[id клиента]],клиенты!$A$2:$E$435,5,0)</f>
        <v>44827</v>
      </c>
      <c r="P568">
        <f>Продажи[[#This Row],[дата создания чека]]-Продажи[[#This Row],[Дата регистрации]]</f>
        <v>451</v>
      </c>
      <c r="Q568" t="str">
        <f>VLOOKUP(Продажи[[#This Row],[id клиента]],клиенты!$A$2:$G$435,7,0)</f>
        <v>Россия</v>
      </c>
      <c r="R568">
        <f>IF(COUNTIF($H$2:H568, H568)=1, 1, 0)</f>
        <v>0</v>
      </c>
      <c r="S568" t="str">
        <f>VLOOKUP(Продажи[[#This Row],[id клиента]],клиенты!$A$2:$D$435,4,0)</f>
        <v>да</v>
      </c>
      <c r="T568" s="54">
        <f>VLOOKUP(Продажи[[#This Row],[id клиента]],клиенты!$A$2:$I$435,9,0)</f>
        <v>19.318275154004105</v>
      </c>
    </row>
    <row r="569" spans="1:20" x14ac:dyDescent="0.25">
      <c r="A569">
        <v>568</v>
      </c>
      <c r="B569">
        <v>424</v>
      </c>
      <c r="C569">
        <v>472</v>
      </c>
      <c r="D569">
        <v>3</v>
      </c>
      <c r="E569" s="35">
        <v>7080</v>
      </c>
      <c r="F569" s="48">
        <v>45423</v>
      </c>
      <c r="G569" t="s">
        <v>22</v>
      </c>
      <c r="H569">
        <v>181</v>
      </c>
      <c r="I569" t="str">
        <f>VLOOKUP(Продажи[[#This Row],[id товара]],Товары[],2,0)</f>
        <v>Печенье</v>
      </c>
      <c r="J569" s="17">
        <f>AVERAGEIF(Продажи[Категория],Продажи[[#This Row],[Категория]],Продажи[цена за шт в рублях])</f>
        <v>283.468085106383</v>
      </c>
      <c r="K569" s="16">
        <f>Продажи[[#This Row],[цена за шт в рублях]]/Продажи[[#This Row],[Средняя цена в категории за шт]]-1</f>
        <v>0.66509044509494841</v>
      </c>
      <c r="L569" t="str">
        <f>VLOOKUP(Продажи[[#This Row],[id товара]],Товары[],3,0)</f>
        <v>КДВ</v>
      </c>
      <c r="M569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569" s="16">
        <f>Продажи[[#This Row],[цена за шт в рублях]]/Продажи[[#This Row],[Средняя цена в категории за шт по поставщику]]-1</f>
        <v>0.46095238095238078</v>
      </c>
      <c r="O569" s="48">
        <f>VLOOKUP(Продажи[[#This Row],[id клиента]],клиенты!$A$2:$E$435,5,0)</f>
        <v>44568</v>
      </c>
      <c r="P569">
        <f>Продажи[[#This Row],[дата создания чека]]-Продажи[[#This Row],[Дата регистрации]]</f>
        <v>855</v>
      </c>
      <c r="Q569" t="str">
        <f>VLOOKUP(Продажи[[#This Row],[id клиента]],клиенты!$A$2:$G$435,7,0)</f>
        <v>Украина</v>
      </c>
      <c r="R569">
        <f>IF(COUNTIF($H$2:H569, H569)=1, 1, 0)</f>
        <v>0</v>
      </c>
      <c r="S569" t="str">
        <f>VLOOKUP(Продажи[[#This Row],[id клиента]],клиенты!$A$2:$D$435,4,0)</f>
        <v>да</v>
      </c>
      <c r="T569" s="54">
        <f>VLOOKUP(Продажи[[#This Row],[id клиента]],клиенты!$A$2:$I$435,9,0)</f>
        <v>28.090349075975361</v>
      </c>
    </row>
    <row r="570" spans="1:20" x14ac:dyDescent="0.25">
      <c r="A570">
        <v>569</v>
      </c>
      <c r="B570">
        <v>474</v>
      </c>
      <c r="C570">
        <v>261</v>
      </c>
      <c r="D570">
        <v>2</v>
      </c>
      <c r="E570" s="35">
        <v>2610</v>
      </c>
      <c r="F570" s="48">
        <v>45382</v>
      </c>
      <c r="G570" t="s">
        <v>27</v>
      </c>
      <c r="H570">
        <v>88</v>
      </c>
      <c r="I570" t="str">
        <f>VLOOKUP(Продажи[[#This Row],[id товара]],Товары[],2,0)</f>
        <v>Молоко</v>
      </c>
      <c r="J570" s="17">
        <f>AVERAGEIF(Продажи[Категория],Продажи[[#This Row],[Категория]],Продажи[цена за шт в рублях])</f>
        <v>294.95238095238096</v>
      </c>
      <c r="K570" s="16">
        <f>Продажи[[#This Row],[цена за шт в рублях]]/Продажи[[#This Row],[Средняя цена в категории за шт]]-1</f>
        <v>-0.11511139812721993</v>
      </c>
      <c r="L570" t="str">
        <f>VLOOKUP(Продажи[[#This Row],[id товара]],Товары[],3,0)</f>
        <v>Простоквашино</v>
      </c>
      <c r="M570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570" s="16">
        <f>Продажи[[#This Row],[цена за шт в рублях]]/Продажи[[#This Row],[Средняя цена в категории за шт по поставщику]]-1</f>
        <v>-0.18135158254918737</v>
      </c>
      <c r="O570" s="48">
        <f>VLOOKUP(Продажи[[#This Row],[id клиента]],клиенты!$A$2:$E$435,5,0)</f>
        <v>44630</v>
      </c>
      <c r="P570">
        <f>Продажи[[#This Row],[дата создания чека]]-Продажи[[#This Row],[Дата регистрации]]</f>
        <v>752</v>
      </c>
      <c r="Q570" t="str">
        <f>VLOOKUP(Продажи[[#This Row],[id клиента]],клиенты!$A$2:$G$435,7,0)</f>
        <v>Украина</v>
      </c>
      <c r="R570">
        <f>IF(COUNTIF($H$2:H570, H570)=1, 1, 0)</f>
        <v>0</v>
      </c>
      <c r="S570" t="str">
        <f>VLOOKUP(Продажи[[#This Row],[id клиента]],клиенты!$A$2:$D$435,4,0)</f>
        <v>да</v>
      </c>
      <c r="T570" s="54">
        <f>VLOOKUP(Продажи[[#This Row],[id клиента]],клиенты!$A$2:$I$435,9,0)</f>
        <v>24.706365503080082</v>
      </c>
    </row>
    <row r="571" spans="1:20" x14ac:dyDescent="0.25">
      <c r="A571">
        <v>570</v>
      </c>
      <c r="B571">
        <v>346</v>
      </c>
      <c r="C571">
        <v>390</v>
      </c>
      <c r="D571">
        <v>5</v>
      </c>
      <c r="E571" s="35">
        <v>9750</v>
      </c>
      <c r="F571" s="48">
        <v>45402</v>
      </c>
      <c r="G571" t="s">
        <v>20</v>
      </c>
      <c r="H571">
        <v>10</v>
      </c>
      <c r="I571" t="str">
        <f>VLOOKUP(Продажи[[#This Row],[id товара]],Товары[],2,0)</f>
        <v>Чай</v>
      </c>
      <c r="J571" s="17">
        <f>AVERAGEIF(Продажи[Категория],Продажи[[#This Row],[Категория]],Продажи[цена за шт в рублях])</f>
        <v>271.18181818181819</v>
      </c>
      <c r="K571" s="16">
        <f>Продажи[[#This Row],[цена за шт в рублях]]/Продажи[[#This Row],[Средняя цена в категории за шт]]-1</f>
        <v>0.43814951391216894</v>
      </c>
      <c r="L571" t="str">
        <f>VLOOKUP(Продажи[[#This Row],[id товара]],Товары[],3,0)</f>
        <v>Greenfield</v>
      </c>
      <c r="M571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571" s="16">
        <f>Продажи[[#This Row],[цена за шт в рублях]]/Продажи[[#This Row],[Средняя цена в категории за шт по поставщику]]-1</f>
        <v>0.33811603243917654</v>
      </c>
      <c r="O571" s="48">
        <f>VLOOKUP(Продажи[[#This Row],[id клиента]],клиенты!$A$2:$E$435,5,0)</f>
        <v>44881</v>
      </c>
      <c r="P571">
        <f>Продажи[[#This Row],[дата создания чека]]-Продажи[[#This Row],[Дата регистрации]]</f>
        <v>521</v>
      </c>
      <c r="Q571" t="str">
        <f>VLOOKUP(Продажи[[#This Row],[id клиента]],клиенты!$A$2:$G$435,7,0)</f>
        <v>Украина</v>
      </c>
      <c r="R571">
        <f>IF(COUNTIF($H$2:H571, H571)=1, 1, 0)</f>
        <v>0</v>
      </c>
      <c r="S571" t="str">
        <f>VLOOKUP(Продажи[[#This Row],[id клиента]],клиенты!$A$2:$D$435,4,0)</f>
        <v>нет</v>
      </c>
      <c r="T571" s="54">
        <f>VLOOKUP(Продажи[[#This Row],[id клиента]],клиенты!$A$2:$I$435,9,0)</f>
        <v>17.117043121149898</v>
      </c>
    </row>
    <row r="572" spans="1:20" x14ac:dyDescent="0.25">
      <c r="A572">
        <v>571</v>
      </c>
      <c r="B572">
        <v>132</v>
      </c>
      <c r="C572">
        <v>497</v>
      </c>
      <c r="D572">
        <v>4</v>
      </c>
      <c r="E572" s="35">
        <v>9940</v>
      </c>
      <c r="F572" s="48">
        <v>44987</v>
      </c>
      <c r="G572" t="s">
        <v>27</v>
      </c>
      <c r="H572">
        <v>364</v>
      </c>
      <c r="I572" t="str">
        <f>VLOOKUP(Продажи[[#This Row],[id товара]],Товары[],2,0)</f>
        <v>Рыба</v>
      </c>
      <c r="J572" s="17">
        <f>AVERAGEIF(Продажи[Категория],Продажи[[#This Row],[Категория]],Продажи[цена за шт в рублях])</f>
        <v>258.5128205128205</v>
      </c>
      <c r="K572" s="16">
        <f>Продажи[[#This Row],[цена за шт в рублях]]/Продажи[[#This Row],[Средняя цена в категории за шт]]-1</f>
        <v>0.92253521126760574</v>
      </c>
      <c r="L572" t="str">
        <f>VLOOKUP(Продажи[[#This Row],[id товара]],Товары[],3,0)</f>
        <v>Меридиан</v>
      </c>
      <c r="M572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572" s="16">
        <f>Продажи[[#This Row],[цена за шт в рублях]]/Продажи[[#This Row],[Средняя цена в категории за шт по поставщику]]-1</f>
        <v>0.90679304897314394</v>
      </c>
      <c r="O572" s="48">
        <f>VLOOKUP(Продажи[[#This Row],[id клиента]],клиенты!$A$2:$E$435,5,0)</f>
        <v>44883</v>
      </c>
      <c r="P572">
        <f>Продажи[[#This Row],[дата создания чека]]-Продажи[[#This Row],[Дата регистрации]]</f>
        <v>104</v>
      </c>
      <c r="Q572" t="str">
        <f>VLOOKUP(Продажи[[#This Row],[id клиента]],клиенты!$A$2:$G$435,7,0)</f>
        <v>Россия</v>
      </c>
      <c r="R572">
        <f>IF(COUNTIF($H$2:H572, H572)=1, 1, 0)</f>
        <v>0</v>
      </c>
      <c r="S572" t="str">
        <f>VLOOKUP(Продажи[[#This Row],[id клиента]],клиенты!$A$2:$D$435,4,0)</f>
        <v>да</v>
      </c>
      <c r="T572" s="54">
        <f>VLOOKUP(Продажи[[#This Row],[id клиента]],клиенты!$A$2:$I$435,9,0)</f>
        <v>15.145790554414784</v>
      </c>
    </row>
    <row r="573" spans="1:20" x14ac:dyDescent="0.25">
      <c r="A573">
        <v>572</v>
      </c>
      <c r="B573">
        <v>17</v>
      </c>
      <c r="C573">
        <v>363</v>
      </c>
      <c r="D573">
        <v>4</v>
      </c>
      <c r="E573" s="35">
        <v>7260</v>
      </c>
      <c r="F573" s="48">
        <v>45191</v>
      </c>
      <c r="G573" t="s">
        <v>20</v>
      </c>
      <c r="H573">
        <v>277</v>
      </c>
      <c r="I573" t="str">
        <f>VLOOKUP(Продажи[[#This Row],[id товара]],Товары[],2,0)</f>
        <v>Кофе</v>
      </c>
      <c r="J573" s="17">
        <f>AVERAGEIF(Продажи[Категория],Продажи[[#This Row],[Категория]],Продажи[цена за шт в рублях])</f>
        <v>249.02380952380952</v>
      </c>
      <c r="K573" s="16">
        <f>Продажи[[#This Row],[цена за шт в рублях]]/Продажи[[#This Row],[Средняя цена в категории за шт]]-1</f>
        <v>0.45769193995601887</v>
      </c>
      <c r="L573" t="str">
        <f>VLOOKUP(Продажи[[#This Row],[id товара]],Товары[],3,0)</f>
        <v>Jacobs</v>
      </c>
      <c r="M573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573" s="16">
        <f>Продажи[[#This Row],[цена за шт в рублях]]/Продажи[[#This Row],[Средняя цена в категории за шт по поставщику]]-1</f>
        <v>0.31421493902439024</v>
      </c>
      <c r="O573" s="48">
        <f>VLOOKUP(Продажи[[#This Row],[id клиента]],клиенты!$A$2:$E$435,5,0)</f>
        <v>44750</v>
      </c>
      <c r="P573">
        <f>Продажи[[#This Row],[дата создания чека]]-Продажи[[#This Row],[Дата регистрации]]</f>
        <v>441</v>
      </c>
      <c r="Q573" t="str">
        <f>VLOOKUP(Продажи[[#This Row],[id клиента]],клиенты!$A$2:$G$435,7,0)</f>
        <v>Россия</v>
      </c>
      <c r="R573">
        <f>IF(COUNTIF($H$2:H573, H573)=1, 1, 0)</f>
        <v>0</v>
      </c>
      <c r="S573" t="str">
        <f>VLOOKUP(Продажи[[#This Row],[id клиента]],клиенты!$A$2:$D$435,4,0)</f>
        <v>да</v>
      </c>
      <c r="T573" s="54">
        <f>VLOOKUP(Продажи[[#This Row],[id клиента]],клиенты!$A$2:$I$435,9,0)</f>
        <v>20.073921971252567</v>
      </c>
    </row>
    <row r="574" spans="1:20" x14ac:dyDescent="0.25">
      <c r="A574">
        <v>573</v>
      </c>
      <c r="B574">
        <v>63</v>
      </c>
      <c r="C574">
        <v>251</v>
      </c>
      <c r="D574">
        <v>1</v>
      </c>
      <c r="E574" s="35">
        <v>1255</v>
      </c>
      <c r="F574" s="48">
        <v>45087</v>
      </c>
      <c r="G574" t="s">
        <v>19</v>
      </c>
      <c r="H574">
        <v>214</v>
      </c>
      <c r="I574" t="str">
        <f>VLOOKUP(Продажи[[#This Row],[id товара]],Товары[],2,0)</f>
        <v>Рыба</v>
      </c>
      <c r="J574" s="17">
        <f>AVERAGEIF(Продажи[Категория],Продажи[[#This Row],[Категория]],Продажи[цена за шт в рублях])</f>
        <v>258.5128205128205</v>
      </c>
      <c r="K574" s="16">
        <f>Продажи[[#This Row],[цена за шт в рублях]]/Продажи[[#This Row],[Средняя цена в категории за шт]]-1</f>
        <v>-2.9061694108311831E-2</v>
      </c>
      <c r="L574" t="str">
        <f>VLOOKUP(Продажи[[#This Row],[id товара]],Товары[],3,0)</f>
        <v>Балтийский берег</v>
      </c>
      <c r="M574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574" s="16">
        <f>Продажи[[#This Row],[цена за шт в рублях]]/Продажи[[#This Row],[Средняя цена в категории за шт по поставщику]]-1</f>
        <v>-0.13415101571483334</v>
      </c>
      <c r="O574" s="48">
        <f>VLOOKUP(Продажи[[#This Row],[id клиента]],клиенты!$A$2:$E$435,5,0)</f>
        <v>44601</v>
      </c>
      <c r="P574">
        <f>Продажи[[#This Row],[дата создания чека]]-Продажи[[#This Row],[Дата регистрации]]</f>
        <v>486</v>
      </c>
      <c r="Q574" t="str">
        <f>VLOOKUP(Продажи[[#This Row],[id клиента]],клиенты!$A$2:$G$435,7,0)</f>
        <v>Россия</v>
      </c>
      <c r="R574">
        <f>IF(COUNTIF($H$2:H574, H574)=1, 1, 0)</f>
        <v>1</v>
      </c>
      <c r="S574" t="str">
        <f>VLOOKUP(Продажи[[#This Row],[id клиента]],клиенты!$A$2:$D$435,4,0)</f>
        <v>да</v>
      </c>
      <c r="T574" s="54">
        <f>VLOOKUP(Продажи[[#This Row],[id клиента]],клиенты!$A$2:$I$435,9,0)</f>
        <v>15.967145790554415</v>
      </c>
    </row>
    <row r="575" spans="1:20" x14ac:dyDescent="0.25">
      <c r="A575">
        <v>574</v>
      </c>
      <c r="B575">
        <v>89</v>
      </c>
      <c r="C575">
        <v>492</v>
      </c>
      <c r="D575">
        <v>2</v>
      </c>
      <c r="E575" s="35">
        <v>4920</v>
      </c>
      <c r="F575" s="48">
        <v>44935</v>
      </c>
      <c r="G575" t="s">
        <v>17</v>
      </c>
      <c r="H575">
        <v>402</v>
      </c>
      <c r="I575" t="str">
        <f>VLOOKUP(Продажи[[#This Row],[id товара]],Товары[],2,0)</f>
        <v>Конфеты</v>
      </c>
      <c r="J575" s="17">
        <f>AVERAGEIF(Продажи[Категория],Продажи[[#This Row],[Категория]],Продажи[цена за шт в рублях])</f>
        <v>267.85483870967744</v>
      </c>
      <c r="K575" s="16">
        <f>Продажи[[#This Row],[цена за шт в рублях]]/Продажи[[#This Row],[Средняя цена в категории за шт]]-1</f>
        <v>0.83681580056602622</v>
      </c>
      <c r="L575" t="str">
        <f>VLOOKUP(Продажи[[#This Row],[id товара]],Товары[],3,0)</f>
        <v>Рот Фронт</v>
      </c>
      <c r="M575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575" s="16">
        <f>Продажи[[#This Row],[цена за шт в рублях]]/Продажи[[#This Row],[Средняя цена в категории за шт по поставщику]]-1</f>
        <v>0.70692218734511814</v>
      </c>
      <c r="O575" s="48">
        <f>VLOOKUP(Продажи[[#This Row],[id клиента]],клиенты!$A$2:$E$435,5,0)</f>
        <v>44742</v>
      </c>
      <c r="P575">
        <f>Продажи[[#This Row],[дата создания чека]]-Продажи[[#This Row],[Дата регистрации]]</f>
        <v>193</v>
      </c>
      <c r="Q575" t="str">
        <f>VLOOKUP(Продажи[[#This Row],[id клиента]],клиенты!$A$2:$G$435,7,0)</f>
        <v>Узбекистан</v>
      </c>
      <c r="R575">
        <f>IF(COUNTIF($H$2:H575, H575)=1, 1, 0)</f>
        <v>0</v>
      </c>
      <c r="S575" t="str">
        <f>VLOOKUP(Продажи[[#This Row],[id клиента]],клиенты!$A$2:$D$435,4,0)</f>
        <v>да</v>
      </c>
      <c r="T575" s="54">
        <f>VLOOKUP(Продажи[[#This Row],[id клиента]],клиенты!$A$2:$I$435,9,0)</f>
        <v>11.564681724845997</v>
      </c>
    </row>
    <row r="576" spans="1:20" x14ac:dyDescent="0.25">
      <c r="A576">
        <v>575</v>
      </c>
      <c r="B576">
        <v>260</v>
      </c>
      <c r="C576">
        <v>449</v>
      </c>
      <c r="D576">
        <v>1</v>
      </c>
      <c r="E576" s="35">
        <v>2245</v>
      </c>
      <c r="F576" s="48">
        <v>45025</v>
      </c>
      <c r="G576" t="s">
        <v>24</v>
      </c>
      <c r="H576">
        <v>490</v>
      </c>
      <c r="I576" t="str">
        <f>VLOOKUP(Продажи[[#This Row],[id товара]],Товары[],2,0)</f>
        <v>Соль</v>
      </c>
      <c r="J576" s="17">
        <f>AVERAGEIF(Продажи[Категория],Продажи[[#This Row],[Категория]],Продажи[цена за шт в рублях])</f>
        <v>264.8679245283019</v>
      </c>
      <c r="K576" s="16">
        <f>Продажи[[#This Row],[цена за шт в рублях]]/Продажи[[#This Row],[Средняя цена в категории за шт]]-1</f>
        <v>0.69518449921641245</v>
      </c>
      <c r="L576" t="str">
        <f>VLOOKUP(Продажи[[#This Row],[id товара]],Товары[],3,0)</f>
        <v>Экстра</v>
      </c>
      <c r="M576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576" s="16">
        <f>Продажи[[#This Row],[цена за шт в рублях]]/Продажи[[#This Row],[Средняя цена в категории за шт по поставщику]]-1</f>
        <v>0.39942459841764566</v>
      </c>
      <c r="O576" s="48">
        <f>VLOOKUP(Продажи[[#This Row],[id клиента]],клиенты!$A$2:$E$435,5,0)</f>
        <v>44603</v>
      </c>
      <c r="P576">
        <f>Продажи[[#This Row],[дата создания чека]]-Продажи[[#This Row],[Дата регистрации]]</f>
        <v>422</v>
      </c>
      <c r="Q576" t="str">
        <f>VLOOKUP(Продажи[[#This Row],[id клиента]],клиенты!$A$2:$G$435,7,0)</f>
        <v>Россия</v>
      </c>
      <c r="R576">
        <f>IF(COUNTIF($H$2:H576, H576)=1, 1, 0)</f>
        <v>0</v>
      </c>
      <c r="S576" t="str">
        <f>VLOOKUP(Продажи[[#This Row],[id клиента]],клиенты!$A$2:$D$435,4,0)</f>
        <v>нет</v>
      </c>
      <c r="T576" s="54">
        <f>VLOOKUP(Продажи[[#This Row],[id клиента]],клиенты!$A$2:$I$435,9,0)</f>
        <v>25.232032854209447</v>
      </c>
    </row>
    <row r="577" spans="1:20" x14ac:dyDescent="0.25">
      <c r="A577">
        <v>576</v>
      </c>
      <c r="B577">
        <v>27</v>
      </c>
      <c r="C577">
        <v>193</v>
      </c>
      <c r="D577">
        <v>1</v>
      </c>
      <c r="E577" s="35">
        <v>965</v>
      </c>
      <c r="F577" s="48">
        <v>45061</v>
      </c>
      <c r="G577" t="s">
        <v>15</v>
      </c>
      <c r="H577">
        <v>151</v>
      </c>
      <c r="I577" t="str">
        <f>VLOOKUP(Продажи[[#This Row],[id товара]],Товары[],2,0)</f>
        <v>Макароны</v>
      </c>
      <c r="J577" s="17">
        <f>AVERAGEIF(Продажи[Категория],Продажи[[#This Row],[Категория]],Продажи[цена за шт в рублях])</f>
        <v>265.47674418604652</v>
      </c>
      <c r="K577" s="16">
        <f>Продажи[[#This Row],[цена за шт в рублях]]/Продажи[[#This Row],[Средняя цена в категории за шт]]-1</f>
        <v>-0.27300600061320135</v>
      </c>
      <c r="L577" t="str">
        <f>VLOOKUP(Продажи[[#This Row],[id товара]],Товары[],3,0)</f>
        <v>Паста Зара</v>
      </c>
      <c r="M577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577" s="16">
        <f>Продажи[[#This Row],[цена за шт в рублях]]/Продажи[[#This Row],[Средняя цена в категории за шт по поставщику]]-1</f>
        <v>-0.30243235322848494</v>
      </c>
      <c r="O577" s="48">
        <f>VLOOKUP(Продажи[[#This Row],[id клиента]],клиенты!$A$2:$E$435,5,0)</f>
        <v>44923</v>
      </c>
      <c r="P577">
        <f>Продажи[[#This Row],[дата создания чека]]-Продажи[[#This Row],[Дата регистрации]]</f>
        <v>138</v>
      </c>
      <c r="Q577" t="str">
        <f>VLOOKUP(Продажи[[#This Row],[id клиента]],клиенты!$A$2:$G$435,7,0)</f>
        <v>Беларусь</v>
      </c>
      <c r="R577">
        <f>IF(COUNTIF($H$2:H577, H577)=1, 1, 0)</f>
        <v>0</v>
      </c>
      <c r="S577" t="str">
        <f>VLOOKUP(Продажи[[#This Row],[id клиента]],клиенты!$A$2:$D$435,4,0)</f>
        <v>нет</v>
      </c>
      <c r="T577" s="54">
        <f>VLOOKUP(Продажи[[#This Row],[id клиента]],клиенты!$A$2:$I$435,9,0)</f>
        <v>14.55441478439425</v>
      </c>
    </row>
    <row r="578" spans="1:20" x14ac:dyDescent="0.25">
      <c r="A578">
        <v>577</v>
      </c>
      <c r="B578">
        <v>221</v>
      </c>
      <c r="C578">
        <v>406</v>
      </c>
      <c r="D578">
        <v>3</v>
      </c>
      <c r="E578" s="35">
        <v>6090</v>
      </c>
      <c r="F578" s="48">
        <v>44999</v>
      </c>
      <c r="G578" t="s">
        <v>27</v>
      </c>
      <c r="H578">
        <v>409</v>
      </c>
      <c r="I578" t="str">
        <f>VLOOKUP(Продажи[[#This Row],[id товара]],Товары[],2,0)</f>
        <v>Чипсы</v>
      </c>
      <c r="J578" s="17">
        <f>AVERAGEIF(Продажи[Категория],Продажи[[#This Row],[Категория]],Продажи[цена за шт в рублях])</f>
        <v>273.72549019607845</v>
      </c>
      <c r="K578" s="16">
        <f>Продажи[[#This Row],[цена за шт в рублях]]/Продажи[[#This Row],[Средняя цена в категории за шт]]-1</f>
        <v>0.48323782234957013</v>
      </c>
      <c r="L578" t="str">
        <f>VLOOKUP(Продажи[[#This Row],[id товара]],Товары[],3,0)</f>
        <v>Pringles</v>
      </c>
      <c r="M578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578" s="16">
        <f>Продажи[[#This Row],[цена за шт в рублях]]/Продажи[[#This Row],[Средняя цена в категории за шт по поставщику]]-1</f>
        <v>0.44876805437553102</v>
      </c>
      <c r="O578" s="48">
        <f>VLOOKUP(Продажи[[#This Row],[id клиента]],клиенты!$A$2:$E$435,5,0)</f>
        <v>44869</v>
      </c>
      <c r="P578">
        <f>Продажи[[#This Row],[дата создания чека]]-Продажи[[#This Row],[Дата регистрации]]</f>
        <v>130</v>
      </c>
      <c r="Q578" t="str">
        <f>VLOOKUP(Продажи[[#This Row],[id клиента]],клиенты!$A$2:$G$435,7,0)</f>
        <v>Украина</v>
      </c>
      <c r="R578">
        <f>IF(COUNTIF($H$2:H578, H578)=1, 1, 0)</f>
        <v>1</v>
      </c>
      <c r="S578" t="str">
        <f>VLOOKUP(Продажи[[#This Row],[id клиента]],клиенты!$A$2:$D$435,4,0)</f>
        <v>нет</v>
      </c>
      <c r="T578" s="54">
        <f>VLOOKUP(Продажи[[#This Row],[id клиента]],клиенты!$A$2:$I$435,9,0)</f>
        <v>5.1252566735112932</v>
      </c>
    </row>
    <row r="579" spans="1:20" x14ac:dyDescent="0.25">
      <c r="A579">
        <v>578</v>
      </c>
      <c r="B579">
        <v>127</v>
      </c>
      <c r="C579">
        <v>384</v>
      </c>
      <c r="D579">
        <v>2</v>
      </c>
      <c r="E579" s="35">
        <v>3840</v>
      </c>
      <c r="F579" s="48">
        <v>45010</v>
      </c>
      <c r="G579" t="s">
        <v>19</v>
      </c>
      <c r="H579">
        <v>348</v>
      </c>
      <c r="I579" t="str">
        <f>VLOOKUP(Продажи[[#This Row],[id товара]],Товары[],2,0)</f>
        <v>Овощи</v>
      </c>
      <c r="J579" s="17">
        <f>AVERAGEIF(Продажи[Категория],Продажи[[#This Row],[Категория]],Продажи[цена за шт в рублях])</f>
        <v>250.48780487804879</v>
      </c>
      <c r="K579" s="16">
        <f>Продажи[[#This Row],[цена за шт в рублях]]/Продажи[[#This Row],[Средняя цена в категории за шт]]-1</f>
        <v>0.53300876338851011</v>
      </c>
      <c r="L579" t="str">
        <f>VLOOKUP(Продажи[[#This Row],[id товара]],Товары[],3,0)</f>
        <v>Семко</v>
      </c>
      <c r="M579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579" s="16">
        <f>Продажи[[#This Row],[цена за шт в рублях]]/Продажи[[#This Row],[Средняя цена в категории за шт по поставщику]]-1</f>
        <v>0.84615384615384626</v>
      </c>
      <c r="O579" s="48">
        <f>VLOOKUP(Продажи[[#This Row],[id клиента]],клиенты!$A$2:$E$435,5,0)</f>
        <v>44569</v>
      </c>
      <c r="P579">
        <f>Продажи[[#This Row],[дата создания чека]]-Продажи[[#This Row],[Дата регистрации]]</f>
        <v>441</v>
      </c>
      <c r="Q579" t="str">
        <f>VLOOKUP(Продажи[[#This Row],[id клиента]],клиенты!$A$2:$G$435,7,0)</f>
        <v>Украина</v>
      </c>
      <c r="R579">
        <f>IF(COUNTIF($H$2:H579, H579)=1, 1, 0)</f>
        <v>1</v>
      </c>
      <c r="S579" t="str">
        <f>VLOOKUP(Продажи[[#This Row],[id клиента]],клиенты!$A$2:$D$435,4,0)</f>
        <v>да</v>
      </c>
      <c r="T579" s="54">
        <f>VLOOKUP(Продажи[[#This Row],[id клиента]],клиенты!$A$2:$I$435,9,0)</f>
        <v>14.488706365503081</v>
      </c>
    </row>
    <row r="580" spans="1:20" x14ac:dyDescent="0.25">
      <c r="A580">
        <v>579</v>
      </c>
      <c r="B580">
        <v>464</v>
      </c>
      <c r="C580">
        <v>356</v>
      </c>
      <c r="D580">
        <v>4</v>
      </c>
      <c r="E580" s="35">
        <v>7120</v>
      </c>
      <c r="F580" s="48">
        <v>45031</v>
      </c>
      <c r="G580" t="s">
        <v>19</v>
      </c>
      <c r="H580">
        <v>255</v>
      </c>
      <c r="I580" t="str">
        <f>VLOOKUP(Продажи[[#This Row],[id товара]],Товары[],2,0)</f>
        <v>Сыр</v>
      </c>
      <c r="J580" s="17">
        <f>AVERAGEIF(Продажи[Категория],Продажи[[#This Row],[Категория]],Продажи[цена за шт в рублях])</f>
        <v>262.63492063492066</v>
      </c>
      <c r="K580" s="16">
        <f>Продажи[[#This Row],[цена за шт в рублях]]/Продажи[[#This Row],[Средняя цена в категории за шт]]-1</f>
        <v>0.35549377493049672</v>
      </c>
      <c r="L580" t="str">
        <f>VLOOKUP(Продажи[[#This Row],[id товара]],Товары[],3,0)</f>
        <v>Сырная долина</v>
      </c>
      <c r="M580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580" s="16">
        <f>Продажи[[#This Row],[цена за шт в рублях]]/Продажи[[#This Row],[Средняя цена в категории за шт по поставщику]]-1</f>
        <v>0.31365313653136528</v>
      </c>
      <c r="O580" s="48">
        <f>VLOOKUP(Продажи[[#This Row],[id клиента]],клиенты!$A$2:$E$435,5,0)</f>
        <v>44793</v>
      </c>
      <c r="P580">
        <f>Продажи[[#This Row],[дата создания чека]]-Продажи[[#This Row],[Дата регистрации]]</f>
        <v>238</v>
      </c>
      <c r="Q580" t="str">
        <f>VLOOKUP(Продажи[[#This Row],[id клиента]],клиенты!$A$2:$G$435,7,0)</f>
        <v>Украина</v>
      </c>
      <c r="R580">
        <f>IF(COUNTIF($H$2:H580, H580)=1, 1, 0)</f>
        <v>0</v>
      </c>
      <c r="S580" t="str">
        <f>VLOOKUP(Продажи[[#This Row],[id клиента]],клиенты!$A$2:$D$435,4,0)</f>
        <v>да</v>
      </c>
      <c r="T580" s="54">
        <f>VLOOKUP(Продажи[[#This Row],[id клиента]],клиенты!$A$2:$I$435,9,0)</f>
        <v>19.219712525667351</v>
      </c>
    </row>
    <row r="581" spans="1:20" x14ac:dyDescent="0.25">
      <c r="A581">
        <v>580</v>
      </c>
      <c r="B581">
        <v>426</v>
      </c>
      <c r="C581">
        <v>438</v>
      </c>
      <c r="D581">
        <v>1</v>
      </c>
      <c r="E581" s="35">
        <v>2190</v>
      </c>
      <c r="F581" s="48">
        <v>44932</v>
      </c>
      <c r="G581" t="s">
        <v>10</v>
      </c>
      <c r="H581">
        <v>27</v>
      </c>
      <c r="I581" t="str">
        <f>VLOOKUP(Продажи[[#This Row],[id товара]],Товары[],2,0)</f>
        <v>Печенье</v>
      </c>
      <c r="J581" s="17">
        <f>AVERAGEIF(Продажи[Категория],Продажи[[#This Row],[Категория]],Продажи[цена за шт в рублях])</f>
        <v>283.468085106383</v>
      </c>
      <c r="K581" s="16">
        <f>Продажи[[#This Row],[цена за шт в рублях]]/Продажи[[#This Row],[Средняя цена в категории за шт]]-1</f>
        <v>0.54514748930421075</v>
      </c>
      <c r="L581" t="str">
        <f>VLOOKUP(Продажи[[#This Row],[id товара]],Товары[],3,0)</f>
        <v>Посиделкино</v>
      </c>
      <c r="M581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581" s="16">
        <f>Продажи[[#This Row],[цена за шт в рублях]]/Продажи[[#This Row],[Средняя цена в категории за шт по поставщику]]-1</f>
        <v>0.36178631995477684</v>
      </c>
      <c r="O581" s="48">
        <f>VLOOKUP(Продажи[[#This Row],[id клиента]],клиенты!$A$2:$E$435,5,0)</f>
        <v>44586</v>
      </c>
      <c r="P581">
        <f>Продажи[[#This Row],[дата создания чека]]-Продажи[[#This Row],[Дата регистрации]]</f>
        <v>346</v>
      </c>
      <c r="Q581" t="str">
        <f>VLOOKUP(Продажи[[#This Row],[id клиента]],клиенты!$A$2:$G$435,7,0)</f>
        <v>Украина</v>
      </c>
      <c r="R581">
        <f>IF(COUNTIF($H$2:H581, H581)=1, 1, 0)</f>
        <v>0</v>
      </c>
      <c r="S581" t="str">
        <f>VLOOKUP(Продажи[[#This Row],[id клиента]],клиенты!$A$2:$D$435,4,0)</f>
        <v>нет</v>
      </c>
      <c r="T581" s="54">
        <f>VLOOKUP(Продажи[[#This Row],[id клиента]],клиенты!$A$2:$I$435,9,0)</f>
        <v>19.942505133470227</v>
      </c>
    </row>
    <row r="582" spans="1:20" x14ac:dyDescent="0.25">
      <c r="A582">
        <v>581</v>
      </c>
      <c r="B582">
        <v>224</v>
      </c>
      <c r="C582">
        <v>232</v>
      </c>
      <c r="D582">
        <v>5</v>
      </c>
      <c r="E582" s="35">
        <v>5800</v>
      </c>
      <c r="F582" s="48">
        <v>45332</v>
      </c>
      <c r="G582" t="s">
        <v>27</v>
      </c>
      <c r="H582">
        <v>219</v>
      </c>
      <c r="I582" t="str">
        <f>VLOOKUP(Продажи[[#This Row],[id товара]],Товары[],2,0)</f>
        <v>Чипсы</v>
      </c>
      <c r="J582" s="17">
        <f>AVERAGEIF(Продажи[Категория],Продажи[[#This Row],[Категория]],Продажи[цена за шт в рублях])</f>
        <v>273.72549019607845</v>
      </c>
      <c r="K582" s="16">
        <f>Продажи[[#This Row],[цена за шт в рублях]]/Продажи[[#This Row],[Средняя цена в категории за шт]]-1</f>
        <v>-0.15243553008596</v>
      </c>
      <c r="L582" t="str">
        <f>VLOOKUP(Продажи[[#This Row],[id товара]],Товары[],3,0)</f>
        <v>Pringles</v>
      </c>
      <c r="M582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582" s="16">
        <f>Продажи[[#This Row],[цена за шт в рублях]]/Продажи[[#This Row],[Средняя цена в категории за шт по поставщику]]-1</f>
        <v>-0.17213254035683945</v>
      </c>
      <c r="O582" s="48">
        <f>VLOOKUP(Продажи[[#This Row],[id клиента]],клиенты!$A$2:$E$435,5,0)</f>
        <v>44585</v>
      </c>
      <c r="P582">
        <f>Продажи[[#This Row],[дата создания чека]]-Продажи[[#This Row],[Дата регистрации]]</f>
        <v>747</v>
      </c>
      <c r="Q582" t="str">
        <f>VLOOKUP(Продажи[[#This Row],[id клиента]],клиенты!$A$2:$G$435,7,0)</f>
        <v>Таджикистан</v>
      </c>
      <c r="R582">
        <f>IF(COUNTIF($H$2:H582, H582)=1, 1, 0)</f>
        <v>0</v>
      </c>
      <c r="S582" t="str">
        <f>VLOOKUP(Продажи[[#This Row],[id клиента]],клиенты!$A$2:$D$435,4,0)</f>
        <v>да</v>
      </c>
      <c r="T582" s="54">
        <f>VLOOKUP(Продажи[[#This Row],[id клиента]],клиенты!$A$2:$I$435,9,0)</f>
        <v>24.542094455852155</v>
      </c>
    </row>
    <row r="583" spans="1:20" x14ac:dyDescent="0.25">
      <c r="A583">
        <v>582</v>
      </c>
      <c r="B583">
        <v>198</v>
      </c>
      <c r="C583">
        <v>383</v>
      </c>
      <c r="D583">
        <v>2</v>
      </c>
      <c r="E583" s="35">
        <v>3830</v>
      </c>
      <c r="F583" s="48">
        <v>45393</v>
      </c>
      <c r="G583" t="s">
        <v>13</v>
      </c>
      <c r="H583">
        <v>272</v>
      </c>
      <c r="I583" t="str">
        <f>VLOOKUP(Продажи[[#This Row],[id товара]],Товары[],2,0)</f>
        <v>Мясо</v>
      </c>
      <c r="J583" s="17">
        <f>AVERAGEIF(Продажи[Категория],Продажи[[#This Row],[Категория]],Продажи[цена за шт в рублях])</f>
        <v>271.74545454545455</v>
      </c>
      <c r="K583" s="16">
        <f>Продажи[[#This Row],[цена за шт в рублях]]/Продажи[[#This Row],[Средняя цена в категории за шт]]-1</f>
        <v>0.40940719925063562</v>
      </c>
      <c r="L583" t="str">
        <f>VLOOKUP(Продажи[[#This Row],[id товара]],Товары[],3,0)</f>
        <v>Мираторг</v>
      </c>
      <c r="M583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583" s="16">
        <f>Продажи[[#This Row],[цена за шт в рублях]]/Продажи[[#This Row],[Средняя цена в категории за шт по поставщику]]-1</f>
        <v>0.2097920505396158</v>
      </c>
      <c r="O583" s="48">
        <f>VLOOKUP(Продажи[[#This Row],[id клиента]],клиенты!$A$2:$E$435,5,0)</f>
        <v>44668</v>
      </c>
      <c r="P583">
        <f>Продажи[[#This Row],[дата создания чека]]-Продажи[[#This Row],[Дата регистрации]]</f>
        <v>725</v>
      </c>
      <c r="Q583" t="str">
        <f>VLOOKUP(Продажи[[#This Row],[id клиента]],клиенты!$A$2:$G$435,7,0)</f>
        <v>Таджикистан</v>
      </c>
      <c r="R583">
        <f>IF(COUNTIF($H$2:H583, H583)=1, 1, 0)</f>
        <v>0</v>
      </c>
      <c r="S583" t="str">
        <f>VLOOKUP(Продажи[[#This Row],[id клиента]],клиенты!$A$2:$D$435,4,0)</f>
        <v>нет</v>
      </c>
      <c r="T583" s="54">
        <f>VLOOKUP(Продажи[[#This Row],[id клиента]],клиенты!$A$2:$I$435,9,0)</f>
        <v>24.312114989733061</v>
      </c>
    </row>
    <row r="584" spans="1:20" x14ac:dyDescent="0.25">
      <c r="A584">
        <v>583</v>
      </c>
      <c r="B584">
        <v>233</v>
      </c>
      <c r="C584">
        <v>419</v>
      </c>
      <c r="D584">
        <v>5</v>
      </c>
      <c r="E584" s="35">
        <v>10475</v>
      </c>
      <c r="F584" s="48">
        <v>45304</v>
      </c>
      <c r="G584" t="s">
        <v>25</v>
      </c>
      <c r="H584">
        <v>388</v>
      </c>
      <c r="I584" t="str">
        <f>VLOOKUP(Продажи[[#This Row],[id товара]],Товары[],2,0)</f>
        <v>Йогурт</v>
      </c>
      <c r="J584" s="17">
        <f>AVERAGEIF(Продажи[Категория],Продажи[[#This Row],[Категория]],Продажи[цена за шт в рублях])</f>
        <v>263.25423728813558</v>
      </c>
      <c r="K584" s="16">
        <f>Продажи[[#This Row],[цена за шт в рублях]]/Продажи[[#This Row],[Средняя цена в категории за шт]]-1</f>
        <v>0.59161730620654129</v>
      </c>
      <c r="L584" t="str">
        <f>VLOOKUP(Продажи[[#This Row],[id товара]],Товары[],3,0)</f>
        <v>Ростагроэкспорт</v>
      </c>
      <c r="M584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584" s="16">
        <f>Продажи[[#This Row],[цена за шт в рублях]]/Продажи[[#This Row],[Средняя цена в категории за шт по поставщику]]-1</f>
        <v>0.62540057345252142</v>
      </c>
      <c r="O584" s="48">
        <f>VLOOKUP(Продажи[[#This Row],[id клиента]],клиенты!$A$2:$E$435,5,0)</f>
        <v>44581</v>
      </c>
      <c r="P584">
        <f>Продажи[[#This Row],[дата создания чека]]-Продажи[[#This Row],[Дата регистрации]]</f>
        <v>723</v>
      </c>
      <c r="Q584" t="str">
        <f>VLOOKUP(Продажи[[#This Row],[id клиента]],клиенты!$A$2:$G$435,7,0)</f>
        <v>Россия</v>
      </c>
      <c r="R584">
        <f>IF(COUNTIF($H$2:H584, H584)=1, 1, 0)</f>
        <v>0</v>
      </c>
      <c r="S584" t="str">
        <f>VLOOKUP(Продажи[[#This Row],[id клиента]],клиенты!$A$2:$D$435,4,0)</f>
        <v>да</v>
      </c>
      <c r="T584" s="54">
        <f>VLOOKUP(Продажи[[#This Row],[id клиента]],клиенты!$A$2:$I$435,9,0)</f>
        <v>24.082135523613964</v>
      </c>
    </row>
    <row r="585" spans="1:20" x14ac:dyDescent="0.25">
      <c r="A585">
        <v>584</v>
      </c>
      <c r="B585">
        <v>355</v>
      </c>
      <c r="C585">
        <v>210</v>
      </c>
      <c r="D585">
        <v>1</v>
      </c>
      <c r="E585" s="35">
        <v>1050</v>
      </c>
      <c r="F585" s="48">
        <v>45213</v>
      </c>
      <c r="G585" t="s">
        <v>14</v>
      </c>
      <c r="H585">
        <v>446</v>
      </c>
      <c r="I585" t="str">
        <f>VLOOKUP(Продажи[[#This Row],[id товара]],Товары[],2,0)</f>
        <v>Кофе</v>
      </c>
      <c r="J585" s="17">
        <f>AVERAGEIF(Продажи[Категория],Продажи[[#This Row],[Категория]],Продажи[цена за шт в рублях])</f>
        <v>249.02380952380952</v>
      </c>
      <c r="K585" s="16">
        <f>Продажи[[#This Row],[цена за шт в рублях]]/Продажи[[#This Row],[Средняя цена в категории за шт]]-1</f>
        <v>-0.15670714217420401</v>
      </c>
      <c r="L585" t="str">
        <f>VLOOKUP(Продажи[[#This Row],[id товара]],Товары[],3,0)</f>
        <v>Jacobs</v>
      </c>
      <c r="M585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585" s="16">
        <f>Продажи[[#This Row],[цена за шт в рублях]]/Продажи[[#This Row],[Средняя цена в категории за шт по поставщику]]-1</f>
        <v>-0.23971036585365857</v>
      </c>
      <c r="O585" s="48">
        <f>VLOOKUP(Продажи[[#This Row],[id клиента]],клиенты!$A$2:$E$435,5,0)</f>
        <v>44671</v>
      </c>
      <c r="P585">
        <f>Продажи[[#This Row],[дата создания чека]]-Продажи[[#This Row],[Дата регистрации]]</f>
        <v>542</v>
      </c>
      <c r="Q585" t="str">
        <f>VLOOKUP(Продажи[[#This Row],[id клиента]],клиенты!$A$2:$G$435,7,0)</f>
        <v>Таджикистан</v>
      </c>
      <c r="R585">
        <f>IF(COUNTIF($H$2:H585, H585)=1, 1, 0)</f>
        <v>0</v>
      </c>
      <c r="S585" t="str">
        <f>VLOOKUP(Продажи[[#This Row],[id клиента]],клиенты!$A$2:$D$435,4,0)</f>
        <v>да</v>
      </c>
      <c r="T585" s="54">
        <f>VLOOKUP(Продажи[[#This Row],[id клиента]],клиенты!$A$2:$I$435,9,0)</f>
        <v>17.806981519507186</v>
      </c>
    </row>
    <row r="586" spans="1:20" x14ac:dyDescent="0.25">
      <c r="A586">
        <v>585</v>
      </c>
      <c r="B586">
        <v>118</v>
      </c>
      <c r="C586">
        <v>214</v>
      </c>
      <c r="D586">
        <v>2</v>
      </c>
      <c r="E586" s="35">
        <v>2140</v>
      </c>
      <c r="F586" s="48">
        <v>45058</v>
      </c>
      <c r="G586" t="s">
        <v>14</v>
      </c>
      <c r="H586">
        <v>138</v>
      </c>
      <c r="I586" t="str">
        <f>VLOOKUP(Продажи[[#This Row],[id товара]],Товары[],2,0)</f>
        <v>Сахар</v>
      </c>
      <c r="J586" s="17">
        <f>AVERAGEIF(Продажи[Категория],Продажи[[#This Row],[Категория]],Продажи[цена за шт в рублях])</f>
        <v>252.76271186440678</v>
      </c>
      <c r="K586" s="16">
        <f>Продажи[[#This Row],[цена за шт в рублях]]/Продажи[[#This Row],[Средняя цена в категории за шт]]-1</f>
        <v>-0.15335613223362166</v>
      </c>
      <c r="L586" t="str">
        <f>VLOOKUP(Продажи[[#This Row],[id товара]],Товары[],3,0)</f>
        <v>Продимекс</v>
      </c>
      <c r="M586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586" s="16">
        <f>Продажи[[#This Row],[цена за шт в рублях]]/Продажи[[#This Row],[Средняя цена в категории за шт по поставщику]]-1</f>
        <v>-0.11018711018711014</v>
      </c>
      <c r="O586" s="48">
        <f>VLOOKUP(Продажи[[#This Row],[id клиента]],клиенты!$A$2:$E$435,5,0)</f>
        <v>44723</v>
      </c>
      <c r="P586">
        <f>Продажи[[#This Row],[дата создания чека]]-Продажи[[#This Row],[Дата регистрации]]</f>
        <v>335</v>
      </c>
      <c r="Q586" t="str">
        <f>VLOOKUP(Продажи[[#This Row],[id клиента]],клиенты!$A$2:$G$435,7,0)</f>
        <v>Украина</v>
      </c>
      <c r="R586">
        <f>IF(COUNTIF($H$2:H586, H586)=1, 1, 0)</f>
        <v>0</v>
      </c>
      <c r="S586" t="str">
        <f>VLOOKUP(Продажи[[#This Row],[id клиента]],клиенты!$A$2:$D$435,4,0)</f>
        <v>да</v>
      </c>
      <c r="T586" s="54">
        <f>VLOOKUP(Продажи[[#This Row],[id клиента]],клиенты!$A$2:$I$435,9,0)</f>
        <v>15.770020533880903</v>
      </c>
    </row>
    <row r="587" spans="1:20" x14ac:dyDescent="0.25">
      <c r="A587">
        <v>586</v>
      </c>
      <c r="B587">
        <v>414</v>
      </c>
      <c r="C587">
        <v>115</v>
      </c>
      <c r="D587">
        <v>2</v>
      </c>
      <c r="E587" s="35">
        <v>1150</v>
      </c>
      <c r="F587" s="48">
        <v>45094</v>
      </c>
      <c r="G587" t="s">
        <v>12</v>
      </c>
      <c r="H587">
        <v>402</v>
      </c>
      <c r="I587" t="str">
        <f>VLOOKUP(Продажи[[#This Row],[id товара]],Товары[],2,0)</f>
        <v>Фрукты</v>
      </c>
      <c r="J587" s="17">
        <f>AVERAGEIF(Продажи[Категория],Продажи[[#This Row],[Категория]],Продажи[цена за шт в рублях])</f>
        <v>274.16279069767444</v>
      </c>
      <c r="K587" s="16">
        <f>Продажи[[#This Row],[цена за шт в рублях]]/Продажи[[#This Row],[Средняя цена в категории за шт]]-1</f>
        <v>-0.58054118245822384</v>
      </c>
      <c r="L587" t="str">
        <f>VLOOKUP(Продажи[[#This Row],[id товара]],Товары[],3,0)</f>
        <v>Экзотик</v>
      </c>
      <c r="M587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587" s="16">
        <f>Продажи[[#This Row],[цена за шт в рублях]]/Продажи[[#This Row],[Средняя цена в категории за шт по поставщику]]-1</f>
        <v>-0.54668637595466862</v>
      </c>
      <c r="O587" s="48">
        <f>VLOOKUP(Продажи[[#This Row],[id клиента]],клиенты!$A$2:$E$435,5,0)</f>
        <v>44742</v>
      </c>
      <c r="P587">
        <f>Продажи[[#This Row],[дата создания чека]]-Продажи[[#This Row],[Дата регистрации]]</f>
        <v>352</v>
      </c>
      <c r="Q587" t="str">
        <f>VLOOKUP(Продажи[[#This Row],[id клиента]],клиенты!$A$2:$G$435,7,0)</f>
        <v>Узбекистан</v>
      </c>
      <c r="R587">
        <f>IF(COUNTIF($H$2:H587, H587)=1, 1, 0)</f>
        <v>0</v>
      </c>
      <c r="S587" t="str">
        <f>VLOOKUP(Продажи[[#This Row],[id клиента]],клиенты!$A$2:$D$435,4,0)</f>
        <v>да</v>
      </c>
      <c r="T587" s="54">
        <f>VLOOKUP(Продажи[[#This Row],[id клиента]],клиенты!$A$2:$I$435,9,0)</f>
        <v>11.564681724845997</v>
      </c>
    </row>
    <row r="588" spans="1:20" x14ac:dyDescent="0.25">
      <c r="A588">
        <v>587</v>
      </c>
      <c r="B588">
        <v>405</v>
      </c>
      <c r="C588">
        <v>340</v>
      </c>
      <c r="D588">
        <v>1</v>
      </c>
      <c r="E588" s="35">
        <v>1700</v>
      </c>
      <c r="F588" s="48">
        <v>45213</v>
      </c>
      <c r="G588" t="s">
        <v>11</v>
      </c>
      <c r="H588">
        <v>351</v>
      </c>
      <c r="I588" t="str">
        <f>VLOOKUP(Продажи[[#This Row],[id товара]],Товары[],2,0)</f>
        <v>Хлеб</v>
      </c>
      <c r="J588" s="17">
        <f>AVERAGEIF(Продажи[Категория],Продажи[[#This Row],[Категория]],Продажи[цена за шт в рублях])</f>
        <v>300.31818181818181</v>
      </c>
      <c r="K588" s="16">
        <f>Продажи[[#This Row],[цена за шт в рублях]]/Продажи[[#This Row],[Средняя цена в категории за шт]]-1</f>
        <v>0.1321325866505223</v>
      </c>
      <c r="L588" t="str">
        <f>VLOOKUP(Продажи[[#This Row],[id товара]],Товары[],3,0)</f>
        <v>Каравай</v>
      </c>
      <c r="M588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588" s="16">
        <f>Продажи[[#This Row],[цена за шт в рублях]]/Продажи[[#This Row],[Средняя цена в категории за шт по поставщику]]-1</f>
        <v>2.6673376950176131E-2</v>
      </c>
      <c r="O588" s="48">
        <f>VLOOKUP(Продажи[[#This Row],[id клиента]],клиенты!$A$2:$E$435,5,0)</f>
        <v>44863</v>
      </c>
      <c r="P588">
        <f>Продажи[[#This Row],[дата создания чека]]-Продажи[[#This Row],[Дата регистрации]]</f>
        <v>350</v>
      </c>
      <c r="Q588" t="str">
        <f>VLOOKUP(Продажи[[#This Row],[id клиента]],клиенты!$A$2:$G$435,7,0)</f>
        <v>Россия</v>
      </c>
      <c r="R588">
        <f>IF(COUNTIF($H$2:H588, H588)=1, 1, 0)</f>
        <v>1</v>
      </c>
      <c r="S588" t="str">
        <f>VLOOKUP(Продажи[[#This Row],[id клиента]],клиенты!$A$2:$D$435,4,0)</f>
        <v>да</v>
      </c>
      <c r="T588" s="54">
        <f>VLOOKUP(Продажи[[#This Row],[id клиента]],клиенты!$A$2:$I$435,9,0)</f>
        <v>11.498973305954825</v>
      </c>
    </row>
    <row r="589" spans="1:20" x14ac:dyDescent="0.25">
      <c r="A589">
        <v>588</v>
      </c>
      <c r="B589">
        <v>313</v>
      </c>
      <c r="C589">
        <v>392</v>
      </c>
      <c r="D589">
        <v>5</v>
      </c>
      <c r="E589" s="35">
        <v>9800</v>
      </c>
      <c r="F589" s="48">
        <v>45109</v>
      </c>
      <c r="G589" t="s">
        <v>8</v>
      </c>
      <c r="H589">
        <v>40</v>
      </c>
      <c r="I589" t="str">
        <f>VLOOKUP(Продажи[[#This Row],[id товара]],Товары[],2,0)</f>
        <v>Конфеты</v>
      </c>
      <c r="J589" s="17">
        <f>AVERAGEIF(Продажи[Категория],Продажи[[#This Row],[Категория]],Продажи[цена за шт в рублях])</f>
        <v>267.85483870967744</v>
      </c>
      <c r="K589" s="16">
        <f>Продажи[[#This Row],[цена за шт в рублях]]/Продажи[[#This Row],[Средняя цена в категории за шт]]-1</f>
        <v>0.46347925573553317</v>
      </c>
      <c r="L589" t="str">
        <f>VLOOKUP(Продажи[[#This Row],[id товара]],Товары[],3,0)</f>
        <v>Бабаевский</v>
      </c>
      <c r="M589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589" s="16">
        <f>Продажи[[#This Row],[цена за шт в рублях]]/Продажи[[#This Row],[Средняя цена в категории за шт по поставщику]]-1</f>
        <v>0.56637561047802265</v>
      </c>
      <c r="O589" s="48">
        <f>VLOOKUP(Продажи[[#This Row],[id клиента]],клиенты!$A$2:$E$435,5,0)</f>
        <v>44855</v>
      </c>
      <c r="P589">
        <f>Продажи[[#This Row],[дата создания чека]]-Продажи[[#This Row],[Дата регистрации]]</f>
        <v>254</v>
      </c>
      <c r="Q589" t="str">
        <f>VLOOKUP(Продажи[[#This Row],[id клиента]],клиенты!$A$2:$G$435,7,0)</f>
        <v>Россия</v>
      </c>
      <c r="R589">
        <f>IF(COUNTIF($H$2:H589, H589)=1, 1, 0)</f>
        <v>1</v>
      </c>
      <c r="S589" t="str">
        <f>VLOOKUP(Продажи[[#This Row],[id клиента]],клиенты!$A$2:$D$435,4,0)</f>
        <v>нет</v>
      </c>
      <c r="T589" s="54">
        <f>VLOOKUP(Продажи[[#This Row],[id клиента]],клиенты!$A$2:$I$435,9,0)</f>
        <v>18.924024640657084</v>
      </c>
    </row>
    <row r="590" spans="1:20" x14ac:dyDescent="0.25">
      <c r="A590">
        <v>589</v>
      </c>
      <c r="B590">
        <v>113</v>
      </c>
      <c r="C590">
        <v>378</v>
      </c>
      <c r="D590">
        <v>1</v>
      </c>
      <c r="E590" s="35">
        <v>1890</v>
      </c>
      <c r="F590" s="48">
        <v>45277</v>
      </c>
      <c r="G590" t="s">
        <v>10</v>
      </c>
      <c r="H590">
        <v>19</v>
      </c>
      <c r="I590" t="str">
        <f>VLOOKUP(Продажи[[#This Row],[id товара]],Товары[],2,0)</f>
        <v>Сок</v>
      </c>
      <c r="J590" s="17">
        <f>AVERAGEIF(Продажи[Категория],Продажи[[#This Row],[Категория]],Продажи[цена за шт в рублях])</f>
        <v>268.60344827586209</v>
      </c>
      <c r="K590" s="16">
        <f>Продажи[[#This Row],[цена за шт в рублях]]/Продажи[[#This Row],[Средняя цена в категории за шт]]-1</f>
        <v>0.4072790294627382</v>
      </c>
      <c r="L590" t="str">
        <f>VLOOKUP(Продажи[[#This Row],[id товара]],Товары[],3,0)</f>
        <v>Добрый</v>
      </c>
      <c r="M590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590" s="16">
        <f>Продажи[[#This Row],[цена за шт в рублях]]/Продажи[[#This Row],[Средняя цена в категории за шт по поставщику]]-1</f>
        <v>0.55672032946462013</v>
      </c>
      <c r="O590" s="48">
        <f>VLOOKUP(Продажи[[#This Row],[id клиента]],клиенты!$A$2:$E$435,5,0)</f>
        <v>44902</v>
      </c>
      <c r="P590">
        <f>Продажи[[#This Row],[дата создания чека]]-Продажи[[#This Row],[Дата регистрации]]</f>
        <v>375</v>
      </c>
      <c r="Q590" t="str">
        <f>VLOOKUP(Продажи[[#This Row],[id клиента]],клиенты!$A$2:$G$435,7,0)</f>
        <v>Россия</v>
      </c>
      <c r="R590">
        <f>IF(COUNTIF($H$2:H590, H590)=1, 1, 0)</f>
        <v>0</v>
      </c>
      <c r="S590" t="str">
        <f>VLOOKUP(Продажи[[#This Row],[id клиента]],клиенты!$A$2:$D$435,4,0)</f>
        <v>да</v>
      </c>
      <c r="T590" s="54">
        <f>VLOOKUP(Продажи[[#This Row],[id клиента]],клиенты!$A$2:$I$435,9,0)</f>
        <v>12.320328542094456</v>
      </c>
    </row>
    <row r="591" spans="1:20" x14ac:dyDescent="0.25">
      <c r="A591">
        <v>590</v>
      </c>
      <c r="B591">
        <v>474</v>
      </c>
      <c r="C591">
        <v>204</v>
      </c>
      <c r="D591">
        <v>2</v>
      </c>
      <c r="E591" s="35">
        <v>2040</v>
      </c>
      <c r="F591" s="48">
        <v>45349</v>
      </c>
      <c r="G591" t="s">
        <v>23</v>
      </c>
      <c r="H591">
        <v>153</v>
      </c>
      <c r="I591" t="str">
        <f>VLOOKUP(Продажи[[#This Row],[id товара]],Товары[],2,0)</f>
        <v>Молоко</v>
      </c>
      <c r="J591" s="17">
        <f>AVERAGEIF(Продажи[Категория],Продажи[[#This Row],[Категория]],Продажи[цена за шт в рублях])</f>
        <v>294.95238095238096</v>
      </c>
      <c r="K591" s="16">
        <f>Продажи[[#This Row],[цена за шт в рублях]]/Продажи[[#This Row],[Средняя цена в категории за шт]]-1</f>
        <v>-0.30836293186955122</v>
      </c>
      <c r="L591" t="str">
        <f>VLOOKUP(Продажи[[#This Row],[id товара]],Товары[],3,0)</f>
        <v>Простоквашино</v>
      </c>
      <c r="M591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591" s="16">
        <f>Продажи[[#This Row],[цена за шт в рублях]]/Продажи[[#This Row],[Средняя цена в категории за шт по поставщику]]-1</f>
        <v>-0.36013686911890508</v>
      </c>
      <c r="O591" s="48">
        <f>VLOOKUP(Продажи[[#This Row],[id клиента]],клиенты!$A$2:$E$435,5,0)</f>
        <v>44802</v>
      </c>
      <c r="P591">
        <f>Продажи[[#This Row],[дата создания чека]]-Продажи[[#This Row],[Дата регистрации]]</f>
        <v>547</v>
      </c>
      <c r="Q591" t="str">
        <f>VLOOKUP(Продажи[[#This Row],[id клиента]],клиенты!$A$2:$G$435,7,0)</f>
        <v>Россия</v>
      </c>
      <c r="R591">
        <f>IF(COUNTIF($H$2:H591, H591)=1, 1, 0)</f>
        <v>0</v>
      </c>
      <c r="S591" t="str">
        <f>VLOOKUP(Продажи[[#This Row],[id клиента]],клиенты!$A$2:$D$435,4,0)</f>
        <v>нет</v>
      </c>
      <c r="T591" s="54">
        <f>VLOOKUP(Продажи[[#This Row],[id клиента]],клиенты!$A$2:$I$435,9,0)</f>
        <v>17.971252566735114</v>
      </c>
    </row>
    <row r="592" spans="1:20" x14ac:dyDescent="0.25">
      <c r="A592">
        <v>591</v>
      </c>
      <c r="B592">
        <v>361</v>
      </c>
      <c r="C592">
        <v>69</v>
      </c>
      <c r="D592">
        <v>1</v>
      </c>
      <c r="E592" s="35">
        <v>345</v>
      </c>
      <c r="F592" s="48">
        <v>45021</v>
      </c>
      <c r="G592" t="s">
        <v>27</v>
      </c>
      <c r="H592">
        <v>355</v>
      </c>
      <c r="I592" t="str">
        <f>VLOOKUP(Продажи[[#This Row],[id товара]],Товары[],2,0)</f>
        <v>Мясо</v>
      </c>
      <c r="J592" s="17">
        <f>AVERAGEIF(Продажи[Категория],Продажи[[#This Row],[Категория]],Продажи[цена за шт в рублях])</f>
        <v>271.74545454545455</v>
      </c>
      <c r="K592" s="16">
        <f>Продажи[[#This Row],[цена за шт в рублях]]/Продажи[[#This Row],[Средняя цена в категории за шт]]-1</f>
        <v>-0.74608590927338425</v>
      </c>
      <c r="L592" t="str">
        <f>VLOOKUP(Продажи[[#This Row],[id товара]],Товары[],3,0)</f>
        <v>Сава</v>
      </c>
      <c r="M592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592" s="16">
        <f>Продажи[[#This Row],[цена за шт в рублях]]/Продажи[[#This Row],[Средняя цена в категории за шт по поставщику]]-1</f>
        <v>-0.67577092511013215</v>
      </c>
      <c r="O592" s="48">
        <f>VLOOKUP(Продажи[[#This Row],[id клиента]],клиенты!$A$2:$E$435,5,0)</f>
        <v>44631</v>
      </c>
      <c r="P592">
        <f>Продажи[[#This Row],[дата создания чека]]-Продажи[[#This Row],[Дата регистрации]]</f>
        <v>390</v>
      </c>
      <c r="Q592" t="str">
        <f>VLOOKUP(Продажи[[#This Row],[id клиента]],клиенты!$A$2:$G$435,7,0)</f>
        <v>Россия</v>
      </c>
      <c r="R592">
        <f>IF(COUNTIF($H$2:H592, H592)=1, 1, 0)</f>
        <v>0</v>
      </c>
      <c r="S592" t="str">
        <f>VLOOKUP(Продажи[[#This Row],[id клиента]],клиенты!$A$2:$D$435,4,0)</f>
        <v>нет</v>
      </c>
      <c r="T592" s="54">
        <f>VLOOKUP(Продажи[[#This Row],[id клиента]],клиенты!$A$2:$I$435,9,0)</f>
        <v>18.102669404517453</v>
      </c>
    </row>
    <row r="593" spans="1:20" x14ac:dyDescent="0.25">
      <c r="A593">
        <v>592</v>
      </c>
      <c r="B593">
        <v>291</v>
      </c>
      <c r="C593">
        <v>455</v>
      </c>
      <c r="D593">
        <v>5</v>
      </c>
      <c r="E593" s="35">
        <v>11375</v>
      </c>
      <c r="F593" s="48">
        <v>45142</v>
      </c>
      <c r="G593" t="s">
        <v>18</v>
      </c>
      <c r="H593">
        <v>245</v>
      </c>
      <c r="I593" t="str">
        <f>VLOOKUP(Продажи[[#This Row],[id товара]],Товары[],2,0)</f>
        <v>Рыба</v>
      </c>
      <c r="J593" s="17">
        <f>AVERAGEIF(Продажи[Категория],Продажи[[#This Row],[Категория]],Продажи[цена за шт в рублях])</f>
        <v>258.5128205128205</v>
      </c>
      <c r="K593" s="16">
        <f>Продажи[[#This Row],[цена за шт в рублях]]/Продажи[[#This Row],[Средняя цена в категории за шт]]-1</f>
        <v>0.76006744693513206</v>
      </c>
      <c r="L593" t="str">
        <f>VLOOKUP(Продажи[[#This Row],[id товара]],Товары[],3,0)</f>
        <v>Балтийский берег</v>
      </c>
      <c r="M593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593" s="16">
        <f>Продажи[[#This Row],[цена за шт в рублях]]/Продажи[[#This Row],[Средняя цена в категории за шт по поставщику]]-1</f>
        <v>0.56956688386354903</v>
      </c>
      <c r="O593" s="48">
        <f>VLOOKUP(Продажи[[#This Row],[id клиента]],клиенты!$A$2:$E$435,5,0)</f>
        <v>44695</v>
      </c>
      <c r="P593">
        <f>Продажи[[#This Row],[дата создания чека]]-Продажи[[#This Row],[Дата регистрации]]</f>
        <v>447</v>
      </c>
      <c r="Q593" t="str">
        <f>VLOOKUP(Продажи[[#This Row],[id клиента]],клиенты!$A$2:$G$435,7,0)</f>
        <v>Узбекистан</v>
      </c>
      <c r="R593">
        <f>IF(COUNTIF($H$2:H593, H593)=1, 1, 0)</f>
        <v>1</v>
      </c>
      <c r="S593" t="str">
        <f>VLOOKUP(Продажи[[#This Row],[id клиента]],клиенты!$A$2:$D$435,4,0)</f>
        <v>нет</v>
      </c>
      <c r="T593" s="54">
        <f>VLOOKUP(Продажи[[#This Row],[id клиента]],клиенты!$A$2:$I$435,9,0)</f>
        <v>14.685831622176591</v>
      </c>
    </row>
    <row r="594" spans="1:20" x14ac:dyDescent="0.25">
      <c r="A594">
        <v>593</v>
      </c>
      <c r="B594">
        <v>360</v>
      </c>
      <c r="C594">
        <v>137</v>
      </c>
      <c r="D594">
        <v>2</v>
      </c>
      <c r="E594" s="35">
        <v>1370</v>
      </c>
      <c r="F594" s="48">
        <v>45318</v>
      </c>
      <c r="G594" t="s">
        <v>22</v>
      </c>
      <c r="H594">
        <v>80</v>
      </c>
      <c r="I594" t="str">
        <f>VLOOKUP(Продажи[[#This Row],[id товара]],Товары[],2,0)</f>
        <v>Соль</v>
      </c>
      <c r="J594" s="17">
        <f>AVERAGEIF(Продажи[Категория],Продажи[[#This Row],[Категория]],Продажи[цена за шт в рублях])</f>
        <v>264.8679245283019</v>
      </c>
      <c r="K594" s="16">
        <f>Продажи[[#This Row],[цена за шт в рублях]]/Продажи[[#This Row],[Средняя цена в категории за шт]]-1</f>
        <v>-0.48276107707650662</v>
      </c>
      <c r="L594" t="str">
        <f>VLOOKUP(Продажи[[#This Row],[id товара]],Товары[],3,0)</f>
        <v>Славянская</v>
      </c>
      <c r="M594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594" s="16">
        <f>Продажи[[#This Row],[цена за шт в рублях]]/Продажи[[#This Row],[Средняя цена в категории за шт по поставщику]]-1</f>
        <v>-0.42173760112557157</v>
      </c>
      <c r="O594" s="48">
        <f>VLOOKUP(Продажи[[#This Row],[id клиента]],клиенты!$A$2:$E$435,5,0)</f>
        <v>44623</v>
      </c>
      <c r="P594">
        <f>Продажи[[#This Row],[дата создания чека]]-Продажи[[#This Row],[Дата регистрации]]</f>
        <v>695</v>
      </c>
      <c r="Q594" t="str">
        <f>VLOOKUP(Продажи[[#This Row],[id клиента]],клиенты!$A$2:$G$435,7,0)</f>
        <v>Беларусь</v>
      </c>
      <c r="R594">
        <f>IF(COUNTIF($H$2:H594, H594)=1, 1, 0)</f>
        <v>0</v>
      </c>
      <c r="S594" t="str">
        <f>VLOOKUP(Продажи[[#This Row],[id клиента]],клиенты!$A$2:$D$435,4,0)</f>
        <v>нет</v>
      </c>
      <c r="T594" s="54">
        <f>VLOOKUP(Продажи[[#This Row],[id клиента]],клиенты!$A$2:$I$435,9,0)</f>
        <v>25.790554414784395</v>
      </c>
    </row>
    <row r="595" spans="1:20" x14ac:dyDescent="0.25">
      <c r="A595">
        <v>594</v>
      </c>
      <c r="B595">
        <v>182</v>
      </c>
      <c r="C595">
        <v>152</v>
      </c>
      <c r="D595">
        <v>3</v>
      </c>
      <c r="E595" s="35">
        <v>2280</v>
      </c>
      <c r="F595" s="48">
        <v>45053</v>
      </c>
      <c r="G595" t="s">
        <v>22</v>
      </c>
      <c r="H595">
        <v>466</v>
      </c>
      <c r="I595" t="str">
        <f>VLOOKUP(Продажи[[#This Row],[id товара]],Товары[],2,0)</f>
        <v>Соль</v>
      </c>
      <c r="J595" s="17">
        <f>AVERAGEIF(Продажи[Категория],Продажи[[#This Row],[Категория]],Продажи[цена за шт в рублях])</f>
        <v>264.8679245283019</v>
      </c>
      <c r="K595" s="16">
        <f>Продажи[[#This Row],[цена за шт в рублях]]/Продажи[[#This Row],[Средняя цена в категории за шт]]-1</f>
        <v>-0.42612907821627011</v>
      </c>
      <c r="L595" t="str">
        <f>VLOOKUP(Продажи[[#This Row],[id товара]],Товары[],3,0)</f>
        <v>Экстра</v>
      </c>
      <c r="M595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595" s="16">
        <f>Продажи[[#This Row],[цена за шт в рублях]]/Продажи[[#This Row],[Средняя цена в категории за шт по поставщику]]-1</f>
        <v>-0.5262526971949173</v>
      </c>
      <c r="O595" s="48">
        <f>VLOOKUP(Продажи[[#This Row],[id клиента]],клиенты!$A$2:$E$435,5,0)</f>
        <v>44772</v>
      </c>
      <c r="P595">
        <f>Продажи[[#This Row],[дата создания чека]]-Продажи[[#This Row],[Дата регистрации]]</f>
        <v>281</v>
      </c>
      <c r="Q595" t="str">
        <f>VLOOKUP(Продажи[[#This Row],[id клиента]],клиенты!$A$2:$G$435,7,0)</f>
        <v>Беларусь</v>
      </c>
      <c r="R595">
        <f>IF(COUNTIF($H$2:H595, H595)=1, 1, 0)</f>
        <v>1</v>
      </c>
      <c r="S595" t="str">
        <f>VLOOKUP(Продажи[[#This Row],[id клиента]],клиенты!$A$2:$D$435,4,0)</f>
        <v>да</v>
      </c>
      <c r="T595" s="54">
        <f>VLOOKUP(Продажи[[#This Row],[id клиента]],клиенты!$A$2:$I$435,9,0)</f>
        <v>9.2320328542094447</v>
      </c>
    </row>
    <row r="596" spans="1:20" x14ac:dyDescent="0.25">
      <c r="A596">
        <v>595</v>
      </c>
      <c r="B596">
        <v>490</v>
      </c>
      <c r="C596">
        <v>170</v>
      </c>
      <c r="D596">
        <v>5</v>
      </c>
      <c r="E596" s="35">
        <v>4250</v>
      </c>
      <c r="F596" s="48">
        <v>45058</v>
      </c>
      <c r="G596" t="s">
        <v>17</v>
      </c>
      <c r="H596">
        <v>317</v>
      </c>
      <c r="I596" t="str">
        <f>VLOOKUP(Продажи[[#This Row],[id товара]],Товары[],2,0)</f>
        <v>Сыр</v>
      </c>
      <c r="J596" s="17">
        <f>AVERAGEIF(Продажи[Категория],Продажи[[#This Row],[Категория]],Продажи[цена за шт в рублях])</f>
        <v>262.63492063492066</v>
      </c>
      <c r="K596" s="16">
        <f>Продажи[[#This Row],[цена за шт в рублях]]/Продажи[[#This Row],[Средняя цена в категории за шт]]-1</f>
        <v>-0.35271364680285267</v>
      </c>
      <c r="L596" t="str">
        <f>VLOOKUP(Продажи[[#This Row],[id товара]],Товары[],3,0)</f>
        <v>Сырная долина</v>
      </c>
      <c r="M596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596" s="16">
        <f>Продажи[[#This Row],[цена за шт в рублях]]/Продажи[[#This Row],[Средняя цена в категории за шт по поставщику]]-1</f>
        <v>-0.37269372693726932</v>
      </c>
      <c r="O596" s="48">
        <f>VLOOKUP(Продажи[[#This Row],[id клиента]],клиенты!$A$2:$E$435,5,0)</f>
        <v>44770</v>
      </c>
      <c r="P596">
        <f>Продажи[[#This Row],[дата создания чека]]-Продажи[[#This Row],[Дата регистрации]]</f>
        <v>288</v>
      </c>
      <c r="Q596" t="str">
        <f>VLOOKUP(Продажи[[#This Row],[id клиента]],клиенты!$A$2:$G$435,7,0)</f>
        <v>Россия</v>
      </c>
      <c r="R596">
        <f>IF(COUNTIF($H$2:H596, H596)=1, 1, 0)</f>
        <v>0</v>
      </c>
      <c r="S596" t="str">
        <f>VLOOKUP(Продажи[[#This Row],[id клиента]],клиенты!$A$2:$D$435,4,0)</f>
        <v>нет</v>
      </c>
      <c r="T596" s="54">
        <f>VLOOKUP(Продажи[[#This Row],[id клиента]],клиенты!$A$2:$I$435,9,0)</f>
        <v>19.383983572895279</v>
      </c>
    </row>
    <row r="597" spans="1:20" x14ac:dyDescent="0.25">
      <c r="A597">
        <v>596</v>
      </c>
      <c r="B597">
        <v>215</v>
      </c>
      <c r="C597">
        <v>496</v>
      </c>
      <c r="D597">
        <v>2</v>
      </c>
      <c r="E597" s="35">
        <v>4960</v>
      </c>
      <c r="F597" s="48">
        <v>45404</v>
      </c>
      <c r="G597" t="s">
        <v>12</v>
      </c>
      <c r="H597">
        <v>342</v>
      </c>
      <c r="I597" t="str">
        <f>VLOOKUP(Продажи[[#This Row],[id товара]],Товары[],2,0)</f>
        <v>Сок</v>
      </c>
      <c r="J597" s="17">
        <f>AVERAGEIF(Продажи[Категория],Продажи[[#This Row],[Категория]],Продажи[цена за шт в рублях])</f>
        <v>268.60344827586209</v>
      </c>
      <c r="K597" s="16">
        <f>Продажи[[#This Row],[цена за шт в рублях]]/Продажи[[#This Row],[Средняя цена в категории за шт]]-1</f>
        <v>0.84658835612041838</v>
      </c>
      <c r="L597" t="str">
        <f>VLOOKUP(Продажи[[#This Row],[id товара]],Товары[],3,0)</f>
        <v>Фруктовый сад</v>
      </c>
      <c r="M597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597" s="16">
        <f>Продажи[[#This Row],[цена за шт в рублях]]/Продажи[[#This Row],[Средняя цена в категории за шт по поставщику]]-1</f>
        <v>0.75906017954117266</v>
      </c>
      <c r="O597" s="48">
        <f>VLOOKUP(Продажи[[#This Row],[id клиента]],клиенты!$A$2:$E$435,5,0)</f>
        <v>44570</v>
      </c>
      <c r="P597">
        <f>Продажи[[#This Row],[дата создания чека]]-Продажи[[#This Row],[Дата регистрации]]</f>
        <v>834</v>
      </c>
      <c r="Q597" t="str">
        <f>VLOOKUP(Продажи[[#This Row],[id клиента]],клиенты!$A$2:$G$435,7,0)</f>
        <v>Таджикистан</v>
      </c>
      <c r="R597">
        <f>IF(COUNTIF($H$2:H597, H597)=1, 1, 0)</f>
        <v>0</v>
      </c>
      <c r="S597" t="str">
        <f>VLOOKUP(Продажи[[#This Row],[id клиента]],клиенты!$A$2:$D$435,4,0)</f>
        <v>да</v>
      </c>
      <c r="T597" s="54">
        <f>VLOOKUP(Продажи[[#This Row],[id клиента]],клиенты!$A$2:$I$435,9,0)</f>
        <v>27.400410677618069</v>
      </c>
    </row>
    <row r="598" spans="1:20" x14ac:dyDescent="0.25">
      <c r="A598">
        <v>597</v>
      </c>
      <c r="B598">
        <v>137</v>
      </c>
      <c r="C598">
        <v>411</v>
      </c>
      <c r="D598">
        <v>1</v>
      </c>
      <c r="E598" s="35">
        <v>2055</v>
      </c>
      <c r="F598" s="48">
        <v>45192</v>
      </c>
      <c r="G598" t="s">
        <v>27</v>
      </c>
      <c r="H598">
        <v>130</v>
      </c>
      <c r="I598" t="str">
        <f>VLOOKUP(Продажи[[#This Row],[id товара]],Товары[],2,0)</f>
        <v>Фрукты</v>
      </c>
      <c r="J598" s="17">
        <f>AVERAGEIF(Продажи[Категория],Продажи[[#This Row],[Категория]],Продажи[цена за шт в рублях])</f>
        <v>274.16279069767444</v>
      </c>
      <c r="K598" s="16">
        <f>Продажи[[#This Row],[цена за шт в рублях]]/Продажи[[#This Row],[Средняя цена в категории за шт]]-1</f>
        <v>0.49910933921452183</v>
      </c>
      <c r="L598" t="str">
        <f>VLOOKUP(Продажи[[#This Row],[id товара]],Товары[],3,0)</f>
        <v>Экзотик</v>
      </c>
      <c r="M598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598" s="16">
        <f>Продажи[[#This Row],[цена за шт в рублях]]/Продажи[[#This Row],[Средняя цена в категории за шт по поставщику]]-1</f>
        <v>0.62010347376201036</v>
      </c>
      <c r="O598" s="48">
        <f>VLOOKUP(Продажи[[#This Row],[id клиента]],клиенты!$A$2:$E$435,5,0)</f>
        <v>44863</v>
      </c>
      <c r="P598">
        <f>Продажи[[#This Row],[дата создания чека]]-Продажи[[#This Row],[Дата регистрации]]</f>
        <v>329</v>
      </c>
      <c r="Q598" t="str">
        <f>VLOOKUP(Продажи[[#This Row],[id клиента]],клиенты!$A$2:$G$435,7,0)</f>
        <v>Таджикистан</v>
      </c>
      <c r="R598">
        <f>IF(COUNTIF($H$2:H598, H598)=1, 1, 0)</f>
        <v>0</v>
      </c>
      <c r="S598" t="str">
        <f>VLOOKUP(Продажи[[#This Row],[id клиента]],клиенты!$A$2:$D$435,4,0)</f>
        <v>нет</v>
      </c>
      <c r="T598" s="54">
        <f>VLOOKUP(Продажи[[#This Row],[id клиента]],клиенты!$A$2:$I$435,9,0)</f>
        <v>10.809034907597535</v>
      </c>
    </row>
    <row r="599" spans="1:20" x14ac:dyDescent="0.25">
      <c r="A599">
        <v>598</v>
      </c>
      <c r="B599">
        <v>75</v>
      </c>
      <c r="C599">
        <v>240</v>
      </c>
      <c r="D599">
        <v>4</v>
      </c>
      <c r="E599" s="35">
        <v>4800</v>
      </c>
      <c r="F599" s="48">
        <v>45148</v>
      </c>
      <c r="G599" t="s">
        <v>22</v>
      </c>
      <c r="H599">
        <v>53</v>
      </c>
      <c r="I599" t="str">
        <f>VLOOKUP(Продажи[[#This Row],[id товара]],Товары[],2,0)</f>
        <v>Печенье</v>
      </c>
      <c r="J599" s="17">
        <f>AVERAGEIF(Продажи[Категория],Продажи[[#This Row],[Категория]],Продажи[цена за шт в рублях])</f>
        <v>283.468085106383</v>
      </c>
      <c r="K599" s="16">
        <f>Продажи[[#This Row],[цена за шт в рублях]]/Продажи[[#This Row],[Средняя цена в категории за шт]]-1</f>
        <v>-0.15334384147714486</v>
      </c>
      <c r="L599" t="str">
        <f>VLOOKUP(Продажи[[#This Row],[id товара]],Товары[],3,0)</f>
        <v>Белогорье</v>
      </c>
      <c r="M599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599" s="16">
        <f>Продажи[[#This Row],[цена за шт в рублях]]/Продажи[[#This Row],[Средняя цена в категории за шт по поставщику]]-1</f>
        <v>-3.8076152304609256E-2</v>
      </c>
      <c r="O599" s="48">
        <f>VLOOKUP(Продажи[[#This Row],[id клиента]],клиенты!$A$2:$E$435,5,0)</f>
        <v>44593</v>
      </c>
      <c r="P599">
        <f>Продажи[[#This Row],[дата создания чека]]-Продажи[[#This Row],[Дата регистрации]]</f>
        <v>555</v>
      </c>
      <c r="Q599" t="str">
        <f>VLOOKUP(Продажи[[#This Row],[id клиента]],клиенты!$A$2:$G$435,7,0)</f>
        <v>Россия</v>
      </c>
      <c r="R599">
        <f>IF(COUNTIF($H$2:H599, H599)=1, 1, 0)</f>
        <v>0</v>
      </c>
      <c r="S599" t="str">
        <f>VLOOKUP(Продажи[[#This Row],[id клиента]],клиенты!$A$2:$D$435,4,0)</f>
        <v>нет</v>
      </c>
      <c r="T599" s="54">
        <f>VLOOKUP(Продажи[[#This Row],[id клиента]],клиенты!$A$2:$I$435,9,0)</f>
        <v>18.234086242299796</v>
      </c>
    </row>
    <row r="600" spans="1:20" x14ac:dyDescent="0.25">
      <c r="A600">
        <v>599</v>
      </c>
      <c r="B600">
        <v>359</v>
      </c>
      <c r="C600">
        <v>302</v>
      </c>
      <c r="D600">
        <v>4</v>
      </c>
      <c r="E600" s="35">
        <v>6040</v>
      </c>
      <c r="F600" s="48">
        <v>45195</v>
      </c>
      <c r="G600" t="s">
        <v>22</v>
      </c>
      <c r="H600">
        <v>122</v>
      </c>
      <c r="I600" t="str">
        <f>VLOOKUP(Продажи[[#This Row],[id товара]],Товары[],2,0)</f>
        <v>Мясо</v>
      </c>
      <c r="J600" s="17">
        <f>AVERAGEIF(Продажи[Категория],Продажи[[#This Row],[Категория]],Продажи[цена за шт в рублях])</f>
        <v>271.74545454545455</v>
      </c>
      <c r="K600" s="16">
        <f>Продажи[[#This Row],[цена за шт в рублях]]/Продажи[[#This Row],[Средняя цена в категории за шт]]-1</f>
        <v>0.11133413622373878</v>
      </c>
      <c r="L600" t="str">
        <f>VLOOKUP(Продажи[[#This Row],[id товара]],Товары[],3,0)</f>
        <v>Мираторг</v>
      </c>
      <c r="M600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600" s="16">
        <f>Продажи[[#This Row],[цена за шт в рублях]]/Продажи[[#This Row],[Средняя цена в категории за шт по поставщику]]-1</f>
        <v>-4.6064753882600673E-2</v>
      </c>
      <c r="O600" s="48">
        <f>VLOOKUP(Продажи[[#This Row],[id клиента]],клиенты!$A$2:$E$435,5,0)</f>
        <v>44683</v>
      </c>
      <c r="P600">
        <f>Продажи[[#This Row],[дата создания чека]]-Продажи[[#This Row],[Дата регистрации]]</f>
        <v>512</v>
      </c>
      <c r="Q600" t="str">
        <f>VLOOKUP(Продажи[[#This Row],[id клиента]],клиенты!$A$2:$G$435,7,0)</f>
        <v>Беларусь</v>
      </c>
      <c r="R600">
        <f>IF(COUNTIF($H$2:H600, H600)=1, 1, 0)</f>
        <v>1</v>
      </c>
      <c r="S600" t="str">
        <f>VLOOKUP(Продажи[[#This Row],[id клиента]],клиенты!$A$2:$D$435,4,0)</f>
        <v>нет</v>
      </c>
      <c r="T600" s="54">
        <f>VLOOKUP(Продажи[[#This Row],[id клиента]],клиенты!$A$2:$I$435,9,0)</f>
        <v>16.821355236139631</v>
      </c>
    </row>
    <row r="601" spans="1:20" x14ac:dyDescent="0.25">
      <c r="A601">
        <v>600</v>
      </c>
      <c r="B601">
        <v>364</v>
      </c>
      <c r="C601">
        <v>138</v>
      </c>
      <c r="D601">
        <v>4</v>
      </c>
      <c r="E601" s="35">
        <v>2760</v>
      </c>
      <c r="F601" s="48">
        <v>45256</v>
      </c>
      <c r="G601" t="s">
        <v>22</v>
      </c>
      <c r="H601">
        <v>199</v>
      </c>
      <c r="I601" t="str">
        <f>VLOOKUP(Продажи[[#This Row],[id товара]],Товары[],2,0)</f>
        <v>Сахар</v>
      </c>
      <c r="J601" s="17">
        <f>AVERAGEIF(Продажи[Категория],Продажи[[#This Row],[Категория]],Продажи[цена за шт в рублях])</f>
        <v>252.76271186440678</v>
      </c>
      <c r="K601" s="16">
        <f>Продажи[[#This Row],[цена за шт в рублях]]/Продажи[[#This Row],[Средняя цена в категории за шт]]-1</f>
        <v>-0.45403339368336348</v>
      </c>
      <c r="L601" t="str">
        <f>VLOOKUP(Продажи[[#This Row],[id товара]],Товары[],3,0)</f>
        <v>Русский сахар</v>
      </c>
      <c r="M601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601" s="16">
        <f>Продажи[[#This Row],[цена за шт в рублях]]/Продажи[[#This Row],[Средняя цена в категории за шт по поставщику]]-1</f>
        <v>-0.52967121090617486</v>
      </c>
      <c r="O601" s="48">
        <f>VLOOKUP(Продажи[[#This Row],[id клиента]],клиенты!$A$2:$E$435,5,0)</f>
        <v>44715</v>
      </c>
      <c r="P601">
        <f>Продажи[[#This Row],[дата создания чека]]-Продажи[[#This Row],[Дата регистрации]]</f>
        <v>541</v>
      </c>
      <c r="Q601" t="str">
        <f>VLOOKUP(Продажи[[#This Row],[id клиента]],клиенты!$A$2:$G$435,7,0)</f>
        <v>Узбекистан</v>
      </c>
      <c r="R601">
        <f>IF(COUNTIF($H$2:H601, H601)=1, 1, 0)</f>
        <v>1</v>
      </c>
      <c r="S601" t="str">
        <f>VLOOKUP(Продажи[[#This Row],[id клиента]],клиенты!$A$2:$D$435,4,0)</f>
        <v>да</v>
      </c>
      <c r="T601" s="54">
        <f>VLOOKUP(Продажи[[#This Row],[id клиента]],клиенты!$A$2:$I$435,9,0)</f>
        <v>21.125256673511295</v>
      </c>
    </row>
    <row r="602" spans="1:20" x14ac:dyDescent="0.25">
      <c r="A602">
        <v>601</v>
      </c>
      <c r="B602">
        <v>197</v>
      </c>
      <c r="C602">
        <v>309</v>
      </c>
      <c r="D602">
        <v>4</v>
      </c>
      <c r="E602" s="35">
        <v>6180</v>
      </c>
      <c r="F602" s="48">
        <v>45212</v>
      </c>
      <c r="G602" t="s">
        <v>15</v>
      </c>
      <c r="H602">
        <v>52</v>
      </c>
      <c r="I602" t="str">
        <f>VLOOKUP(Продажи[[#This Row],[id товара]],Товары[],2,0)</f>
        <v>Печенье</v>
      </c>
      <c r="J602" s="17">
        <f>AVERAGEIF(Продажи[Категория],Продажи[[#This Row],[Категория]],Продажи[цена за шт в рублях])</f>
        <v>283.468085106383</v>
      </c>
      <c r="K602" s="16">
        <f>Продажи[[#This Row],[цена за шт в рублях]]/Продажи[[#This Row],[Средняя цена в категории за шт]]-1</f>
        <v>9.0069804098175998E-2</v>
      </c>
      <c r="L602" t="str">
        <f>VLOOKUP(Продажи[[#This Row],[id товара]],Товары[],3,0)</f>
        <v>Юбилейное</v>
      </c>
      <c r="M602" s="32">
        <f>AVERAGEIFS(Продажи[цена за шт в рублях],Продажи[Категория],Продажи[[#This Row],[Категория]],Продажи[Поставщик],Продажи[[#This Row],[Поставщик]])</f>
        <v>232.44444444444446</v>
      </c>
      <c r="N602" s="16">
        <f>Продажи[[#This Row],[цена за шт в рублях]]/Продажи[[#This Row],[Средняя цена в категории за шт по поставщику]]-1</f>
        <v>0.32934990439770551</v>
      </c>
      <c r="O602" s="48">
        <f>VLOOKUP(Продажи[[#This Row],[id клиента]],клиенты!$A$2:$E$435,5,0)</f>
        <v>44917</v>
      </c>
      <c r="P602">
        <f>Продажи[[#This Row],[дата создания чека]]-Продажи[[#This Row],[Дата регистрации]]</f>
        <v>295</v>
      </c>
      <c r="Q602" t="str">
        <f>VLOOKUP(Продажи[[#This Row],[id клиента]],клиенты!$A$2:$G$435,7,0)</f>
        <v>Россия</v>
      </c>
      <c r="R602">
        <f>IF(COUNTIF($H$2:H602, H602)=1, 1, 0)</f>
        <v>0</v>
      </c>
      <c r="S602" t="str">
        <f>VLOOKUP(Продажи[[#This Row],[id клиента]],клиенты!$A$2:$D$435,4,0)</f>
        <v>да</v>
      </c>
      <c r="T602" s="54">
        <f>VLOOKUP(Продажи[[#This Row],[id клиента]],клиенты!$A$2:$I$435,9,0)</f>
        <v>13.930184804928132</v>
      </c>
    </row>
    <row r="603" spans="1:20" x14ac:dyDescent="0.25">
      <c r="A603">
        <v>602</v>
      </c>
      <c r="B603">
        <v>157</v>
      </c>
      <c r="C603">
        <v>473</v>
      </c>
      <c r="D603">
        <v>5</v>
      </c>
      <c r="E603" s="35">
        <v>11825</v>
      </c>
      <c r="F603" s="48">
        <v>45012</v>
      </c>
      <c r="G603" t="s">
        <v>22</v>
      </c>
      <c r="H603">
        <v>477</v>
      </c>
      <c r="I603" t="str">
        <f>VLOOKUP(Продажи[[#This Row],[id товара]],Товары[],2,0)</f>
        <v>Сыр</v>
      </c>
      <c r="J603" s="17">
        <f>AVERAGEIF(Продажи[Категория],Продажи[[#This Row],[Категория]],Продажи[цена за шт в рублях])</f>
        <v>262.63492063492066</v>
      </c>
      <c r="K603" s="16">
        <f>Продажи[[#This Row],[цена за шт в рублях]]/Продажи[[#This Row],[Средняя цена в категории за шт]]-1</f>
        <v>0.80097908860147449</v>
      </c>
      <c r="L603" t="str">
        <f>VLOOKUP(Продажи[[#This Row],[id товара]],Товары[],3,0)</f>
        <v>President</v>
      </c>
      <c r="M603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603" s="16">
        <f>Продажи[[#This Row],[цена за шт в рублях]]/Продажи[[#This Row],[Средняя цена в категории за шт по поставщику]]-1</f>
        <v>0.98138235978589705</v>
      </c>
      <c r="O603" s="48">
        <f>VLOOKUP(Продажи[[#This Row],[id клиента]],клиенты!$A$2:$E$435,5,0)</f>
        <v>44738</v>
      </c>
      <c r="P603">
        <f>Продажи[[#This Row],[дата создания чека]]-Продажи[[#This Row],[Дата регистрации]]</f>
        <v>274</v>
      </c>
      <c r="Q603" t="str">
        <f>VLOOKUP(Продажи[[#This Row],[id клиента]],клиенты!$A$2:$G$435,7,0)</f>
        <v>Узбекистан</v>
      </c>
      <c r="R603">
        <f>IF(COUNTIF($H$2:H603, H603)=1, 1, 0)</f>
        <v>0</v>
      </c>
      <c r="S603" t="str">
        <f>VLOOKUP(Продажи[[#This Row],[id клиента]],клиенты!$A$2:$D$435,4,0)</f>
        <v>да</v>
      </c>
      <c r="T603" s="54">
        <f>VLOOKUP(Продажи[[#This Row],[id клиента]],клиенты!$A$2:$I$435,9,0)</f>
        <v>20.073921971252567</v>
      </c>
    </row>
    <row r="604" spans="1:20" x14ac:dyDescent="0.25">
      <c r="A604">
        <v>603</v>
      </c>
      <c r="B604">
        <v>105</v>
      </c>
      <c r="C604">
        <v>187</v>
      </c>
      <c r="D604">
        <v>1</v>
      </c>
      <c r="E604" s="35">
        <v>935</v>
      </c>
      <c r="F604" s="48">
        <v>45038</v>
      </c>
      <c r="G604" t="s">
        <v>19</v>
      </c>
      <c r="H604">
        <v>24</v>
      </c>
      <c r="I604" t="str">
        <f>VLOOKUP(Продажи[[#This Row],[id товара]],Товары[],2,0)</f>
        <v>Фрукты</v>
      </c>
      <c r="J604" s="17">
        <f>AVERAGEIF(Продажи[Категория],Продажи[[#This Row],[Категория]],Продажи[цена за шт в рублях])</f>
        <v>274.16279069767444</v>
      </c>
      <c r="K604" s="16">
        <f>Продажи[[#This Row],[цена за шт в рублях]]/Продажи[[#This Row],[Средняя цена в категории за шт]]-1</f>
        <v>-0.31792348799728565</v>
      </c>
      <c r="L604" t="str">
        <f>VLOOKUP(Продажи[[#This Row],[id товара]],Товары[],3,0)</f>
        <v>Фрукты-Ягоды</v>
      </c>
      <c r="M604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604" s="16">
        <f>Продажи[[#This Row],[цена за шт в рублях]]/Продажи[[#This Row],[Средняя цена в категории за шт по поставщику]]-1</f>
        <v>-0.333729216152019</v>
      </c>
      <c r="O604" s="48">
        <f>VLOOKUP(Продажи[[#This Row],[id клиента]],клиенты!$A$2:$E$435,5,0)</f>
        <v>44609</v>
      </c>
      <c r="P604">
        <f>Продажи[[#This Row],[дата создания чека]]-Продажи[[#This Row],[Дата регистрации]]</f>
        <v>429</v>
      </c>
      <c r="Q604" t="str">
        <f>VLOOKUP(Продажи[[#This Row],[id клиента]],клиенты!$A$2:$G$435,7,0)</f>
        <v>Узбекистан</v>
      </c>
      <c r="R604">
        <f>IF(COUNTIF($H$2:H604, H604)=1, 1, 0)</f>
        <v>0</v>
      </c>
      <c r="S604" t="str">
        <f>VLOOKUP(Продажи[[#This Row],[id клиента]],клиенты!$A$2:$D$435,4,0)</f>
        <v>да</v>
      </c>
      <c r="T604" s="54">
        <f>VLOOKUP(Продажи[[#This Row],[id клиента]],клиенты!$A$2:$I$435,9,0)</f>
        <v>22.702258726899384</v>
      </c>
    </row>
    <row r="605" spans="1:20" x14ac:dyDescent="0.25">
      <c r="A605">
        <v>604</v>
      </c>
      <c r="B605">
        <v>479</v>
      </c>
      <c r="C605">
        <v>314</v>
      </c>
      <c r="D605">
        <v>3</v>
      </c>
      <c r="E605" s="35">
        <v>4710</v>
      </c>
      <c r="F605" s="48">
        <v>45429</v>
      </c>
      <c r="G605" t="s">
        <v>16</v>
      </c>
      <c r="H605">
        <v>293</v>
      </c>
      <c r="I605" t="str">
        <f>VLOOKUP(Продажи[[#This Row],[id товара]],Товары[],2,0)</f>
        <v>Овощи</v>
      </c>
      <c r="J605" s="17">
        <f>AVERAGEIF(Продажи[Категория],Продажи[[#This Row],[Категория]],Продажи[цена за шт в рублях])</f>
        <v>250.48780487804879</v>
      </c>
      <c r="K605" s="16">
        <f>Продажи[[#This Row],[цена за шт в рублях]]/Продажи[[#This Row],[Средняя цена в категории за шт]]-1</f>
        <v>0.25355404089581302</v>
      </c>
      <c r="L605" t="str">
        <f>VLOOKUP(Продажи[[#This Row],[id товара]],Товары[],3,0)</f>
        <v>Гавриш</v>
      </c>
      <c r="M605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605" s="16">
        <f>Продажи[[#This Row],[цена за шт в рублях]]/Продажи[[#This Row],[Средняя цена в категории за шт по поставщику]]-1</f>
        <v>0.26783310901749657</v>
      </c>
      <c r="O605" s="48">
        <f>VLOOKUP(Продажи[[#This Row],[id клиента]],клиенты!$A$2:$E$435,5,0)</f>
        <v>44573</v>
      </c>
      <c r="P605">
        <f>Продажи[[#This Row],[дата создания чека]]-Продажи[[#This Row],[Дата регистрации]]</f>
        <v>856</v>
      </c>
      <c r="Q605" t="str">
        <f>VLOOKUP(Продажи[[#This Row],[id клиента]],клиенты!$A$2:$G$435,7,0)</f>
        <v>Беларусь</v>
      </c>
      <c r="R605">
        <f>IF(COUNTIF($H$2:H605, H605)=1, 1, 0)</f>
        <v>0</v>
      </c>
      <c r="S605" t="str">
        <f>VLOOKUP(Продажи[[#This Row],[id клиента]],клиенты!$A$2:$D$435,4,0)</f>
        <v>да</v>
      </c>
      <c r="T605" s="54">
        <f>VLOOKUP(Продажи[[#This Row],[id клиента]],клиенты!$A$2:$I$435,9,0)</f>
        <v>28.123203285420946</v>
      </c>
    </row>
    <row r="606" spans="1:20" x14ac:dyDescent="0.25">
      <c r="A606">
        <v>605</v>
      </c>
      <c r="B606">
        <v>285</v>
      </c>
      <c r="C606">
        <v>122</v>
      </c>
      <c r="D606">
        <v>5</v>
      </c>
      <c r="E606" s="35">
        <v>3050</v>
      </c>
      <c r="F606" s="48">
        <v>44959</v>
      </c>
      <c r="G606" t="s">
        <v>17</v>
      </c>
      <c r="H606">
        <v>447</v>
      </c>
      <c r="I606" t="str">
        <f>VLOOKUP(Продажи[[#This Row],[id товара]],Товары[],2,0)</f>
        <v>Макароны</v>
      </c>
      <c r="J606" s="17">
        <f>AVERAGEIF(Продажи[Категория],Продажи[[#This Row],[Категория]],Продажи[цена за шт в рублях])</f>
        <v>265.47674418604652</v>
      </c>
      <c r="K606" s="16">
        <f>Продажи[[#This Row],[цена за шт в рублях]]/Продажи[[#This Row],[Средняя цена в категории за шт]]-1</f>
        <v>-0.5404493889886558</v>
      </c>
      <c r="L606" t="str">
        <f>VLOOKUP(Продажи[[#This Row],[id товара]],Товары[],3,0)</f>
        <v>Паста Зара</v>
      </c>
      <c r="M606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06" s="16">
        <f>Продажи[[#This Row],[цена за шт в рублях]]/Продажи[[#This Row],[Средняя цена в категории за шт по поставщику]]-1</f>
        <v>-0.55905050307707338</v>
      </c>
      <c r="O606" s="48">
        <f>VLOOKUP(Продажи[[#This Row],[id клиента]],клиенты!$A$2:$E$435,5,0)</f>
        <v>44898</v>
      </c>
      <c r="P606">
        <f>Продажи[[#This Row],[дата создания чека]]-Продажи[[#This Row],[Дата регистрации]]</f>
        <v>61</v>
      </c>
      <c r="Q606" t="str">
        <f>VLOOKUP(Продажи[[#This Row],[id клиента]],клиенты!$A$2:$G$435,7,0)</f>
        <v>Таджикистан</v>
      </c>
      <c r="R606">
        <f>IF(COUNTIF($H$2:H606, H606)=1, 1, 0)</f>
        <v>1</v>
      </c>
      <c r="S606" t="str">
        <f>VLOOKUP(Продажи[[#This Row],[id клиента]],клиенты!$A$2:$D$435,4,0)</f>
        <v>да</v>
      </c>
      <c r="T606" s="54">
        <f>VLOOKUP(Продажи[[#This Row],[id клиента]],клиенты!$A$2:$I$435,9,0)</f>
        <v>2.0041067761806981</v>
      </c>
    </row>
    <row r="607" spans="1:20" x14ac:dyDescent="0.25">
      <c r="A607">
        <v>606</v>
      </c>
      <c r="B607">
        <v>93</v>
      </c>
      <c r="C607">
        <v>184</v>
      </c>
      <c r="D607">
        <v>2</v>
      </c>
      <c r="E607" s="35">
        <v>1840</v>
      </c>
      <c r="F607" s="48">
        <v>45187</v>
      </c>
      <c r="G607" t="s">
        <v>19</v>
      </c>
      <c r="H607">
        <v>163</v>
      </c>
      <c r="I607" t="str">
        <f>VLOOKUP(Продажи[[#This Row],[id товара]],Товары[],2,0)</f>
        <v>Чай</v>
      </c>
      <c r="J607" s="17">
        <f>AVERAGEIF(Продажи[Категория],Продажи[[#This Row],[Категория]],Продажи[цена за шт в рублях])</f>
        <v>271.18181818181819</v>
      </c>
      <c r="K607" s="16">
        <f>Продажи[[#This Row],[цена за шт в рублях]]/Продажи[[#This Row],[Средняя цена в категории за шт]]-1</f>
        <v>-0.32148843446195108</v>
      </c>
      <c r="L607" t="str">
        <f>VLOOKUP(Продажи[[#This Row],[id товара]],Товары[],3,0)</f>
        <v>Greenfield</v>
      </c>
      <c r="M607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607" s="16">
        <f>Продажи[[#This Row],[цена за шт в рублях]]/Продажи[[#This Row],[Средняя цена в категории за шт по поставщику]]-1</f>
        <v>-0.36868371802869615</v>
      </c>
      <c r="O607" s="48">
        <f>VLOOKUP(Продажи[[#This Row],[id клиента]],клиенты!$A$2:$E$435,5,0)</f>
        <v>44571</v>
      </c>
      <c r="P607">
        <f>Продажи[[#This Row],[дата создания чека]]-Продажи[[#This Row],[Дата регистрации]]</f>
        <v>616</v>
      </c>
      <c r="Q607" t="str">
        <f>VLOOKUP(Продажи[[#This Row],[id клиента]],клиенты!$A$2:$G$435,7,0)</f>
        <v>Узбекистан</v>
      </c>
      <c r="R607">
        <f>IF(COUNTIF($H$2:H607, H607)=1, 1, 0)</f>
        <v>1</v>
      </c>
      <c r="S607" t="str">
        <f>VLOOKUP(Продажи[[#This Row],[id клиента]],клиенты!$A$2:$D$435,4,0)</f>
        <v>да</v>
      </c>
      <c r="T607" s="54">
        <f>VLOOKUP(Продажи[[#This Row],[id клиента]],клиенты!$A$2:$I$435,9,0)</f>
        <v>23.720739219712527</v>
      </c>
    </row>
    <row r="608" spans="1:20" x14ac:dyDescent="0.25">
      <c r="A608">
        <v>607</v>
      </c>
      <c r="B608">
        <v>199</v>
      </c>
      <c r="C608">
        <v>172</v>
      </c>
      <c r="D608">
        <v>3</v>
      </c>
      <c r="E608" s="35">
        <v>2580</v>
      </c>
      <c r="F608" s="48">
        <v>45223</v>
      </c>
      <c r="G608" t="s">
        <v>22</v>
      </c>
      <c r="H608">
        <v>421</v>
      </c>
      <c r="I608" t="str">
        <f>VLOOKUP(Продажи[[#This Row],[id товара]],Товары[],2,0)</f>
        <v>Макароны</v>
      </c>
      <c r="J608" s="17">
        <f>AVERAGEIF(Продажи[Категория],Продажи[[#This Row],[Категория]],Продажи[цена за шт в рублях])</f>
        <v>265.47674418604652</v>
      </c>
      <c r="K608" s="16">
        <f>Продажи[[#This Row],[цена за шт в рублях]]/Продажи[[#This Row],[Средняя цена в категории за шт]]-1</f>
        <v>-0.35210897463974422</v>
      </c>
      <c r="L608" t="str">
        <f>VLOOKUP(Продажи[[#This Row],[id товара]],Товары[],3,0)</f>
        <v>Борилла</v>
      </c>
      <c r="M608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608" s="16">
        <f>Продажи[[#This Row],[цена за шт в рублях]]/Продажи[[#This Row],[Средняя цена в категории за шт по поставщику]]-1</f>
        <v>-0.27203736135434908</v>
      </c>
      <c r="O608" s="48">
        <f>VLOOKUP(Продажи[[#This Row],[id клиента]],клиенты!$A$2:$E$435,5,0)</f>
        <v>44620</v>
      </c>
      <c r="P608">
        <f>Продажи[[#This Row],[дата создания чека]]-Продажи[[#This Row],[Дата регистрации]]</f>
        <v>603</v>
      </c>
      <c r="Q608" t="str">
        <f>VLOOKUP(Продажи[[#This Row],[id клиента]],клиенты!$A$2:$G$435,7,0)</f>
        <v>Россия</v>
      </c>
      <c r="R608">
        <f>IF(COUNTIF($H$2:H608, H608)=1, 1, 0)</f>
        <v>0</v>
      </c>
      <c r="S608" t="str">
        <f>VLOOKUP(Продажи[[#This Row],[id клиента]],клиенты!$A$2:$D$435,4,0)</f>
        <v>нет</v>
      </c>
      <c r="T608" s="54">
        <f>VLOOKUP(Продажи[[#This Row],[id клиента]],клиенты!$A$2:$I$435,9,0)</f>
        <v>19.811088295687885</v>
      </c>
    </row>
    <row r="609" spans="1:20" x14ac:dyDescent="0.25">
      <c r="A609">
        <v>608</v>
      </c>
      <c r="B609">
        <v>122</v>
      </c>
      <c r="C609">
        <v>482</v>
      </c>
      <c r="D609">
        <v>4</v>
      </c>
      <c r="E609" s="35">
        <v>9640</v>
      </c>
      <c r="F609" s="48">
        <v>45038</v>
      </c>
      <c r="G609" t="s">
        <v>23</v>
      </c>
      <c r="H609">
        <v>320</v>
      </c>
      <c r="I609" t="str">
        <f>VLOOKUP(Продажи[[#This Row],[id товара]],Товары[],2,0)</f>
        <v>Фрукты</v>
      </c>
      <c r="J609" s="17">
        <f>AVERAGEIF(Продажи[Категория],Продажи[[#This Row],[Категория]],Продажи[цена за шт в рублях])</f>
        <v>274.16279069767444</v>
      </c>
      <c r="K609" s="16">
        <f>Продажи[[#This Row],[цена за шт в рублях]]/Продажи[[#This Row],[Средняя цена в категории за шт]]-1</f>
        <v>0.75807956569683599</v>
      </c>
      <c r="L609" t="str">
        <f>VLOOKUP(Продажи[[#This Row],[id товара]],Товары[],3,0)</f>
        <v>Фрукты-Ягоды</v>
      </c>
      <c r="M609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609" s="16">
        <f>Продажи[[#This Row],[цена за шт в рублях]]/Продажи[[#This Row],[Средняя цена в категории за шт по поставщику]]-1</f>
        <v>0.71733966745843225</v>
      </c>
      <c r="O609" s="48">
        <f>VLOOKUP(Продажи[[#This Row],[id клиента]],клиенты!$A$2:$E$435,5,0)</f>
        <v>44869</v>
      </c>
      <c r="P609">
        <f>Продажи[[#This Row],[дата создания чека]]-Продажи[[#This Row],[Дата регистрации]]</f>
        <v>169</v>
      </c>
      <c r="Q609" t="str">
        <f>VLOOKUP(Продажи[[#This Row],[id клиента]],клиенты!$A$2:$G$435,7,0)</f>
        <v>Беларусь</v>
      </c>
      <c r="R609">
        <f>IF(COUNTIF($H$2:H609, H609)=1, 1, 0)</f>
        <v>1</v>
      </c>
      <c r="S609" t="str">
        <f>VLOOKUP(Продажи[[#This Row],[id клиента]],клиенты!$A$2:$D$435,4,0)</f>
        <v>нет</v>
      </c>
      <c r="T609" s="54">
        <f>VLOOKUP(Продажи[[#This Row],[id клиента]],клиенты!$A$2:$I$435,9,0)</f>
        <v>5.5523613963039011</v>
      </c>
    </row>
    <row r="610" spans="1:20" x14ac:dyDescent="0.25">
      <c r="A610">
        <v>609</v>
      </c>
      <c r="B610">
        <v>415</v>
      </c>
      <c r="C610">
        <v>350</v>
      </c>
      <c r="D610">
        <v>1</v>
      </c>
      <c r="E610" s="35">
        <v>1750</v>
      </c>
      <c r="F610" s="48">
        <v>45358</v>
      </c>
      <c r="G610" t="s">
        <v>8</v>
      </c>
      <c r="H610">
        <v>199</v>
      </c>
      <c r="I610" t="str">
        <f>VLOOKUP(Продажи[[#This Row],[id товара]],Товары[],2,0)</f>
        <v>Чипсы</v>
      </c>
      <c r="J610" s="17">
        <f>AVERAGEIF(Продажи[Категория],Продажи[[#This Row],[Категория]],Продажи[цена за шт в рублях])</f>
        <v>273.72549019607845</v>
      </c>
      <c r="K610" s="16">
        <f>Продажи[[#This Row],[цена за шт в рублях]]/Продажи[[#This Row],[Средняя цена в категории за шт]]-1</f>
        <v>0.27865329512893977</v>
      </c>
      <c r="L610" t="str">
        <f>VLOOKUP(Продажи[[#This Row],[id товара]],Товары[],3,0)</f>
        <v>Pringles</v>
      </c>
      <c r="M610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610" s="16">
        <f>Продажи[[#This Row],[цена за шт в рублях]]/Продажи[[#This Row],[Средняя цена в категории за шт по поставщику]]-1</f>
        <v>0.24893797790994054</v>
      </c>
      <c r="O610" s="48">
        <f>VLOOKUP(Продажи[[#This Row],[id клиента]],клиенты!$A$2:$E$435,5,0)</f>
        <v>44715</v>
      </c>
      <c r="P610">
        <f>Продажи[[#This Row],[дата создания чека]]-Продажи[[#This Row],[Дата регистрации]]</f>
        <v>643</v>
      </c>
      <c r="Q610" t="str">
        <f>VLOOKUP(Продажи[[#This Row],[id клиента]],клиенты!$A$2:$G$435,7,0)</f>
        <v>Узбекистан</v>
      </c>
      <c r="R610">
        <f>IF(COUNTIF($H$2:H610, H610)=1, 1, 0)</f>
        <v>0</v>
      </c>
      <c r="S610" t="str">
        <f>VLOOKUP(Продажи[[#This Row],[id клиента]],клиенты!$A$2:$D$435,4,0)</f>
        <v>да</v>
      </c>
      <c r="T610" s="54">
        <f>VLOOKUP(Продажи[[#This Row],[id клиента]],клиенты!$A$2:$I$435,9,0)</f>
        <v>21.125256673511295</v>
      </c>
    </row>
    <row r="611" spans="1:20" x14ac:dyDescent="0.25">
      <c r="A611">
        <v>610</v>
      </c>
      <c r="B611">
        <v>315</v>
      </c>
      <c r="C611">
        <v>232</v>
      </c>
      <c r="D611">
        <v>1</v>
      </c>
      <c r="E611" s="35">
        <v>1160</v>
      </c>
      <c r="F611" s="48">
        <v>44929</v>
      </c>
      <c r="G611" t="s">
        <v>13</v>
      </c>
      <c r="H611">
        <v>247</v>
      </c>
      <c r="I611" t="str">
        <f>VLOOKUP(Продажи[[#This Row],[id товара]],Товары[],2,0)</f>
        <v>Йогурт</v>
      </c>
      <c r="J611" s="17">
        <f>AVERAGEIF(Продажи[Категория],Продажи[[#This Row],[Категория]],Продажи[цена за шт в рублях])</f>
        <v>263.25423728813558</v>
      </c>
      <c r="K611" s="16">
        <f>Продажи[[#This Row],[цена за шт в рублях]]/Продажи[[#This Row],[Средняя цена в категории за шт]]-1</f>
        <v>-0.11872263713623488</v>
      </c>
      <c r="L611" t="str">
        <f>VLOOKUP(Продажи[[#This Row],[id товара]],Товары[],3,0)</f>
        <v>Чудо</v>
      </c>
      <c r="M611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611" s="16">
        <f>Продажи[[#This Row],[цена за шт в рублях]]/Продажи[[#This Row],[Средняя цена в категории за шт по поставщику]]-1</f>
        <v>-0.19191919191919193</v>
      </c>
      <c r="O611" s="48">
        <f>VLOOKUP(Продажи[[#This Row],[id клиента]],клиенты!$A$2:$E$435,5,0)</f>
        <v>44762</v>
      </c>
      <c r="P611">
        <f>Продажи[[#This Row],[дата создания чека]]-Продажи[[#This Row],[Дата регистрации]]</f>
        <v>167</v>
      </c>
      <c r="Q611" t="str">
        <f>VLOOKUP(Продажи[[#This Row],[id клиента]],клиенты!$A$2:$G$435,7,0)</f>
        <v>Узбекистан</v>
      </c>
      <c r="R611">
        <f>IF(COUNTIF($H$2:H611, H611)=1, 1, 0)</f>
        <v>0</v>
      </c>
      <c r="S611" t="str">
        <f>VLOOKUP(Продажи[[#This Row],[id клиента]],клиенты!$A$2:$D$435,4,0)</f>
        <v>да</v>
      </c>
      <c r="T611" s="54">
        <f>VLOOKUP(Продажи[[#This Row],[id клиента]],клиенты!$A$2:$I$435,9,0)</f>
        <v>19.515400410677618</v>
      </c>
    </row>
    <row r="612" spans="1:20" x14ac:dyDescent="0.25">
      <c r="A612">
        <v>611</v>
      </c>
      <c r="B612">
        <v>25</v>
      </c>
      <c r="C612">
        <v>222</v>
      </c>
      <c r="D612">
        <v>1</v>
      </c>
      <c r="E612" s="35">
        <v>1110</v>
      </c>
      <c r="F612" s="48">
        <v>45245</v>
      </c>
      <c r="G612" t="s">
        <v>11</v>
      </c>
      <c r="H612">
        <v>364</v>
      </c>
      <c r="I612" t="str">
        <f>VLOOKUP(Продажи[[#This Row],[id товара]],Товары[],2,0)</f>
        <v>Чипсы</v>
      </c>
      <c r="J612" s="17">
        <f>AVERAGEIF(Продажи[Категория],Продажи[[#This Row],[Категория]],Продажи[цена за шт в рублях])</f>
        <v>273.72549019607845</v>
      </c>
      <c r="K612" s="16">
        <f>Продажи[[#This Row],[цена за шт в рублях]]/Продажи[[#This Row],[Средняя цена в категории за шт]]-1</f>
        <v>-0.18896848137535827</v>
      </c>
      <c r="L612" t="str">
        <f>VLOOKUP(Продажи[[#This Row],[id товара]],Товары[],3,0)</f>
        <v>Русская картошка</v>
      </c>
      <c r="M612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612" s="16">
        <f>Продажи[[#This Row],[цена за шт в рублях]]/Продажи[[#This Row],[Средняя цена в категории за шт по поставщику]]-1</f>
        <v>-8.2012405237767094E-2</v>
      </c>
      <c r="O612" s="48">
        <f>VLOOKUP(Продажи[[#This Row],[id клиента]],клиенты!$A$2:$E$435,5,0)</f>
        <v>44883</v>
      </c>
      <c r="P612">
        <f>Продажи[[#This Row],[дата создания чека]]-Продажи[[#This Row],[Дата регистрации]]</f>
        <v>362</v>
      </c>
      <c r="Q612" t="str">
        <f>VLOOKUP(Продажи[[#This Row],[id клиента]],клиенты!$A$2:$G$435,7,0)</f>
        <v>Россия</v>
      </c>
      <c r="R612">
        <f>IF(COUNTIF($H$2:H612, H612)=1, 1, 0)</f>
        <v>0</v>
      </c>
      <c r="S612" t="str">
        <f>VLOOKUP(Продажи[[#This Row],[id клиента]],клиенты!$A$2:$D$435,4,0)</f>
        <v>да</v>
      </c>
      <c r="T612" s="54">
        <f>VLOOKUP(Продажи[[#This Row],[id клиента]],клиенты!$A$2:$I$435,9,0)</f>
        <v>15.145790554414784</v>
      </c>
    </row>
    <row r="613" spans="1:20" x14ac:dyDescent="0.25">
      <c r="A613">
        <v>612</v>
      </c>
      <c r="B613">
        <v>207</v>
      </c>
      <c r="C613">
        <v>152</v>
      </c>
      <c r="D613">
        <v>3</v>
      </c>
      <c r="E613" s="35">
        <v>2280</v>
      </c>
      <c r="F613" s="48">
        <v>45222</v>
      </c>
      <c r="G613" t="s">
        <v>11</v>
      </c>
      <c r="H613">
        <v>173</v>
      </c>
      <c r="I613" t="str">
        <f>VLOOKUP(Продажи[[#This Row],[id товара]],Товары[],2,0)</f>
        <v>Сахар</v>
      </c>
      <c r="J613" s="17">
        <f>AVERAGEIF(Продажи[Категория],Продажи[[#This Row],[Категория]],Продажи[цена за шт в рублях])</f>
        <v>252.76271186440678</v>
      </c>
      <c r="K613" s="16">
        <f>Продажи[[#This Row],[цена за шт в рублях]]/Продажи[[#This Row],[Средняя цена в категории за шт]]-1</f>
        <v>-0.39864547710051634</v>
      </c>
      <c r="L613" t="str">
        <f>VLOOKUP(Продажи[[#This Row],[id товара]],Товары[],3,0)</f>
        <v>Агросахар</v>
      </c>
      <c r="M613" s="32">
        <f>AVERAGEIFS(Продажи[цена за шт в рублях],Продажи[Категория],Продажи[[#This Row],[Категория]],Продажи[Поставщик],Продажи[[#This Row],[Поставщик]])</f>
        <v>215.85714285714286</v>
      </c>
      <c r="N613" s="16">
        <f>Продажи[[#This Row],[цена за шт в рублях]]/Продажи[[#This Row],[Средняя цена в категории за шт по поставщику]]-1</f>
        <v>-0.29583057577763072</v>
      </c>
      <c r="O613" s="48">
        <f>VLOOKUP(Продажи[[#This Row],[id клиента]],клиенты!$A$2:$E$435,5,0)</f>
        <v>44673</v>
      </c>
      <c r="P613">
        <f>Продажи[[#This Row],[дата создания чека]]-Продажи[[#This Row],[Дата регистрации]]</f>
        <v>549</v>
      </c>
      <c r="Q613" t="str">
        <f>VLOOKUP(Продажи[[#This Row],[id клиента]],клиенты!$A$2:$G$435,7,0)</f>
        <v>Россия</v>
      </c>
      <c r="R613">
        <f>IF(COUNTIF($H$2:H613, H613)=1, 1, 0)</f>
        <v>1</v>
      </c>
      <c r="S613" t="str">
        <f>VLOOKUP(Продажи[[#This Row],[id клиента]],клиенты!$A$2:$D$435,4,0)</f>
        <v>нет</v>
      </c>
      <c r="T613" s="54">
        <f>VLOOKUP(Продажи[[#This Row],[id клиента]],клиенты!$A$2:$I$435,9,0)</f>
        <v>18.036960985626283</v>
      </c>
    </row>
    <row r="614" spans="1:20" x14ac:dyDescent="0.25">
      <c r="A614">
        <v>613</v>
      </c>
      <c r="B614">
        <v>180</v>
      </c>
      <c r="C614">
        <v>284</v>
      </c>
      <c r="D614">
        <v>1</v>
      </c>
      <c r="E614" s="35">
        <v>1420</v>
      </c>
      <c r="F614" s="48">
        <v>45267</v>
      </c>
      <c r="G614" t="s">
        <v>9</v>
      </c>
      <c r="H614">
        <v>485</v>
      </c>
      <c r="I614" t="str">
        <f>VLOOKUP(Продажи[[#This Row],[id товара]],Товары[],2,0)</f>
        <v>Чипсы</v>
      </c>
      <c r="J614" s="17">
        <f>AVERAGEIF(Продажи[Категория],Продажи[[#This Row],[Категория]],Продажи[цена за шт в рублях])</f>
        <v>273.72549019607845</v>
      </c>
      <c r="K614" s="16">
        <f>Продажи[[#This Row],[цена за шт в рублях]]/Продажи[[#This Row],[Средняя цена в категории за шт]]-1</f>
        <v>3.7535816618911033E-2</v>
      </c>
      <c r="L614" t="str">
        <f>VLOOKUP(Продажи[[#This Row],[id товара]],Товары[],3,0)</f>
        <v>Русская картошка</v>
      </c>
      <c r="M614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614" s="16">
        <f>Продажи[[#This Row],[цена за шт в рублях]]/Продажи[[#This Row],[Средняя цена в категории за шт по поставщику]]-1</f>
        <v>0.17436250861474845</v>
      </c>
      <c r="O614" s="48">
        <f>VLOOKUP(Продажи[[#This Row],[id клиента]],клиенты!$A$2:$E$435,5,0)</f>
        <v>44723</v>
      </c>
      <c r="P614">
        <f>Продажи[[#This Row],[дата создания чека]]-Продажи[[#This Row],[Дата регистрации]]</f>
        <v>544</v>
      </c>
      <c r="Q614" t="str">
        <f>VLOOKUP(Продажи[[#This Row],[id клиента]],клиенты!$A$2:$G$435,7,0)</f>
        <v>Россия</v>
      </c>
      <c r="R614">
        <f>IF(COUNTIF($H$2:H614, H614)=1, 1, 0)</f>
        <v>1</v>
      </c>
      <c r="S614" t="str">
        <f>VLOOKUP(Продажи[[#This Row],[id клиента]],клиенты!$A$2:$D$435,4,0)</f>
        <v>нет</v>
      </c>
      <c r="T614" s="54">
        <f>VLOOKUP(Продажи[[#This Row],[id клиента]],клиенты!$A$2:$I$435,9,0)</f>
        <v>17.872689938398356</v>
      </c>
    </row>
    <row r="615" spans="1:20" x14ac:dyDescent="0.25">
      <c r="A615">
        <v>614</v>
      </c>
      <c r="B615">
        <v>117</v>
      </c>
      <c r="C615">
        <v>208</v>
      </c>
      <c r="D615">
        <v>3</v>
      </c>
      <c r="E615" s="35">
        <v>3120</v>
      </c>
      <c r="F615" s="48">
        <v>45397</v>
      </c>
      <c r="G615" t="s">
        <v>8</v>
      </c>
      <c r="H615">
        <v>401</v>
      </c>
      <c r="I615" t="str">
        <f>VLOOKUP(Продажи[[#This Row],[id товара]],Товары[],2,0)</f>
        <v>Макароны</v>
      </c>
      <c r="J615" s="17">
        <f>AVERAGEIF(Продажи[Категория],Продажи[[#This Row],[Категория]],Продажи[цена за шт в рублях])</f>
        <v>265.47674418604652</v>
      </c>
      <c r="K615" s="16">
        <f>Продажи[[#This Row],[цена за шт в рублях]]/Продажи[[#This Row],[Средняя цена в категории за шт]]-1</f>
        <v>-0.21650387630852785</v>
      </c>
      <c r="L615" t="str">
        <f>VLOOKUP(Продажи[[#This Row],[id товара]],Товары[],3,0)</f>
        <v>Роллтон</v>
      </c>
      <c r="M615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615" s="16">
        <f>Продажи[[#This Row],[цена за шт в рублях]]/Продажи[[#This Row],[Средняя цена в категории за шт по поставщику]]-1</f>
        <v>-0.11698113207547167</v>
      </c>
      <c r="O615" s="48">
        <f>VLOOKUP(Продажи[[#This Row],[id клиента]],клиенты!$A$2:$E$435,5,0)</f>
        <v>44856</v>
      </c>
      <c r="P615">
        <f>Продажи[[#This Row],[дата создания чека]]-Продажи[[#This Row],[Дата регистрации]]</f>
        <v>541</v>
      </c>
      <c r="Q615" t="str">
        <f>VLOOKUP(Продажи[[#This Row],[id клиента]],клиенты!$A$2:$G$435,7,0)</f>
        <v>Россия</v>
      </c>
      <c r="R615">
        <f>IF(COUNTIF($H$2:H615, H615)=1, 1, 0)</f>
        <v>1</v>
      </c>
      <c r="S615" t="str">
        <f>VLOOKUP(Продажи[[#This Row],[id клиента]],клиенты!$A$2:$D$435,4,0)</f>
        <v>нет</v>
      </c>
      <c r="T615" s="54">
        <f>VLOOKUP(Продажи[[#This Row],[id клиента]],клиенты!$A$2:$I$435,9,0)</f>
        <v>17.774127310061601</v>
      </c>
    </row>
    <row r="616" spans="1:20" x14ac:dyDescent="0.25">
      <c r="A616">
        <v>615</v>
      </c>
      <c r="B616">
        <v>211</v>
      </c>
      <c r="C616">
        <v>338</v>
      </c>
      <c r="D616">
        <v>4</v>
      </c>
      <c r="E616" s="35">
        <v>6760</v>
      </c>
      <c r="F616" s="48">
        <v>45227</v>
      </c>
      <c r="G616" t="s">
        <v>11</v>
      </c>
      <c r="H616">
        <v>379</v>
      </c>
      <c r="I616" t="str">
        <f>VLOOKUP(Продажи[[#This Row],[id товара]],Товары[],2,0)</f>
        <v>Овощи</v>
      </c>
      <c r="J616" s="17">
        <f>AVERAGEIF(Продажи[Категория],Продажи[[#This Row],[Категория]],Продажи[цена за шт в рублях])</f>
        <v>250.48780487804879</v>
      </c>
      <c r="K616" s="16">
        <f>Продажи[[#This Row],[цена за шт в рублях]]/Продажи[[#This Row],[Средняя цена в категории за шт]]-1</f>
        <v>0.3493670886075948</v>
      </c>
      <c r="L616" t="str">
        <f>VLOOKUP(Продажи[[#This Row],[id товара]],Товары[],3,0)</f>
        <v>Овощной ряд</v>
      </c>
      <c r="M616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616" s="16">
        <f>Продажи[[#This Row],[цена за шт в рублях]]/Продажи[[#This Row],[Средняя цена в категории за шт по поставщику]]-1</f>
        <v>0.11248789932236214</v>
      </c>
      <c r="O616" s="48">
        <f>VLOOKUP(Продажи[[#This Row],[id клиента]],клиенты!$A$2:$E$435,5,0)</f>
        <v>44581</v>
      </c>
      <c r="P616">
        <f>Продажи[[#This Row],[дата создания чека]]-Продажи[[#This Row],[Дата регистрации]]</f>
        <v>646</v>
      </c>
      <c r="Q616" t="str">
        <f>VLOOKUP(Продажи[[#This Row],[id клиента]],клиенты!$A$2:$G$435,7,0)</f>
        <v>Таджикистан</v>
      </c>
      <c r="R616">
        <f>IF(COUNTIF($H$2:H616, H616)=1, 1, 0)</f>
        <v>1</v>
      </c>
      <c r="S616" t="str">
        <f>VLOOKUP(Продажи[[#This Row],[id клиента]],клиенты!$A$2:$D$435,4,0)</f>
        <v>нет</v>
      </c>
      <c r="T616" s="54">
        <f>VLOOKUP(Продажи[[#This Row],[id клиента]],клиенты!$A$2:$I$435,9,0)</f>
        <v>23.819301848049282</v>
      </c>
    </row>
    <row r="617" spans="1:20" x14ac:dyDescent="0.25">
      <c r="A617">
        <v>616</v>
      </c>
      <c r="B617">
        <v>26</v>
      </c>
      <c r="C617">
        <v>143</v>
      </c>
      <c r="D617">
        <v>2</v>
      </c>
      <c r="E617" s="35">
        <v>1430</v>
      </c>
      <c r="F617" s="48">
        <v>45397</v>
      </c>
      <c r="G617" t="s">
        <v>22</v>
      </c>
      <c r="H617">
        <v>183</v>
      </c>
      <c r="I617" t="str">
        <f>VLOOKUP(Продажи[[#This Row],[id товара]],Товары[],2,0)</f>
        <v>Мясо</v>
      </c>
      <c r="J617" s="17">
        <f>AVERAGEIF(Продажи[Категория],Продажи[[#This Row],[Категория]],Продажи[цена за шт в рублях])</f>
        <v>271.74545454545455</v>
      </c>
      <c r="K617" s="16">
        <f>Продажи[[#This Row],[цена за шт в рублях]]/Продажи[[#This Row],[Средняя цена в категории за шт]]-1</f>
        <v>-0.47377224675498464</v>
      </c>
      <c r="L617" t="str">
        <f>VLOOKUP(Продажи[[#This Row],[id товара]],Товары[],3,0)</f>
        <v>Сава</v>
      </c>
      <c r="M617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617" s="16">
        <f>Продажи[[#This Row],[цена за шт в рублях]]/Продажи[[#This Row],[Средняя цена в категории за шт по поставщику]]-1</f>
        <v>-0.32804698972099855</v>
      </c>
      <c r="O617" s="48">
        <f>VLOOKUP(Продажи[[#This Row],[id клиента]],клиенты!$A$2:$E$435,5,0)</f>
        <v>44900</v>
      </c>
      <c r="P617">
        <f>Продажи[[#This Row],[дата создания чека]]-Продажи[[#This Row],[Дата регистрации]]</f>
        <v>497</v>
      </c>
      <c r="Q617" t="str">
        <f>VLOOKUP(Продажи[[#This Row],[id клиента]],клиенты!$A$2:$G$435,7,0)</f>
        <v>Таджикистан</v>
      </c>
      <c r="R617">
        <f>IF(COUNTIF($H$2:H617, H617)=1, 1, 0)</f>
        <v>0</v>
      </c>
      <c r="S617" t="str">
        <f>VLOOKUP(Продажи[[#This Row],[id клиента]],клиенты!$A$2:$D$435,4,0)</f>
        <v>да</v>
      </c>
      <c r="T617" s="54">
        <f>VLOOKUP(Продажи[[#This Row],[id клиента]],клиенты!$A$2:$I$435,9,0)</f>
        <v>16.328542094455852</v>
      </c>
    </row>
    <row r="618" spans="1:20" x14ac:dyDescent="0.25">
      <c r="A618">
        <v>617</v>
      </c>
      <c r="B618">
        <v>22</v>
      </c>
      <c r="C618">
        <v>217</v>
      </c>
      <c r="D618">
        <v>3</v>
      </c>
      <c r="E618" s="35">
        <v>3255</v>
      </c>
      <c r="F618" s="48">
        <v>45094</v>
      </c>
      <c r="G618" t="s">
        <v>20</v>
      </c>
      <c r="H618">
        <v>37</v>
      </c>
      <c r="I618" t="str">
        <f>VLOOKUP(Продажи[[#This Row],[id товара]],Товары[],2,0)</f>
        <v>Конфеты</v>
      </c>
      <c r="J618" s="17">
        <f>AVERAGEIF(Продажи[Категория],Продажи[[#This Row],[Категория]],Продажи[цена за шт в рублях])</f>
        <v>267.85483870967744</v>
      </c>
      <c r="K618" s="16">
        <f>Продажи[[#This Row],[цена за шт в рублях]]/Продажи[[#This Row],[Средняя цена в категории за шт]]-1</f>
        <v>-0.18985969771782985</v>
      </c>
      <c r="L618" t="str">
        <f>VLOOKUP(Продажи[[#This Row],[id товара]],Товары[],3,0)</f>
        <v>Бабаевский</v>
      </c>
      <c r="M618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618" s="16">
        <f>Продажи[[#This Row],[цена за шт в рублях]]/Продажи[[#This Row],[Средняя цена в категории за шт по поставщику]]-1</f>
        <v>-0.13289921562823737</v>
      </c>
      <c r="O618" s="48">
        <f>VLOOKUP(Продажи[[#This Row],[id клиента]],клиенты!$A$2:$E$435,5,0)</f>
        <v>44728</v>
      </c>
      <c r="P618">
        <f>Продажи[[#This Row],[дата создания чека]]-Продажи[[#This Row],[Дата регистрации]]</f>
        <v>366</v>
      </c>
      <c r="Q618" t="str">
        <f>VLOOKUP(Продажи[[#This Row],[id клиента]],клиенты!$A$2:$G$435,7,0)</f>
        <v>Украина</v>
      </c>
      <c r="R618">
        <f>IF(COUNTIF($H$2:H618, H618)=1, 1, 0)</f>
        <v>0</v>
      </c>
      <c r="S618" t="str">
        <f>VLOOKUP(Продажи[[#This Row],[id клиента]],клиенты!$A$2:$D$435,4,0)</f>
        <v>да</v>
      </c>
      <c r="T618" s="54">
        <f>VLOOKUP(Продажи[[#This Row],[id клиента]],клиенты!$A$2:$I$435,9,0)</f>
        <v>12.024640657084189</v>
      </c>
    </row>
    <row r="619" spans="1:20" x14ac:dyDescent="0.25">
      <c r="A619">
        <v>618</v>
      </c>
      <c r="B619">
        <v>150</v>
      </c>
      <c r="C619">
        <v>347</v>
      </c>
      <c r="D619">
        <v>3</v>
      </c>
      <c r="E619" s="35">
        <v>5205</v>
      </c>
      <c r="F619" s="48">
        <v>44979</v>
      </c>
      <c r="G619" t="s">
        <v>10</v>
      </c>
      <c r="H619">
        <v>201</v>
      </c>
      <c r="I619" t="str">
        <f>VLOOKUP(Продажи[[#This Row],[id товара]],Товары[],2,0)</f>
        <v>Рыба</v>
      </c>
      <c r="J619" s="17">
        <f>AVERAGEIF(Продажи[Категория],Продажи[[#This Row],[Категория]],Продажи[цена за шт в рублях])</f>
        <v>258.5128205128205</v>
      </c>
      <c r="K619" s="16">
        <f>Продажи[[#This Row],[цена за шт в рублях]]/Продажи[[#This Row],[Средняя цена в категории за шт]]-1</f>
        <v>0.34229319579448525</v>
      </c>
      <c r="L619" t="str">
        <f>VLOOKUP(Продажи[[#This Row],[id товара]],Товары[],3,0)</f>
        <v>Меридиан</v>
      </c>
      <c r="M619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619" s="16">
        <f>Продажи[[#This Row],[цена за шт в рублях]]/Продажи[[#This Row],[Средняя цена в категории за шт по поставщику]]-1</f>
        <v>0.33130218912209441</v>
      </c>
      <c r="O619" s="48">
        <f>VLOOKUP(Продажи[[#This Row],[id клиента]],клиенты!$A$2:$E$435,5,0)</f>
        <v>44843</v>
      </c>
      <c r="P619">
        <f>Продажи[[#This Row],[дата создания чека]]-Продажи[[#This Row],[Дата регистрации]]</f>
        <v>136</v>
      </c>
      <c r="Q619" t="str">
        <f>VLOOKUP(Продажи[[#This Row],[id клиента]],клиенты!$A$2:$G$435,7,0)</f>
        <v>Таджикистан</v>
      </c>
      <c r="R619">
        <f>IF(COUNTIF($H$2:H619, H619)=1, 1, 0)</f>
        <v>1</v>
      </c>
      <c r="S619" t="str">
        <f>VLOOKUP(Продажи[[#This Row],[id клиента]],клиенты!$A$2:$D$435,4,0)</f>
        <v>да</v>
      </c>
      <c r="T619" s="54">
        <f>VLOOKUP(Продажи[[#This Row],[id клиента]],клиенты!$A$2:$I$435,9,0)</f>
        <v>17.37987679671458</v>
      </c>
    </row>
    <row r="620" spans="1:20" x14ac:dyDescent="0.25">
      <c r="A620">
        <v>619</v>
      </c>
      <c r="B620">
        <v>268</v>
      </c>
      <c r="C620">
        <v>55</v>
      </c>
      <c r="D620">
        <v>2</v>
      </c>
      <c r="E620" s="35">
        <v>550</v>
      </c>
      <c r="F620" s="48">
        <v>45213</v>
      </c>
      <c r="G620" t="s">
        <v>19</v>
      </c>
      <c r="H620">
        <v>424</v>
      </c>
      <c r="I620" t="str">
        <f>VLOOKUP(Продажи[[#This Row],[id товара]],Товары[],2,0)</f>
        <v>Рис</v>
      </c>
      <c r="J620" s="17">
        <f>AVERAGEIF(Продажи[Категория],Продажи[[#This Row],[Категория]],Продажи[цена за шт в рублях])</f>
        <v>258.375</v>
      </c>
      <c r="K620" s="16">
        <f>Продажи[[#This Row],[цена за шт в рублях]]/Продажи[[#This Row],[Средняя цена в категории за шт]]-1</f>
        <v>-0.78713110788582485</v>
      </c>
      <c r="L620" t="str">
        <f>VLOOKUP(Продажи[[#This Row],[id товара]],Товары[],3,0)</f>
        <v>Мистраль</v>
      </c>
      <c r="M620" s="32">
        <f>AVERAGEIFS(Продажи[цена за шт в рублях],Продажи[Категория],Продажи[[#This Row],[Категория]],Продажи[Поставщик],Продажи[[#This Row],[Поставщик]])</f>
        <v>181.57142857142858</v>
      </c>
      <c r="N620" s="16">
        <f>Продажи[[#This Row],[цена за шт в рублях]]/Продажи[[#This Row],[Средняя цена в категории за шт по поставщику]]-1</f>
        <v>-0.69708890637293464</v>
      </c>
      <c r="O620" s="48">
        <f>VLOOKUP(Продажи[[#This Row],[id клиента]],клиенты!$A$2:$E$435,5,0)</f>
        <v>44585</v>
      </c>
      <c r="P620">
        <f>Продажи[[#This Row],[дата создания чека]]-Продажи[[#This Row],[Дата регистрации]]</f>
        <v>628</v>
      </c>
      <c r="Q620" t="str">
        <f>VLOOKUP(Продажи[[#This Row],[id клиента]],клиенты!$A$2:$G$435,7,0)</f>
        <v>Россия</v>
      </c>
      <c r="R620">
        <f>IF(COUNTIF($H$2:H620, H620)=1, 1, 0)</f>
        <v>0</v>
      </c>
      <c r="S620" t="str">
        <f>VLOOKUP(Продажи[[#This Row],[id клиента]],клиенты!$A$2:$D$435,4,0)</f>
        <v>да</v>
      </c>
      <c r="T620" s="54">
        <f>VLOOKUP(Продажи[[#This Row],[id клиента]],клиенты!$A$2:$I$435,9,0)</f>
        <v>20.632443531827516</v>
      </c>
    </row>
    <row r="621" spans="1:20" x14ac:dyDescent="0.25">
      <c r="A621">
        <v>620</v>
      </c>
      <c r="B621">
        <v>67</v>
      </c>
      <c r="C621">
        <v>142</v>
      </c>
      <c r="D621">
        <v>4</v>
      </c>
      <c r="E621" s="35">
        <v>2840</v>
      </c>
      <c r="F621" s="48">
        <v>45256</v>
      </c>
      <c r="G621" t="s">
        <v>8</v>
      </c>
      <c r="H621">
        <v>69</v>
      </c>
      <c r="I621" t="str">
        <f>VLOOKUP(Продажи[[#This Row],[id товара]],Товары[],2,0)</f>
        <v>Йогурт</v>
      </c>
      <c r="J621" s="17">
        <f>AVERAGEIF(Продажи[Категория],Продажи[[#This Row],[Категория]],Продажи[цена за шт в рублях])</f>
        <v>263.25423728813558</v>
      </c>
      <c r="K621" s="16">
        <f>Продажи[[#This Row],[цена за шт в рублях]]/Продажи[[#This Row],[Средняя цена в категории за шт]]-1</f>
        <v>-0.46059747617821267</v>
      </c>
      <c r="L621" t="str">
        <f>VLOOKUP(Продажи[[#This Row],[id товара]],Товары[],3,0)</f>
        <v>Чудо</v>
      </c>
      <c r="M621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621" s="16">
        <f>Продажи[[#This Row],[цена за шт в рублях]]/Продажи[[#This Row],[Средняя цена в категории за шт по поставщику]]-1</f>
        <v>-0.50539881574364331</v>
      </c>
      <c r="O621" s="48">
        <f>VLOOKUP(Продажи[[#This Row],[id клиента]],клиенты!$A$2:$E$435,5,0)</f>
        <v>44587</v>
      </c>
      <c r="P621">
        <f>Продажи[[#This Row],[дата создания чека]]-Продажи[[#This Row],[Дата регистрации]]</f>
        <v>669</v>
      </c>
      <c r="Q621" t="str">
        <f>VLOOKUP(Продажи[[#This Row],[id клиента]],клиенты!$A$2:$G$435,7,0)</f>
        <v>Таджикистан</v>
      </c>
      <c r="R621">
        <f>IF(COUNTIF($H$2:H621, H621)=1, 1, 0)</f>
        <v>0</v>
      </c>
      <c r="S621" t="str">
        <f>VLOOKUP(Продажи[[#This Row],[id клиента]],клиенты!$A$2:$D$435,4,0)</f>
        <v>нет</v>
      </c>
      <c r="T621" s="54">
        <f>VLOOKUP(Продажи[[#This Row],[id клиента]],клиенты!$A$2:$I$435,9,0)</f>
        <v>21.979466119096511</v>
      </c>
    </row>
    <row r="622" spans="1:20" x14ac:dyDescent="0.25">
      <c r="A622">
        <v>621</v>
      </c>
      <c r="B622">
        <v>453</v>
      </c>
      <c r="C622">
        <v>459</v>
      </c>
      <c r="D622">
        <v>1</v>
      </c>
      <c r="E622" s="35">
        <v>2295</v>
      </c>
      <c r="F622" s="48">
        <v>45136</v>
      </c>
      <c r="G622" t="s">
        <v>15</v>
      </c>
      <c r="H622">
        <v>498</v>
      </c>
      <c r="I622" t="str">
        <f>VLOOKUP(Продажи[[#This Row],[id товара]],Товары[],2,0)</f>
        <v>Макароны</v>
      </c>
      <c r="J622" s="17">
        <f>AVERAGEIF(Продажи[Категория],Продажи[[#This Row],[Категория]],Продажи[цена за шт в рублях])</f>
        <v>265.47674418604652</v>
      </c>
      <c r="K622" s="16">
        <f>Продажи[[#This Row],[цена за шт в рублях]]/Продажи[[#This Row],[Средняя цена в категории за шт]]-1</f>
        <v>0.72896500372300821</v>
      </c>
      <c r="L622" t="str">
        <f>VLOOKUP(Продажи[[#This Row],[id товара]],Товары[],3,0)</f>
        <v>Макфа</v>
      </c>
      <c r="M622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622" s="16">
        <f>Продажи[[#This Row],[цена за шт в рублях]]/Продажи[[#This Row],[Средняя цена в категории за шт по поставщику]]-1</f>
        <v>0.39398122584207629</v>
      </c>
      <c r="O622" s="48">
        <f>VLOOKUP(Продажи[[#This Row],[id клиента]],клиенты!$A$2:$E$435,5,0)</f>
        <v>44721</v>
      </c>
      <c r="P622">
        <f>Продажи[[#This Row],[дата создания чека]]-Продажи[[#This Row],[Дата регистрации]]</f>
        <v>415</v>
      </c>
      <c r="Q622" t="str">
        <f>VLOOKUP(Продажи[[#This Row],[id клиента]],клиенты!$A$2:$G$435,7,0)</f>
        <v>Украина</v>
      </c>
      <c r="R622">
        <f>IF(COUNTIF($H$2:H622, H622)=1, 1, 0)</f>
        <v>1</v>
      </c>
      <c r="S622" t="str">
        <f>VLOOKUP(Продажи[[#This Row],[id клиента]],клиенты!$A$2:$D$435,4,0)</f>
        <v>да</v>
      </c>
      <c r="T622" s="54">
        <f>VLOOKUP(Продажи[[#This Row],[id клиента]],клиенты!$A$2:$I$435,9,0)</f>
        <v>18.694045174537987</v>
      </c>
    </row>
    <row r="623" spans="1:20" x14ac:dyDescent="0.25">
      <c r="A623">
        <v>622</v>
      </c>
      <c r="B623">
        <v>191</v>
      </c>
      <c r="C623">
        <v>58</v>
      </c>
      <c r="D623">
        <v>1</v>
      </c>
      <c r="E623" s="35">
        <v>290</v>
      </c>
      <c r="F623" s="48">
        <v>44981</v>
      </c>
      <c r="G623" t="s">
        <v>19</v>
      </c>
      <c r="H623">
        <v>237</v>
      </c>
      <c r="I623" t="str">
        <f>VLOOKUP(Продажи[[#This Row],[id товара]],Товары[],2,0)</f>
        <v>Колбаса</v>
      </c>
      <c r="J623" s="17">
        <f>AVERAGEIF(Продажи[Категория],Продажи[[#This Row],[Категория]],Продажи[цена за шт в рублях])</f>
        <v>286.92307692307691</v>
      </c>
      <c r="K623" s="16">
        <f>Продажи[[#This Row],[цена за шт в рублях]]/Продажи[[#This Row],[Средняя цена в категории за шт]]-1</f>
        <v>-0.79785522788203755</v>
      </c>
      <c r="L623" t="str">
        <f>VLOOKUP(Продажи[[#This Row],[id товара]],Товары[],3,0)</f>
        <v>Окраина</v>
      </c>
      <c r="M623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623" s="16">
        <f>Продажи[[#This Row],[цена за шт в рублях]]/Продажи[[#This Row],[Средняя цена в категории за шт по поставщику]]-1</f>
        <v>-0.78799878160219317</v>
      </c>
      <c r="O623" s="48">
        <f>VLOOKUP(Продажи[[#This Row],[id клиента]],клиенты!$A$2:$E$435,5,0)</f>
        <v>44886</v>
      </c>
      <c r="P623">
        <f>Продажи[[#This Row],[дата создания чека]]-Продажи[[#This Row],[Дата регистрации]]</f>
        <v>95</v>
      </c>
      <c r="Q623" t="str">
        <f>VLOOKUP(Продажи[[#This Row],[id клиента]],клиенты!$A$2:$G$435,7,0)</f>
        <v>Россия</v>
      </c>
      <c r="R623">
        <f>IF(COUNTIF($H$2:H623, H623)=1, 1, 0)</f>
        <v>1</v>
      </c>
      <c r="S623" t="str">
        <f>VLOOKUP(Продажи[[#This Row],[id клиента]],клиенты!$A$2:$D$435,4,0)</f>
        <v>да</v>
      </c>
      <c r="T623" s="54">
        <f>VLOOKUP(Продажи[[#This Row],[id клиента]],клиенты!$A$2:$I$435,9,0)</f>
        <v>3.1211498973305956</v>
      </c>
    </row>
    <row r="624" spans="1:20" x14ac:dyDescent="0.25">
      <c r="A624">
        <v>623</v>
      </c>
      <c r="B624">
        <v>49</v>
      </c>
      <c r="C624">
        <v>465</v>
      </c>
      <c r="D624">
        <v>2</v>
      </c>
      <c r="E624" s="35">
        <v>4650</v>
      </c>
      <c r="F624" s="48">
        <v>45150</v>
      </c>
      <c r="G624" t="s">
        <v>10</v>
      </c>
      <c r="H624">
        <v>365</v>
      </c>
      <c r="I624" t="str">
        <f>VLOOKUP(Продажи[[#This Row],[id товара]],Товары[],2,0)</f>
        <v>Рис</v>
      </c>
      <c r="J624" s="17">
        <f>AVERAGEIF(Продажи[Категория],Продажи[[#This Row],[Категория]],Продажи[цена за шт в рублях])</f>
        <v>258.375</v>
      </c>
      <c r="K624" s="16">
        <f>Продажи[[#This Row],[цена за шт в рублях]]/Продажи[[#This Row],[Средняя цена в категории за шт]]-1</f>
        <v>0.79970972423802622</v>
      </c>
      <c r="L624" t="str">
        <f>VLOOKUP(Продажи[[#This Row],[id товара]],Товары[],3,0)</f>
        <v>Агро-Альянс</v>
      </c>
      <c r="M624" s="32">
        <f>AVERAGEIFS(Продажи[цена за шт в рублях],Продажи[Категория],Продажи[[#This Row],[Категория]],Продажи[Поставщик],Продажи[[#This Row],[Поставщик]])</f>
        <v>317.85714285714283</v>
      </c>
      <c r="N624" s="16">
        <f>Продажи[[#This Row],[цена за шт в рублях]]/Продажи[[#This Row],[Средняя цена в категории за шт по поставщику]]-1</f>
        <v>0.46292134831460685</v>
      </c>
      <c r="O624" s="48">
        <f>VLOOKUP(Продажи[[#This Row],[id клиента]],клиенты!$A$2:$E$435,5,0)</f>
        <v>44841</v>
      </c>
      <c r="P624">
        <f>Продажи[[#This Row],[дата создания чека]]-Продажи[[#This Row],[Дата регистрации]]</f>
        <v>309</v>
      </c>
      <c r="Q624" t="str">
        <f>VLOOKUP(Продажи[[#This Row],[id клиента]],клиенты!$A$2:$G$435,7,0)</f>
        <v>Беларусь</v>
      </c>
      <c r="R624">
        <f>IF(COUNTIF($H$2:H624, H624)=1, 1, 0)</f>
        <v>0</v>
      </c>
      <c r="S624" t="str">
        <f>VLOOKUP(Продажи[[#This Row],[id клиента]],клиенты!$A$2:$D$435,4,0)</f>
        <v>нет</v>
      </c>
      <c r="T624" s="54">
        <f>VLOOKUP(Продажи[[#This Row],[id клиента]],клиенты!$A$2:$I$435,9,0)</f>
        <v>17.971252566735114</v>
      </c>
    </row>
    <row r="625" spans="1:20" x14ac:dyDescent="0.25">
      <c r="A625">
        <v>624</v>
      </c>
      <c r="B625">
        <v>313</v>
      </c>
      <c r="C625">
        <v>152</v>
      </c>
      <c r="D625">
        <v>1</v>
      </c>
      <c r="E625" s="35">
        <v>760</v>
      </c>
      <c r="F625" s="48">
        <v>45014</v>
      </c>
      <c r="G625" t="s">
        <v>16</v>
      </c>
      <c r="H625">
        <v>127</v>
      </c>
      <c r="I625" t="str">
        <f>VLOOKUP(Продажи[[#This Row],[id товара]],Товары[],2,0)</f>
        <v>Конфеты</v>
      </c>
      <c r="J625" s="17">
        <f>AVERAGEIF(Продажи[Категория],Продажи[[#This Row],[Категория]],Продажи[цена за шт в рублях])</f>
        <v>267.85483870967744</v>
      </c>
      <c r="K625" s="16">
        <f>Продажи[[#This Row],[цена за шт в рублях]]/Продажи[[#This Row],[Средняя цена в категории за шт]]-1</f>
        <v>-0.43252845185765043</v>
      </c>
      <c r="L625" t="str">
        <f>VLOOKUP(Продажи[[#This Row],[id товара]],Товары[],3,0)</f>
        <v>Бабаевский</v>
      </c>
      <c r="M625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625" s="16">
        <f>Продажи[[#This Row],[цена за шт в рублях]]/Продажи[[#This Row],[Средняя цена в категории за шт по поставщику]]-1</f>
        <v>-0.39262986532484834</v>
      </c>
      <c r="O625" s="48">
        <f>VLOOKUP(Продажи[[#This Row],[id клиента]],клиенты!$A$2:$E$435,5,0)</f>
        <v>44914</v>
      </c>
      <c r="P625">
        <f>Продажи[[#This Row],[дата создания чека]]-Продажи[[#This Row],[Дата регистрации]]</f>
        <v>100</v>
      </c>
      <c r="Q625" t="str">
        <f>VLOOKUP(Продажи[[#This Row],[id клиента]],клиенты!$A$2:$G$435,7,0)</f>
        <v>Украина</v>
      </c>
      <c r="R625">
        <f>IF(COUNTIF($H$2:H625, H625)=1, 1, 0)</f>
        <v>0</v>
      </c>
      <c r="S625" t="str">
        <f>VLOOKUP(Продажи[[#This Row],[id клиента]],клиенты!$A$2:$D$435,4,0)</f>
        <v>нет</v>
      </c>
      <c r="T625" s="54">
        <f>VLOOKUP(Продажи[[#This Row],[id клиента]],клиенты!$A$2:$I$435,9,0)</f>
        <v>12.813141683778234</v>
      </c>
    </row>
    <row r="626" spans="1:20" x14ac:dyDescent="0.25">
      <c r="A626">
        <v>625</v>
      </c>
      <c r="B626">
        <v>245</v>
      </c>
      <c r="C626">
        <v>144</v>
      </c>
      <c r="D626">
        <v>4</v>
      </c>
      <c r="E626" s="35">
        <v>2880</v>
      </c>
      <c r="F626" s="48">
        <v>45206</v>
      </c>
      <c r="G626" t="s">
        <v>23</v>
      </c>
      <c r="H626">
        <v>314</v>
      </c>
      <c r="I626" t="str">
        <f>VLOOKUP(Продажи[[#This Row],[id товара]],Товары[],2,0)</f>
        <v>Сахар</v>
      </c>
      <c r="J626" s="17">
        <f>AVERAGEIF(Продажи[Категория],Продажи[[#This Row],[Категория]],Продажи[цена за шт в рублях])</f>
        <v>252.76271186440678</v>
      </c>
      <c r="K626" s="16">
        <f>Продажи[[#This Row],[цена за шт в рублях]]/Продажи[[#This Row],[Средняя цена в категории за шт]]-1</f>
        <v>-0.43029571514785758</v>
      </c>
      <c r="L626" t="str">
        <f>VLOOKUP(Продажи[[#This Row],[id товара]],Товары[],3,0)</f>
        <v>Продимекс</v>
      </c>
      <c r="M626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626" s="16">
        <f>Продажи[[#This Row],[цена за шт в рублях]]/Продажи[[#This Row],[Средняя цена в категории за шт по поставщику]]-1</f>
        <v>-0.40124740124740121</v>
      </c>
      <c r="O626" s="48">
        <f>VLOOKUP(Продажи[[#This Row],[id клиента]],клиенты!$A$2:$E$435,5,0)</f>
        <v>44899</v>
      </c>
      <c r="P626">
        <f>Продажи[[#This Row],[дата создания чека]]-Продажи[[#This Row],[Дата регистрации]]</f>
        <v>307</v>
      </c>
      <c r="Q626" t="str">
        <f>VLOOKUP(Продажи[[#This Row],[id клиента]],клиенты!$A$2:$G$435,7,0)</f>
        <v>Россия</v>
      </c>
      <c r="R626">
        <f>IF(COUNTIF($H$2:H626, H626)=1, 1, 0)</f>
        <v>0</v>
      </c>
      <c r="S626" t="str">
        <f>VLOOKUP(Продажи[[#This Row],[id клиента]],клиенты!$A$2:$D$435,4,0)</f>
        <v>нет</v>
      </c>
      <c r="T626" s="54">
        <f>VLOOKUP(Продажи[[#This Row],[id клиента]],клиенты!$A$2:$I$435,9,0)</f>
        <v>12.813141683778234</v>
      </c>
    </row>
    <row r="627" spans="1:20" x14ac:dyDescent="0.25">
      <c r="A627">
        <v>626</v>
      </c>
      <c r="B627">
        <v>194</v>
      </c>
      <c r="C627">
        <v>478</v>
      </c>
      <c r="D627">
        <v>3</v>
      </c>
      <c r="E627" s="35">
        <v>7170</v>
      </c>
      <c r="F627" s="48">
        <v>44960</v>
      </c>
      <c r="G627" t="s">
        <v>16</v>
      </c>
      <c r="H627">
        <v>403</v>
      </c>
      <c r="I627" t="str">
        <f>VLOOKUP(Продажи[[#This Row],[id товара]],Товары[],2,0)</f>
        <v>Соль</v>
      </c>
      <c r="J627" s="17">
        <f>AVERAGEIF(Продажи[Категория],Продажи[[#This Row],[Категория]],Продажи[цена за шт в рублях])</f>
        <v>264.8679245283019</v>
      </c>
      <c r="K627" s="16">
        <f>Продажи[[#This Row],[цена за шт в рублях]]/Продажи[[#This Row],[Средняя цена в категории за шт]]-1</f>
        <v>0.80467303034620308</v>
      </c>
      <c r="L627" t="str">
        <f>VLOOKUP(Продажи[[#This Row],[id товара]],Товары[],3,0)</f>
        <v>Салта</v>
      </c>
      <c r="M627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627" s="16">
        <f>Продажи[[#This Row],[цена за шт в рублях]]/Продажи[[#This Row],[Средняя цена в категории за шт по поставщику]]-1</f>
        <v>0.74643770551698951</v>
      </c>
      <c r="O627" s="48">
        <f>VLOOKUP(Продажи[[#This Row],[id клиента]],клиенты!$A$2:$E$435,5,0)</f>
        <v>44594</v>
      </c>
      <c r="P627">
        <f>Продажи[[#This Row],[дата создания чека]]-Продажи[[#This Row],[Дата регистрации]]</f>
        <v>366</v>
      </c>
      <c r="Q627" t="str">
        <f>VLOOKUP(Продажи[[#This Row],[id клиента]],клиенты!$A$2:$G$435,7,0)</f>
        <v>Россия</v>
      </c>
      <c r="R627">
        <f>IF(COUNTIF($H$2:H627, H627)=1, 1, 0)</f>
        <v>1</v>
      </c>
      <c r="S627" t="str">
        <f>VLOOKUP(Продажи[[#This Row],[id клиента]],клиенты!$A$2:$D$435,4,0)</f>
        <v>нет</v>
      </c>
      <c r="T627" s="54">
        <f>VLOOKUP(Продажи[[#This Row],[id клиента]],клиенты!$A$2:$I$435,9,0)</f>
        <v>12.780287474332649</v>
      </c>
    </row>
    <row r="628" spans="1:20" x14ac:dyDescent="0.25">
      <c r="A628">
        <v>627</v>
      </c>
      <c r="B628">
        <v>154</v>
      </c>
      <c r="C628">
        <v>75</v>
      </c>
      <c r="D628">
        <v>1</v>
      </c>
      <c r="E628" s="35">
        <v>375</v>
      </c>
      <c r="F628" s="48">
        <v>45378</v>
      </c>
      <c r="G628" t="s">
        <v>14</v>
      </c>
      <c r="H628">
        <v>255</v>
      </c>
      <c r="I628" t="str">
        <f>VLOOKUP(Продажи[[#This Row],[id товара]],Товары[],2,0)</f>
        <v>Овощи</v>
      </c>
      <c r="J628" s="17">
        <f>AVERAGEIF(Продажи[Категория],Продажи[[#This Row],[Категория]],Продажи[цена за шт в рублях])</f>
        <v>250.48780487804879</v>
      </c>
      <c r="K628" s="16">
        <f>Продажи[[#This Row],[цена за шт в рублях]]/Продажи[[#This Row],[Средняя цена в категории за шт]]-1</f>
        <v>-0.70058422590068159</v>
      </c>
      <c r="L628" t="str">
        <f>VLOOKUP(Продажи[[#This Row],[id товара]],Товары[],3,0)</f>
        <v>Зеленая грядка</v>
      </c>
      <c r="M628" s="32">
        <f>AVERAGEIFS(Продажи[цена за шт в рублях],Продажи[Категория],Продажи[[#This Row],[Категория]],Продажи[Поставщик],Продажи[[#This Row],[Поставщик]])</f>
        <v>159.19999999999999</v>
      </c>
      <c r="N628" s="16">
        <f>Продажи[[#This Row],[цена за шт в рублях]]/Продажи[[#This Row],[Средняя цена в категории за шт по поставщику]]-1</f>
        <v>-0.52889447236180898</v>
      </c>
      <c r="O628" s="48">
        <f>VLOOKUP(Продажи[[#This Row],[id клиента]],клиенты!$A$2:$E$435,5,0)</f>
        <v>44793</v>
      </c>
      <c r="P628">
        <f>Продажи[[#This Row],[дата создания чека]]-Продажи[[#This Row],[Дата регистрации]]</f>
        <v>585</v>
      </c>
      <c r="Q628" t="str">
        <f>VLOOKUP(Продажи[[#This Row],[id клиента]],клиенты!$A$2:$G$435,7,0)</f>
        <v>Украина</v>
      </c>
      <c r="R628">
        <f>IF(COUNTIF($H$2:H628, H628)=1, 1, 0)</f>
        <v>0</v>
      </c>
      <c r="S628" t="str">
        <f>VLOOKUP(Продажи[[#This Row],[id клиента]],клиенты!$A$2:$D$435,4,0)</f>
        <v>да</v>
      </c>
      <c r="T628" s="54">
        <f>VLOOKUP(Продажи[[#This Row],[id клиента]],клиенты!$A$2:$I$435,9,0)</f>
        <v>19.219712525667351</v>
      </c>
    </row>
    <row r="629" spans="1:20" x14ac:dyDescent="0.25">
      <c r="A629">
        <v>628</v>
      </c>
      <c r="B629">
        <v>462</v>
      </c>
      <c r="C629">
        <v>147</v>
      </c>
      <c r="D629">
        <v>5</v>
      </c>
      <c r="E629" s="35">
        <v>3675</v>
      </c>
      <c r="F629" s="48">
        <v>45113</v>
      </c>
      <c r="G629" t="s">
        <v>23</v>
      </c>
      <c r="H629">
        <v>229</v>
      </c>
      <c r="I629" t="str">
        <f>VLOOKUP(Продажи[[#This Row],[id товара]],Товары[],2,0)</f>
        <v>Рис</v>
      </c>
      <c r="J629" s="17">
        <f>AVERAGEIF(Продажи[Категория],Продажи[[#This Row],[Категория]],Продажи[цена за шт в рублях])</f>
        <v>258.375</v>
      </c>
      <c r="K629" s="16">
        <f>Продажи[[#This Row],[цена за шт в рублях]]/Продажи[[#This Row],[Средняя цена в категории за шт]]-1</f>
        <v>-0.43105950653120462</v>
      </c>
      <c r="L629" t="str">
        <f>VLOOKUP(Продажи[[#This Row],[id товара]],Товары[],3,0)</f>
        <v>Белый Злат</v>
      </c>
      <c r="M629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629" s="16">
        <f>Продажи[[#This Row],[цена за шт в рублях]]/Продажи[[#This Row],[Средняя цена в категории за шт по поставщику]]-1</f>
        <v>-0.45496183206106866</v>
      </c>
      <c r="O629" s="48">
        <f>VLOOKUP(Продажи[[#This Row],[id клиента]],клиенты!$A$2:$E$435,5,0)</f>
        <v>44766</v>
      </c>
      <c r="P629">
        <f>Продажи[[#This Row],[дата создания чека]]-Продажи[[#This Row],[Дата регистрации]]</f>
        <v>347</v>
      </c>
      <c r="Q629" t="str">
        <f>VLOOKUP(Продажи[[#This Row],[id клиента]],клиенты!$A$2:$G$435,7,0)</f>
        <v>Беларусь</v>
      </c>
      <c r="R629">
        <f>IF(COUNTIF($H$2:H629, H629)=1, 1, 0)</f>
        <v>0</v>
      </c>
      <c r="S629" t="str">
        <f>VLOOKUP(Продажи[[#This Row],[id клиента]],клиенты!$A$2:$D$435,4,0)</f>
        <v>нет</v>
      </c>
      <c r="T629" s="54">
        <f>VLOOKUP(Продажи[[#This Row],[id клиента]],клиенты!$A$2:$I$435,9,0)</f>
        <v>21.453798767967147</v>
      </c>
    </row>
    <row r="630" spans="1:20" x14ac:dyDescent="0.25">
      <c r="A630">
        <v>629</v>
      </c>
      <c r="B630">
        <v>310</v>
      </c>
      <c r="C630">
        <v>404</v>
      </c>
      <c r="D630">
        <v>4</v>
      </c>
      <c r="E630" s="35">
        <v>8080</v>
      </c>
      <c r="F630" s="48">
        <v>45031</v>
      </c>
      <c r="G630" t="s">
        <v>11</v>
      </c>
      <c r="H630">
        <v>179</v>
      </c>
      <c r="I630" t="str">
        <f>VLOOKUP(Продажи[[#This Row],[id товара]],Товары[],2,0)</f>
        <v>Макароны</v>
      </c>
      <c r="J630" s="17">
        <f>AVERAGEIF(Продажи[Категория],Продажи[[#This Row],[Категория]],Продажи[цена за шт в рублях])</f>
        <v>265.47674418604652</v>
      </c>
      <c r="K630" s="16">
        <f>Продажи[[#This Row],[цена за шт в рублях]]/Продажи[[#This Row],[Средняя цена в категории за шт]]-1</f>
        <v>0.52179054793920554</v>
      </c>
      <c r="L630" t="str">
        <f>VLOOKUP(Продажи[[#This Row],[id товара]],Товары[],3,0)</f>
        <v>Паста Зара</v>
      </c>
      <c r="M630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30" s="16">
        <f>Продажи[[#This Row],[цена за шт в рублях]]/Продажи[[#This Row],[Средняя цена в категории за шт по поставщику]]-1</f>
        <v>0.46019341603985531</v>
      </c>
      <c r="O630" s="48">
        <f>VLOOKUP(Продажи[[#This Row],[id клиента]],клиенты!$A$2:$E$435,5,0)</f>
        <v>44833</v>
      </c>
      <c r="P630">
        <f>Продажи[[#This Row],[дата создания чека]]-Продажи[[#This Row],[Дата регистрации]]</f>
        <v>198</v>
      </c>
      <c r="Q630" t="str">
        <f>VLOOKUP(Продажи[[#This Row],[id клиента]],клиенты!$A$2:$G$435,7,0)</f>
        <v>Россия</v>
      </c>
      <c r="R630">
        <f>IF(COUNTIF($H$2:H630, H630)=1, 1, 0)</f>
        <v>0</v>
      </c>
      <c r="S630" t="str">
        <f>VLOOKUP(Продажи[[#This Row],[id клиента]],клиенты!$A$2:$D$435,4,0)</f>
        <v>да</v>
      </c>
      <c r="T630" s="54">
        <f>VLOOKUP(Продажи[[#This Row],[id клиента]],клиенты!$A$2:$I$435,9,0)</f>
        <v>18.004106776180699</v>
      </c>
    </row>
    <row r="631" spans="1:20" x14ac:dyDescent="0.25">
      <c r="A631">
        <v>630</v>
      </c>
      <c r="B631">
        <v>422</v>
      </c>
      <c r="C631">
        <v>361</v>
      </c>
      <c r="D631">
        <v>1</v>
      </c>
      <c r="E631" s="35">
        <v>1805</v>
      </c>
      <c r="F631" s="48">
        <v>45361</v>
      </c>
      <c r="G631" t="s">
        <v>15</v>
      </c>
      <c r="H631">
        <v>277</v>
      </c>
      <c r="I631" t="str">
        <f>VLOOKUP(Продажи[[#This Row],[id товара]],Товары[],2,0)</f>
        <v>Кофе</v>
      </c>
      <c r="J631" s="17">
        <f>AVERAGEIF(Продажи[Категория],Продажи[[#This Row],[Категория]],Продажи[цена за шт в рублях])</f>
        <v>249.02380952380952</v>
      </c>
      <c r="K631" s="16">
        <f>Продажи[[#This Row],[цена за шт в рублях]]/Продажи[[#This Row],[Средняя цена в категории за шт]]-1</f>
        <v>0.4496605794052968</v>
      </c>
      <c r="L631" t="str">
        <f>VLOOKUP(Продажи[[#This Row],[id товара]],Товары[],3,0)</f>
        <v>Nescafe</v>
      </c>
      <c r="M631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631" s="16">
        <f>Продажи[[#This Row],[цена за шт в рублях]]/Продажи[[#This Row],[Средняя цена в категории за шт по поставщику]]-1</f>
        <v>0.40521603736862599</v>
      </c>
      <c r="O631" s="48">
        <f>VLOOKUP(Продажи[[#This Row],[id клиента]],клиенты!$A$2:$E$435,5,0)</f>
        <v>44750</v>
      </c>
      <c r="P631">
        <f>Продажи[[#This Row],[дата создания чека]]-Продажи[[#This Row],[Дата регистрации]]</f>
        <v>611</v>
      </c>
      <c r="Q631" t="str">
        <f>VLOOKUP(Продажи[[#This Row],[id клиента]],клиенты!$A$2:$G$435,7,0)</f>
        <v>Россия</v>
      </c>
      <c r="R631">
        <f>IF(COUNTIF($H$2:H631, H631)=1, 1, 0)</f>
        <v>0</v>
      </c>
      <c r="S631" t="str">
        <f>VLOOKUP(Продажи[[#This Row],[id клиента]],клиенты!$A$2:$D$435,4,0)</f>
        <v>да</v>
      </c>
      <c r="T631" s="54">
        <f>VLOOKUP(Продажи[[#This Row],[id клиента]],клиенты!$A$2:$I$435,9,0)</f>
        <v>20.073921971252567</v>
      </c>
    </row>
    <row r="632" spans="1:20" x14ac:dyDescent="0.25">
      <c r="A632">
        <v>631</v>
      </c>
      <c r="B632">
        <v>453</v>
      </c>
      <c r="C632">
        <v>404</v>
      </c>
      <c r="D632">
        <v>5</v>
      </c>
      <c r="E632" s="35">
        <v>10100</v>
      </c>
      <c r="F632" s="48">
        <v>45108</v>
      </c>
      <c r="G632" t="s">
        <v>8</v>
      </c>
      <c r="H632">
        <v>460</v>
      </c>
      <c r="I632" t="str">
        <f>VLOOKUP(Продажи[[#This Row],[id товара]],Товары[],2,0)</f>
        <v>Макароны</v>
      </c>
      <c r="J632" s="17">
        <f>AVERAGEIF(Продажи[Категория],Продажи[[#This Row],[Категория]],Продажи[цена за шт в рублях])</f>
        <v>265.47674418604652</v>
      </c>
      <c r="K632" s="16">
        <f>Продажи[[#This Row],[цена за шт в рублях]]/Продажи[[#This Row],[Средняя цена в категории за шт]]-1</f>
        <v>0.52179054793920554</v>
      </c>
      <c r="L632" t="str">
        <f>VLOOKUP(Продажи[[#This Row],[id товара]],Товары[],3,0)</f>
        <v>Макфа</v>
      </c>
      <c r="M632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632" s="16">
        <f>Продажи[[#This Row],[цена за шт в рублях]]/Продажи[[#This Row],[Средняя цена в категории за шт по поставщику]]-1</f>
        <v>0.22694643843180562</v>
      </c>
      <c r="O632" s="48">
        <f>VLOOKUP(Продажи[[#This Row],[id клиента]],клиенты!$A$2:$E$435,5,0)</f>
        <v>44821</v>
      </c>
      <c r="P632">
        <f>Продажи[[#This Row],[дата создания чека]]-Продажи[[#This Row],[Дата регистрации]]</f>
        <v>287</v>
      </c>
      <c r="Q632" t="str">
        <f>VLOOKUP(Продажи[[#This Row],[id клиента]],клиенты!$A$2:$G$435,7,0)</f>
        <v>Россия</v>
      </c>
      <c r="R632">
        <f>IF(COUNTIF($H$2:H632, H632)=1, 1, 0)</f>
        <v>1</v>
      </c>
      <c r="S632" t="str">
        <f>VLOOKUP(Продажи[[#This Row],[id клиента]],клиенты!$A$2:$D$435,4,0)</f>
        <v>нет</v>
      </c>
      <c r="T632" s="54">
        <f>VLOOKUP(Продажи[[#This Row],[id клиента]],клиенты!$A$2:$I$435,9,0)</f>
        <v>9.4291581108829572</v>
      </c>
    </row>
    <row r="633" spans="1:20" x14ac:dyDescent="0.25">
      <c r="A633">
        <v>632</v>
      </c>
      <c r="B633">
        <v>337</v>
      </c>
      <c r="C633">
        <v>132</v>
      </c>
      <c r="D633">
        <v>3</v>
      </c>
      <c r="E633" s="35">
        <v>1980</v>
      </c>
      <c r="F633" s="48">
        <v>45003</v>
      </c>
      <c r="G633" t="s">
        <v>26</v>
      </c>
      <c r="H633">
        <v>434</v>
      </c>
      <c r="I633" t="str">
        <f>VLOOKUP(Продажи[[#This Row],[id товара]],Товары[],2,0)</f>
        <v>Макароны</v>
      </c>
      <c r="J633" s="17">
        <f>AVERAGEIF(Продажи[Категория],Продажи[[#This Row],[Категория]],Продажи[цена за шт в рублях])</f>
        <v>265.47674418604652</v>
      </c>
      <c r="K633" s="16">
        <f>Продажи[[#This Row],[цена за шт в рублях]]/Продажи[[#This Row],[Средняя цена в категории за шт]]-1</f>
        <v>-0.50278130611887351</v>
      </c>
      <c r="L633" t="str">
        <f>VLOOKUP(Продажи[[#This Row],[id товара]],Товары[],3,0)</f>
        <v>Паста Зара</v>
      </c>
      <c r="M633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33" s="16">
        <f>Продажи[[#This Row],[цена за шт в рублях]]/Продажи[[#This Row],[Средняя цена в категории за шт по поставщику]]-1</f>
        <v>-0.52290710168994825</v>
      </c>
      <c r="O633" s="48">
        <f>VLOOKUP(Продажи[[#This Row],[id клиента]],клиенты!$A$2:$E$435,5,0)</f>
        <v>44730</v>
      </c>
      <c r="P633">
        <f>Продажи[[#This Row],[дата создания чека]]-Продажи[[#This Row],[Дата регистрации]]</f>
        <v>273</v>
      </c>
      <c r="Q633" t="str">
        <f>VLOOKUP(Продажи[[#This Row],[id клиента]],клиенты!$A$2:$G$435,7,0)</f>
        <v>Украина</v>
      </c>
      <c r="R633">
        <f>IF(COUNTIF($H$2:H633, H633)=1, 1, 0)</f>
        <v>0</v>
      </c>
      <c r="S633" t="str">
        <f>VLOOKUP(Продажи[[#This Row],[id клиента]],клиенты!$A$2:$D$435,4,0)</f>
        <v>нет</v>
      </c>
      <c r="T633" s="54">
        <f>VLOOKUP(Продажи[[#This Row],[id клиента]],клиенты!$A$2:$I$435,9,0)</f>
        <v>22.406570841889117</v>
      </c>
    </row>
    <row r="634" spans="1:20" x14ac:dyDescent="0.25">
      <c r="A634">
        <v>633</v>
      </c>
      <c r="B634">
        <v>258</v>
      </c>
      <c r="C634">
        <v>333</v>
      </c>
      <c r="D634">
        <v>4</v>
      </c>
      <c r="E634" s="35">
        <v>6660</v>
      </c>
      <c r="F634" s="48">
        <v>45018</v>
      </c>
      <c r="G634" t="s">
        <v>11</v>
      </c>
      <c r="H634">
        <v>62</v>
      </c>
      <c r="I634" t="str">
        <f>VLOOKUP(Продажи[[#This Row],[id товара]],Товары[],2,0)</f>
        <v>Рыба</v>
      </c>
      <c r="J634" s="17">
        <f>AVERAGEIF(Продажи[Категория],Продажи[[#This Row],[Категория]],Продажи[цена за шт в рублях])</f>
        <v>258.5128205128205</v>
      </c>
      <c r="K634" s="16">
        <f>Продажи[[#This Row],[цена за шт в рублях]]/Продажи[[#This Row],[Средняя цена в категории за шт]]-1</f>
        <v>0.28813727435032743</v>
      </c>
      <c r="L634" t="str">
        <f>VLOOKUP(Продажи[[#This Row],[id товара]],Товары[],3,0)</f>
        <v>Санта Бремор</v>
      </c>
      <c r="M634" s="32">
        <f>AVERAGEIFS(Продажи[цена за шт в рублях],Продажи[Категория],Продажи[[#This Row],[Категория]],Продажи[Поставщик],Продажи[[#This Row],[Поставщик]])</f>
        <v>216.4</v>
      </c>
      <c r="N634" s="16">
        <f>Продажи[[#This Row],[цена за шт в рублях]]/Продажи[[#This Row],[Средняя цена в категории за шт по поставщику]]-1</f>
        <v>0.53881700554528655</v>
      </c>
      <c r="O634" s="48">
        <f>VLOOKUP(Продажи[[#This Row],[id клиента]],клиенты!$A$2:$E$435,5,0)</f>
        <v>44671</v>
      </c>
      <c r="P634">
        <f>Продажи[[#This Row],[дата создания чека]]-Продажи[[#This Row],[Дата регистрации]]</f>
        <v>347</v>
      </c>
      <c r="Q634" t="str">
        <f>VLOOKUP(Продажи[[#This Row],[id клиента]],клиенты!$A$2:$G$435,7,0)</f>
        <v>Россия</v>
      </c>
      <c r="R634">
        <f>IF(COUNTIF($H$2:H634, H634)=1, 1, 0)</f>
        <v>0</v>
      </c>
      <c r="S634" t="str">
        <f>VLOOKUP(Продажи[[#This Row],[id клиента]],клиенты!$A$2:$D$435,4,0)</f>
        <v>нет</v>
      </c>
      <c r="T634" s="54">
        <f>VLOOKUP(Продажи[[#This Row],[id клиента]],клиенты!$A$2:$I$435,9,0)</f>
        <v>22.275154004106778</v>
      </c>
    </row>
    <row r="635" spans="1:20" x14ac:dyDescent="0.25">
      <c r="A635">
        <v>634</v>
      </c>
      <c r="B635">
        <v>111</v>
      </c>
      <c r="C635">
        <v>420</v>
      </c>
      <c r="D635">
        <v>1</v>
      </c>
      <c r="E635" s="35">
        <v>2100</v>
      </c>
      <c r="F635" s="48">
        <v>45295</v>
      </c>
      <c r="G635" t="s">
        <v>9</v>
      </c>
      <c r="H635">
        <v>13</v>
      </c>
      <c r="I635" t="str">
        <f>VLOOKUP(Продажи[[#This Row],[id товара]],Товары[],2,0)</f>
        <v>Сахар</v>
      </c>
      <c r="J635" s="17">
        <f>AVERAGEIF(Продажи[Категория],Продажи[[#This Row],[Категория]],Продажи[цена за шт в рублях])</f>
        <v>252.76271186440678</v>
      </c>
      <c r="K635" s="16">
        <f>Продажи[[#This Row],[цена за шт в рублях]]/Продажи[[#This Row],[Средняя цена в категории за шт]]-1</f>
        <v>0.66163749748541534</v>
      </c>
      <c r="L635" t="str">
        <f>VLOOKUP(Продажи[[#This Row],[id товара]],Товары[],3,0)</f>
        <v>Сладов</v>
      </c>
      <c r="M635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635" s="16">
        <f>Продажи[[#This Row],[цена за шт в рублях]]/Продажи[[#This Row],[Средняя цена в категории за шт по поставщику]]-1</f>
        <v>0.74805771365149831</v>
      </c>
      <c r="O635" s="48">
        <f>VLOOKUP(Продажи[[#This Row],[id клиента]],клиенты!$A$2:$E$435,5,0)</f>
        <v>44724</v>
      </c>
      <c r="P635">
        <f>Продажи[[#This Row],[дата создания чека]]-Продажи[[#This Row],[Дата регистрации]]</f>
        <v>571</v>
      </c>
      <c r="Q635" t="str">
        <f>VLOOKUP(Продажи[[#This Row],[id клиента]],клиенты!$A$2:$G$435,7,0)</f>
        <v>Россия</v>
      </c>
      <c r="R635">
        <f>IF(COUNTIF($H$2:H635, H635)=1, 1, 0)</f>
        <v>0</v>
      </c>
      <c r="S635" t="str">
        <f>VLOOKUP(Продажи[[#This Row],[id клиента]],клиенты!$A$2:$D$435,4,0)</f>
        <v>нет</v>
      </c>
      <c r="T635" s="54">
        <f>VLOOKUP(Продажи[[#This Row],[id клиента]],клиенты!$A$2:$I$435,9,0)</f>
        <v>18.759753593429156</v>
      </c>
    </row>
    <row r="636" spans="1:20" x14ac:dyDescent="0.25">
      <c r="A636">
        <v>635</v>
      </c>
      <c r="B636">
        <v>4</v>
      </c>
      <c r="C636">
        <v>151</v>
      </c>
      <c r="D636">
        <v>4</v>
      </c>
      <c r="E636" s="35">
        <v>3020</v>
      </c>
      <c r="F636" s="48">
        <v>45286</v>
      </c>
      <c r="G636" t="s">
        <v>18</v>
      </c>
      <c r="H636">
        <v>116</v>
      </c>
      <c r="I636" t="str">
        <f>VLOOKUP(Продажи[[#This Row],[id товара]],Товары[],2,0)</f>
        <v>Рис</v>
      </c>
      <c r="J636" s="17">
        <f>AVERAGEIF(Продажи[Категория],Продажи[[#This Row],[Категория]],Продажи[цена за шт в рублях])</f>
        <v>258.375</v>
      </c>
      <c r="K636" s="16">
        <f>Продажи[[#This Row],[цена за шт в рублях]]/Продажи[[#This Row],[Средняя цена в категории за шт]]-1</f>
        <v>-0.41557813255926468</v>
      </c>
      <c r="L636" t="str">
        <f>VLOOKUP(Продажи[[#This Row],[id товара]],Товары[],3,0)</f>
        <v>Белый Злат</v>
      </c>
      <c r="M636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636" s="16">
        <f>Продажи[[#This Row],[цена за шт в рублях]]/Продажи[[#This Row],[Средняя цена в категории за шт по поставщику]]-1</f>
        <v>-0.44013086150490732</v>
      </c>
      <c r="O636" s="48">
        <f>VLOOKUP(Продажи[[#This Row],[id клиента]],клиенты!$A$2:$E$435,5,0)</f>
        <v>44643</v>
      </c>
      <c r="P636">
        <f>Продажи[[#This Row],[дата создания чека]]-Продажи[[#This Row],[Дата регистрации]]</f>
        <v>643</v>
      </c>
      <c r="Q636" t="str">
        <f>VLOOKUP(Продажи[[#This Row],[id клиента]],клиенты!$A$2:$G$435,7,0)</f>
        <v>Россия</v>
      </c>
      <c r="R636">
        <f>IF(COUNTIF($H$2:H636, H636)=1, 1, 0)</f>
        <v>0</v>
      </c>
      <c r="S636" t="str">
        <f>VLOOKUP(Продажи[[#This Row],[id клиента]],клиенты!$A$2:$D$435,4,0)</f>
        <v>нет</v>
      </c>
      <c r="T636" s="54">
        <f>VLOOKUP(Продажи[[#This Row],[id клиента]],клиенты!$A$2:$I$435,9,0)</f>
        <v>21.125256673511295</v>
      </c>
    </row>
    <row r="637" spans="1:20" x14ac:dyDescent="0.25">
      <c r="A637">
        <v>636</v>
      </c>
      <c r="B637">
        <v>266</v>
      </c>
      <c r="C637">
        <v>141</v>
      </c>
      <c r="D637">
        <v>5</v>
      </c>
      <c r="E637" s="35">
        <v>3525</v>
      </c>
      <c r="F637" s="48">
        <v>45174</v>
      </c>
      <c r="G637" t="s">
        <v>11</v>
      </c>
      <c r="H637">
        <v>50</v>
      </c>
      <c r="I637" t="str">
        <f>VLOOKUP(Продажи[[#This Row],[id товара]],Товары[],2,0)</f>
        <v>Рыба</v>
      </c>
      <c r="J637" s="17">
        <f>AVERAGEIF(Продажи[Категория],Продажи[[#This Row],[Категория]],Продажи[цена за шт в рублях])</f>
        <v>258.5128205128205</v>
      </c>
      <c r="K637" s="16">
        <f>Продажи[[#This Row],[цена за шт в рублях]]/Продажи[[#This Row],[Средняя цена в категории за шт]]-1</f>
        <v>-0.45457250545526673</v>
      </c>
      <c r="L637" t="str">
        <f>VLOOKUP(Продажи[[#This Row],[id товара]],Товары[],3,0)</f>
        <v>Меридиан</v>
      </c>
      <c r="M637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637" s="16">
        <f>Продажи[[#This Row],[цена за шт в рублях]]/Продажи[[#This Row],[Средняя цена в категории за шт по поставщику]]-1</f>
        <v>-0.45903859174001349</v>
      </c>
      <c r="O637" s="48">
        <f>VLOOKUP(Продажи[[#This Row],[id клиента]],клиенты!$A$2:$E$435,5,0)</f>
        <v>44576</v>
      </c>
      <c r="P637">
        <f>Продажи[[#This Row],[дата создания чека]]-Продажи[[#This Row],[Дата регистрации]]</f>
        <v>598</v>
      </c>
      <c r="Q637" t="str">
        <f>VLOOKUP(Продажи[[#This Row],[id клиента]],клиенты!$A$2:$G$435,7,0)</f>
        <v>Узбекистан</v>
      </c>
      <c r="R637">
        <f>IF(COUNTIF($H$2:H637, H637)=1, 1, 0)</f>
        <v>1</v>
      </c>
      <c r="S637" t="str">
        <f>VLOOKUP(Продажи[[#This Row],[id клиента]],клиенты!$A$2:$D$435,4,0)</f>
        <v>да</v>
      </c>
      <c r="T637" s="54">
        <f>VLOOKUP(Продажи[[#This Row],[id клиента]],клиенты!$A$2:$I$435,9,0)</f>
        <v>19.679671457905545</v>
      </c>
    </row>
    <row r="638" spans="1:20" x14ac:dyDescent="0.25">
      <c r="A638">
        <v>637</v>
      </c>
      <c r="B638">
        <v>143</v>
      </c>
      <c r="C638">
        <v>339</v>
      </c>
      <c r="D638">
        <v>1</v>
      </c>
      <c r="E638" s="35">
        <v>1695</v>
      </c>
      <c r="F638" s="48">
        <v>45013</v>
      </c>
      <c r="G638" t="s">
        <v>11</v>
      </c>
      <c r="H638">
        <v>197</v>
      </c>
      <c r="I638" t="str">
        <f>VLOOKUP(Продажи[[#This Row],[id товара]],Товары[],2,0)</f>
        <v>Сахар</v>
      </c>
      <c r="J638" s="17">
        <f>AVERAGEIF(Продажи[Категория],Продажи[[#This Row],[Категория]],Продажи[цена за шт в рублях])</f>
        <v>252.76271186440678</v>
      </c>
      <c r="K638" s="16">
        <f>Продажи[[#This Row],[цена за шт в рублях]]/Продажи[[#This Row],[Средняя цена в категории за шт]]-1</f>
        <v>0.34117883725608533</v>
      </c>
      <c r="L638" t="str">
        <f>VLOOKUP(Продажи[[#This Row],[id товара]],Товары[],3,0)</f>
        <v>Агросахар</v>
      </c>
      <c r="M638" s="32">
        <f>AVERAGEIFS(Продажи[цена за шт в рублях],Продажи[Категория],Продажи[[#This Row],[Категория]],Продажи[Поставщик],Продажи[[#This Row],[Поставщик]])</f>
        <v>215.85714285714286</v>
      </c>
      <c r="N638" s="16">
        <f>Продажи[[#This Row],[цена за шт в рублях]]/Продажи[[#This Row],[Средняя цена в категории за шт по поставщику]]-1</f>
        <v>0.57048312375909993</v>
      </c>
      <c r="O638" s="48">
        <f>VLOOKUP(Продажи[[#This Row],[id клиента]],клиенты!$A$2:$E$435,5,0)</f>
        <v>44785</v>
      </c>
      <c r="P638">
        <f>Продажи[[#This Row],[дата создания чека]]-Продажи[[#This Row],[Дата регистрации]]</f>
        <v>228</v>
      </c>
      <c r="Q638" t="str">
        <f>VLOOKUP(Продажи[[#This Row],[id клиента]],клиенты!$A$2:$G$435,7,0)</f>
        <v>Украина</v>
      </c>
      <c r="R638">
        <f>IF(COUNTIF($H$2:H638, H638)=1, 1, 0)</f>
        <v>1</v>
      </c>
      <c r="S638" t="str">
        <f>VLOOKUP(Продажи[[#This Row],[id клиента]],клиенты!$A$2:$D$435,4,0)</f>
        <v>нет</v>
      </c>
      <c r="T638" s="54">
        <f>VLOOKUP(Продажи[[#This Row],[id клиента]],клиенты!$A$2:$I$435,9,0)</f>
        <v>20.008213552361397</v>
      </c>
    </row>
    <row r="639" spans="1:20" x14ac:dyDescent="0.25">
      <c r="A639">
        <v>638</v>
      </c>
      <c r="B639">
        <v>475</v>
      </c>
      <c r="C639">
        <v>206</v>
      </c>
      <c r="D639">
        <v>3</v>
      </c>
      <c r="E639" s="35">
        <v>3090</v>
      </c>
      <c r="F639" s="48">
        <v>45424</v>
      </c>
      <c r="G639" t="s">
        <v>19</v>
      </c>
      <c r="H639">
        <v>243</v>
      </c>
      <c r="I639" t="str">
        <f>VLOOKUP(Продажи[[#This Row],[id товара]],Товары[],2,0)</f>
        <v>Хлеб</v>
      </c>
      <c r="J639" s="17">
        <f>AVERAGEIF(Продажи[Категория],Продажи[[#This Row],[Категория]],Продажи[цена за шт в рублях])</f>
        <v>300.31818181818181</v>
      </c>
      <c r="K639" s="16">
        <f>Продажи[[#This Row],[цена за шт в рублях]]/Продажи[[#This Row],[Средняя цена в категории за шт]]-1</f>
        <v>-0.31406084455880123</v>
      </c>
      <c r="L639" t="str">
        <f>VLOOKUP(Продажи[[#This Row],[id товара]],Товары[],3,0)</f>
        <v>Русский Хлеб</v>
      </c>
      <c r="M639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639" s="16">
        <f>Продажи[[#This Row],[цена за шт в рублях]]/Продажи[[#This Row],[Средняя цена в категории за шт по поставщику]]-1</f>
        <v>-0.34933670246367665</v>
      </c>
      <c r="O639" s="48">
        <f>VLOOKUP(Продажи[[#This Row],[id клиента]],клиенты!$A$2:$E$435,5,0)</f>
        <v>44681</v>
      </c>
      <c r="P639">
        <f>Продажи[[#This Row],[дата создания чека]]-Продажи[[#This Row],[Дата регистрации]]</f>
        <v>743</v>
      </c>
      <c r="Q639" t="str">
        <f>VLOOKUP(Продажи[[#This Row],[id клиента]],клиенты!$A$2:$G$435,7,0)</f>
        <v>Россия</v>
      </c>
      <c r="R639">
        <f>IF(COUNTIF($H$2:H639, H639)=1, 1, 0)</f>
        <v>1</v>
      </c>
      <c r="S639" t="str">
        <f>VLOOKUP(Продажи[[#This Row],[id клиента]],клиенты!$A$2:$D$435,4,0)</f>
        <v>нет</v>
      </c>
      <c r="T639" s="54">
        <f>VLOOKUP(Продажи[[#This Row],[id клиента]],клиенты!$A$2:$I$435,9,0)</f>
        <v>24.410677618069816</v>
      </c>
    </row>
    <row r="640" spans="1:20" x14ac:dyDescent="0.25">
      <c r="A640">
        <v>639</v>
      </c>
      <c r="B640">
        <v>52</v>
      </c>
      <c r="C640">
        <v>105</v>
      </c>
      <c r="D640">
        <v>2</v>
      </c>
      <c r="E640" s="35">
        <v>1050</v>
      </c>
      <c r="F640" s="48">
        <v>45232</v>
      </c>
      <c r="G640" t="s">
        <v>8</v>
      </c>
      <c r="H640">
        <v>275</v>
      </c>
      <c r="I640" t="str">
        <f>VLOOKUP(Продажи[[#This Row],[id товара]],Товары[],2,0)</f>
        <v>Соль</v>
      </c>
      <c r="J640" s="17">
        <f>AVERAGEIF(Продажи[Категория],Продажи[[#This Row],[Категория]],Продажи[цена за шт в рублях])</f>
        <v>264.8679245283019</v>
      </c>
      <c r="K640" s="16">
        <f>Продажи[[#This Row],[цена за шт в рублях]]/Продажи[[#This Row],[Средняя цена в категории за шт]]-1</f>
        <v>-0.60357600797834454</v>
      </c>
      <c r="L640" t="str">
        <f>VLOOKUP(Продажи[[#This Row],[id товара]],Товары[],3,0)</f>
        <v>Илецкая</v>
      </c>
      <c r="M640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640" s="16">
        <f>Продажи[[#This Row],[цена за шт в рублях]]/Продажи[[#This Row],[Средняя цена в категории за шт по поставщику]]-1</f>
        <v>-0.55913226032190333</v>
      </c>
      <c r="O640" s="48">
        <f>VLOOKUP(Продажи[[#This Row],[id клиента]],клиенты!$A$2:$E$435,5,0)</f>
        <v>44651</v>
      </c>
      <c r="P640">
        <f>Продажи[[#This Row],[дата создания чека]]-Продажи[[#This Row],[Дата регистрации]]</f>
        <v>581</v>
      </c>
      <c r="Q640" t="str">
        <f>VLOOKUP(Продажи[[#This Row],[id клиента]],клиенты!$A$2:$G$435,7,0)</f>
        <v>Таджикистан</v>
      </c>
      <c r="R640">
        <f>IF(COUNTIF($H$2:H640, H640)=1, 1, 0)</f>
        <v>0</v>
      </c>
      <c r="S640" t="str">
        <f>VLOOKUP(Продажи[[#This Row],[id клиента]],клиенты!$A$2:$D$435,4,0)</f>
        <v>нет</v>
      </c>
      <c r="T640" s="54">
        <f>VLOOKUP(Продажи[[#This Row],[id клиента]],клиенты!$A$2:$I$435,9,0)</f>
        <v>25.494866529774129</v>
      </c>
    </row>
    <row r="641" spans="1:20" x14ac:dyDescent="0.25">
      <c r="A641">
        <v>640</v>
      </c>
      <c r="B641">
        <v>47</v>
      </c>
      <c r="C641">
        <v>356</v>
      </c>
      <c r="D641">
        <v>3</v>
      </c>
      <c r="E641" s="35">
        <v>5340</v>
      </c>
      <c r="F641" s="48">
        <v>45288</v>
      </c>
      <c r="G641" t="s">
        <v>15</v>
      </c>
      <c r="H641">
        <v>45</v>
      </c>
      <c r="I641" t="str">
        <f>VLOOKUP(Продажи[[#This Row],[id товара]],Товары[],2,0)</f>
        <v>Мясо</v>
      </c>
      <c r="J641" s="17">
        <f>AVERAGEIF(Продажи[Категория],Продажи[[#This Row],[Категория]],Продажи[цена за шт в рублях])</f>
        <v>271.74545454545455</v>
      </c>
      <c r="K641" s="16">
        <f>Продажи[[#This Row],[цена за шт в рублях]]/Продажи[[#This Row],[Средняя цена в категории за шт]]-1</f>
        <v>0.31004951157500327</v>
      </c>
      <c r="L641" t="str">
        <f>VLOOKUP(Продажи[[#This Row],[id товара]],Товары[],3,0)</f>
        <v>Снежана</v>
      </c>
      <c r="M641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641" s="16">
        <f>Продажи[[#This Row],[цена за шт в рублях]]/Продажи[[#This Row],[Средняя цена в категории за шт по поставщику]]-1</f>
        <v>0.30712742980561547</v>
      </c>
      <c r="O641" s="48">
        <f>VLOOKUP(Продажи[[#This Row],[id клиента]],клиенты!$A$2:$E$435,5,0)</f>
        <v>44662</v>
      </c>
      <c r="P641">
        <f>Продажи[[#This Row],[дата создания чека]]-Продажи[[#This Row],[Дата регистрации]]</f>
        <v>626</v>
      </c>
      <c r="Q641" t="str">
        <f>VLOOKUP(Продажи[[#This Row],[id клиента]],клиенты!$A$2:$G$435,7,0)</f>
        <v>Узбекистан</v>
      </c>
      <c r="R641">
        <f>IF(COUNTIF($H$2:H641, H641)=1, 1, 0)</f>
        <v>1</v>
      </c>
      <c r="S641" t="str">
        <f>VLOOKUP(Продажи[[#This Row],[id клиента]],клиенты!$A$2:$D$435,4,0)</f>
        <v>да</v>
      </c>
      <c r="T641" s="54">
        <f>VLOOKUP(Продажи[[#This Row],[id клиента]],клиенты!$A$2:$I$435,9,0)</f>
        <v>20.566735112936346</v>
      </c>
    </row>
    <row r="642" spans="1:20" x14ac:dyDescent="0.25">
      <c r="A642">
        <v>641</v>
      </c>
      <c r="B642">
        <v>122</v>
      </c>
      <c r="C642">
        <v>240</v>
      </c>
      <c r="D642">
        <v>1</v>
      </c>
      <c r="E642" s="35">
        <v>1200</v>
      </c>
      <c r="F642" s="48">
        <v>44961</v>
      </c>
      <c r="G642" t="s">
        <v>9</v>
      </c>
      <c r="H642">
        <v>419</v>
      </c>
      <c r="I642" t="str">
        <f>VLOOKUP(Продажи[[#This Row],[id товара]],Товары[],2,0)</f>
        <v>Фрукты</v>
      </c>
      <c r="J642" s="17">
        <f>AVERAGEIF(Продажи[Категория],Продажи[[#This Row],[Категория]],Продажи[цена за шт в рублях])</f>
        <v>274.16279069767444</v>
      </c>
      <c r="K642" s="16">
        <f>Продажи[[#This Row],[цена за шт в рублях]]/Продажи[[#This Row],[Средняя цена в категории за шт]]-1</f>
        <v>-0.12460768513020615</v>
      </c>
      <c r="L642" t="str">
        <f>VLOOKUP(Продажи[[#This Row],[id товара]],Товары[],3,0)</f>
        <v>Фрукты-Ягоды</v>
      </c>
      <c r="M642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642" s="16">
        <f>Продажи[[#This Row],[цена за шт в рублях]]/Продажи[[#This Row],[Средняя цена в категории за шт по поставщику]]-1</f>
        <v>-0.14489311163895491</v>
      </c>
      <c r="O642" s="48">
        <f>VLOOKUP(Продажи[[#This Row],[id клиента]],клиенты!$A$2:$E$435,5,0)</f>
        <v>44869</v>
      </c>
      <c r="P642">
        <f>Продажи[[#This Row],[дата создания чека]]-Продажи[[#This Row],[Дата регистрации]]</f>
        <v>92</v>
      </c>
      <c r="Q642" t="str">
        <f>VLOOKUP(Продажи[[#This Row],[id клиента]],клиенты!$A$2:$G$435,7,0)</f>
        <v>Таджикистан</v>
      </c>
      <c r="R642">
        <f>IF(COUNTIF($H$2:H642, H642)=1, 1, 0)</f>
        <v>0</v>
      </c>
      <c r="S642" t="str">
        <f>VLOOKUP(Продажи[[#This Row],[id клиента]],клиенты!$A$2:$D$435,4,0)</f>
        <v>да</v>
      </c>
      <c r="T642" s="54">
        <f>VLOOKUP(Продажи[[#This Row],[id клиента]],клиенты!$A$2:$I$435,9,0)</f>
        <v>17.478439425051334</v>
      </c>
    </row>
    <row r="643" spans="1:20" x14ac:dyDescent="0.25">
      <c r="A643">
        <v>642</v>
      </c>
      <c r="B643">
        <v>422</v>
      </c>
      <c r="C643">
        <v>290</v>
      </c>
      <c r="D643">
        <v>5</v>
      </c>
      <c r="E643" s="35">
        <v>7250</v>
      </c>
      <c r="F643" s="48">
        <v>45292</v>
      </c>
      <c r="G643" t="s">
        <v>12</v>
      </c>
      <c r="H643">
        <v>125</v>
      </c>
      <c r="I643" t="str">
        <f>VLOOKUP(Продажи[[#This Row],[id товара]],Товары[],2,0)</f>
        <v>Кофе</v>
      </c>
      <c r="J643" s="17">
        <f>AVERAGEIF(Продажи[Категория],Продажи[[#This Row],[Категория]],Продажи[цена за шт в рублях])</f>
        <v>249.02380952380952</v>
      </c>
      <c r="K643" s="16">
        <f>Продажи[[#This Row],[цена за шт в рублях]]/Продажи[[#This Row],[Средняя цена в категории за шт]]-1</f>
        <v>0.16454727985467055</v>
      </c>
      <c r="L643" t="str">
        <f>VLOOKUP(Продажи[[#This Row],[id товара]],Товары[],3,0)</f>
        <v>Nescafe</v>
      </c>
      <c r="M643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643" s="16">
        <f>Продажи[[#This Row],[цена за шт в рублях]]/Продажи[[#This Row],[Средняя цена в категории за шт по поставщику]]-1</f>
        <v>0.12884390813546132</v>
      </c>
      <c r="O643" s="48">
        <f>VLOOKUP(Продажи[[#This Row],[id клиента]],клиенты!$A$2:$E$435,5,0)</f>
        <v>44701</v>
      </c>
      <c r="P643">
        <f>Продажи[[#This Row],[дата создания чека]]-Продажи[[#This Row],[Дата регистрации]]</f>
        <v>591</v>
      </c>
      <c r="Q643" t="str">
        <f>VLOOKUP(Продажи[[#This Row],[id клиента]],клиенты!$A$2:$G$435,7,0)</f>
        <v>Россия</v>
      </c>
      <c r="R643">
        <f>IF(COUNTIF($H$2:H643, H643)=1, 1, 0)</f>
        <v>0</v>
      </c>
      <c r="S643" t="str">
        <f>VLOOKUP(Продажи[[#This Row],[id клиента]],клиенты!$A$2:$D$435,4,0)</f>
        <v>нет</v>
      </c>
      <c r="T643" s="54">
        <f>VLOOKUP(Продажи[[#This Row],[id клиента]],клиенты!$A$2:$I$435,9,0)</f>
        <v>19.548254620123203</v>
      </c>
    </row>
    <row r="644" spans="1:20" x14ac:dyDescent="0.25">
      <c r="A644">
        <v>643</v>
      </c>
      <c r="B644">
        <v>479</v>
      </c>
      <c r="C644">
        <v>405</v>
      </c>
      <c r="D644">
        <v>4</v>
      </c>
      <c r="E644" s="35">
        <v>8100</v>
      </c>
      <c r="F644" s="48">
        <v>45302</v>
      </c>
      <c r="G644" t="s">
        <v>19</v>
      </c>
      <c r="H644">
        <v>242</v>
      </c>
      <c r="I644" t="str">
        <f>VLOOKUP(Продажи[[#This Row],[id товара]],Товары[],2,0)</f>
        <v>Овощи</v>
      </c>
      <c r="J644" s="17">
        <f>AVERAGEIF(Продажи[Категория],Продажи[[#This Row],[Категория]],Продажи[цена за шт в рублях])</f>
        <v>250.48780487804879</v>
      </c>
      <c r="K644" s="16">
        <f>Продажи[[#This Row],[цена за шт в рублях]]/Продажи[[#This Row],[Средняя цена в категории за шт]]-1</f>
        <v>0.61684518013631928</v>
      </c>
      <c r="L644" t="str">
        <f>VLOOKUP(Продажи[[#This Row],[id товара]],Товары[],3,0)</f>
        <v>Гавриш</v>
      </c>
      <c r="M644" s="32">
        <f>AVERAGEIFS(Продажи[цена за шт в рублях],Продажи[Категория],Продажи[[#This Row],[Категория]],Продажи[Поставщик],Продажи[[#This Row],[Поставщик]])</f>
        <v>247.66666666666666</v>
      </c>
      <c r="N644" s="16">
        <f>Продажи[[#This Row],[цена за шт в рублях]]/Продажи[[#This Row],[Средняя цена в категории за шт по поставщику]]-1</f>
        <v>0.63526244952893673</v>
      </c>
      <c r="O644" s="48">
        <f>VLOOKUP(Продажи[[#This Row],[id клиента]],клиенты!$A$2:$E$435,5,0)</f>
        <v>44747</v>
      </c>
      <c r="P644">
        <f>Продажи[[#This Row],[дата создания чека]]-Продажи[[#This Row],[Дата регистрации]]</f>
        <v>555</v>
      </c>
      <c r="Q644" t="str">
        <f>VLOOKUP(Продажи[[#This Row],[id клиента]],клиенты!$A$2:$G$435,7,0)</f>
        <v>Россия</v>
      </c>
      <c r="R644">
        <f>IF(COUNTIF($H$2:H644, H644)=1, 1, 0)</f>
        <v>1</v>
      </c>
      <c r="S644" t="str">
        <f>VLOOKUP(Продажи[[#This Row],[id клиента]],клиенты!$A$2:$D$435,4,0)</f>
        <v>нет</v>
      </c>
      <c r="T644" s="54">
        <f>VLOOKUP(Продажи[[#This Row],[id клиента]],клиенты!$A$2:$I$435,9,0)</f>
        <v>18.234086242299796</v>
      </c>
    </row>
    <row r="645" spans="1:20" x14ac:dyDescent="0.25">
      <c r="A645">
        <v>644</v>
      </c>
      <c r="B645">
        <v>99</v>
      </c>
      <c r="C645">
        <v>281</v>
      </c>
      <c r="D645">
        <v>5</v>
      </c>
      <c r="E645" s="35">
        <v>7025</v>
      </c>
      <c r="F645" s="48">
        <v>45139</v>
      </c>
      <c r="G645" t="s">
        <v>15</v>
      </c>
      <c r="H645">
        <v>329</v>
      </c>
      <c r="I645" t="str">
        <f>VLOOKUP(Продажи[[#This Row],[id товара]],Товары[],2,0)</f>
        <v>Овощи</v>
      </c>
      <c r="J645" s="17">
        <f>AVERAGEIF(Продажи[Категория],Продажи[[#This Row],[Категория]],Продажи[цена за шт в рублях])</f>
        <v>250.48780487804879</v>
      </c>
      <c r="K645" s="16">
        <f>Продажи[[#This Row],[цена за шт в рублях]]/Продажи[[#This Row],[Средняя цена в категории за шт]]-1</f>
        <v>0.12181110029211295</v>
      </c>
      <c r="L645" t="str">
        <f>VLOOKUP(Продажи[[#This Row],[id товара]],Товары[],3,0)</f>
        <v>Семко</v>
      </c>
      <c r="M645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645" s="16">
        <f>Продажи[[#This Row],[цена за шт в рублях]]/Продажи[[#This Row],[Средняя цена в категории за шт по поставщику]]-1</f>
        <v>0.35096153846153855</v>
      </c>
      <c r="O645" s="48">
        <f>VLOOKUP(Продажи[[#This Row],[id клиента]],клиенты!$A$2:$E$435,5,0)</f>
        <v>44653</v>
      </c>
      <c r="P645">
        <f>Продажи[[#This Row],[дата создания чека]]-Продажи[[#This Row],[Дата регистрации]]</f>
        <v>486</v>
      </c>
      <c r="Q645" t="str">
        <f>VLOOKUP(Продажи[[#This Row],[id клиента]],клиенты!$A$2:$G$435,7,0)</f>
        <v>Беларусь</v>
      </c>
      <c r="R645">
        <f>IF(COUNTIF($H$2:H645, H645)=1, 1, 0)</f>
        <v>0</v>
      </c>
      <c r="S645" t="str">
        <f>VLOOKUP(Продажи[[#This Row],[id клиента]],клиенты!$A$2:$D$435,4,0)</f>
        <v>да</v>
      </c>
      <c r="T645" s="54">
        <f>VLOOKUP(Продажи[[#This Row],[id клиента]],клиенты!$A$2:$I$435,9,0)</f>
        <v>15.967145790554415</v>
      </c>
    </row>
    <row r="646" spans="1:20" x14ac:dyDescent="0.25">
      <c r="A646">
        <v>645</v>
      </c>
      <c r="B646">
        <v>272</v>
      </c>
      <c r="C646">
        <v>207</v>
      </c>
      <c r="D646">
        <v>5</v>
      </c>
      <c r="E646" s="35">
        <v>5175</v>
      </c>
      <c r="F646" s="48">
        <v>45074</v>
      </c>
      <c r="G646" t="s">
        <v>27</v>
      </c>
      <c r="H646">
        <v>42</v>
      </c>
      <c r="I646" t="str">
        <f>VLOOKUP(Продажи[[#This Row],[id товара]],Товары[],2,0)</f>
        <v>Крупа</v>
      </c>
      <c r="J646" s="17">
        <f>AVERAGEIF(Продажи[Категория],Продажи[[#This Row],[Категория]],Продажи[цена за шт в рублях])</f>
        <v>255.11627906976744</v>
      </c>
      <c r="K646" s="16">
        <f>Продажи[[#This Row],[цена за шт в рублях]]/Продажи[[#This Row],[Средняя цена в категории за шт]]-1</f>
        <v>-0.18860528714676394</v>
      </c>
      <c r="L646" t="str">
        <f>VLOOKUP(Продажи[[#This Row],[id товара]],Товары[],3,0)</f>
        <v>Ярмарка</v>
      </c>
      <c r="M646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646" s="16">
        <f>Продажи[[#This Row],[цена за шт в рублях]]/Продажи[[#This Row],[Средняя цена в категории за шт по поставщику]]-1</f>
        <v>-0.1788676523620627</v>
      </c>
      <c r="O646" s="48">
        <f>VLOOKUP(Продажи[[#This Row],[id клиента]],клиенты!$A$2:$E$435,5,0)</f>
        <v>44783</v>
      </c>
      <c r="P646">
        <f>Продажи[[#This Row],[дата создания чека]]-Продажи[[#This Row],[Дата регистрации]]</f>
        <v>291</v>
      </c>
      <c r="Q646" t="str">
        <f>VLOOKUP(Продажи[[#This Row],[id клиента]],клиенты!$A$2:$G$435,7,0)</f>
        <v>Таджикистан</v>
      </c>
      <c r="R646">
        <f>IF(COUNTIF($H$2:H646, H646)=1, 1, 0)</f>
        <v>0</v>
      </c>
      <c r="S646" t="str">
        <f>VLOOKUP(Продажи[[#This Row],[id клиента]],клиенты!$A$2:$D$435,4,0)</f>
        <v>да</v>
      </c>
      <c r="T646" s="54">
        <f>VLOOKUP(Продажи[[#This Row],[id клиента]],клиенты!$A$2:$I$435,9,0)</f>
        <v>19.351129363449694</v>
      </c>
    </row>
    <row r="647" spans="1:20" x14ac:dyDescent="0.25">
      <c r="A647">
        <v>646</v>
      </c>
      <c r="B647">
        <v>493</v>
      </c>
      <c r="C647">
        <v>378</v>
      </c>
      <c r="D647">
        <v>2</v>
      </c>
      <c r="E647" s="35">
        <v>3780</v>
      </c>
      <c r="F647" s="48">
        <v>45324</v>
      </c>
      <c r="G647" t="s">
        <v>22</v>
      </c>
      <c r="H647">
        <v>229</v>
      </c>
      <c r="I647" t="str">
        <f>VLOOKUP(Продажи[[#This Row],[id товара]],Товары[],2,0)</f>
        <v>Овощи</v>
      </c>
      <c r="J647" s="17">
        <f>AVERAGEIF(Продажи[Категория],Продажи[[#This Row],[Категория]],Продажи[цена за шт в рублях])</f>
        <v>250.48780487804879</v>
      </c>
      <c r="K647" s="16">
        <f>Продажи[[#This Row],[цена за шт в рублях]]/Продажи[[#This Row],[Средняя цена в категории за шт]]-1</f>
        <v>0.50905550146056466</v>
      </c>
      <c r="L647" t="str">
        <f>VLOOKUP(Продажи[[#This Row],[id товара]],Товары[],3,0)</f>
        <v>Овощной ряд</v>
      </c>
      <c r="M647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647" s="16">
        <f>Продажи[[#This Row],[цена за шт в рублях]]/Продажи[[#This Row],[Средняя цена в категории за шт по поставщику]]-1</f>
        <v>0.24414327202323327</v>
      </c>
      <c r="O647" s="48">
        <f>VLOOKUP(Продажи[[#This Row],[id клиента]],клиенты!$A$2:$E$435,5,0)</f>
        <v>44766</v>
      </c>
      <c r="P647">
        <f>Продажи[[#This Row],[дата создания чека]]-Продажи[[#This Row],[Дата регистрации]]</f>
        <v>558</v>
      </c>
      <c r="Q647" t="str">
        <f>VLOOKUP(Продажи[[#This Row],[id клиента]],клиенты!$A$2:$G$435,7,0)</f>
        <v>Беларусь</v>
      </c>
      <c r="R647">
        <f>IF(COUNTIF($H$2:H647, H647)=1, 1, 0)</f>
        <v>0</v>
      </c>
      <c r="S647" t="str">
        <f>VLOOKUP(Продажи[[#This Row],[id клиента]],клиенты!$A$2:$D$435,4,0)</f>
        <v>нет</v>
      </c>
      <c r="T647" s="54">
        <f>VLOOKUP(Продажи[[#This Row],[id клиента]],клиенты!$A$2:$I$435,9,0)</f>
        <v>21.453798767967147</v>
      </c>
    </row>
    <row r="648" spans="1:20" x14ac:dyDescent="0.25">
      <c r="A648">
        <v>647</v>
      </c>
      <c r="B648">
        <v>360</v>
      </c>
      <c r="C648">
        <v>120</v>
      </c>
      <c r="D648">
        <v>2</v>
      </c>
      <c r="E648" s="35">
        <v>1200</v>
      </c>
      <c r="F648" s="48">
        <v>44960</v>
      </c>
      <c r="G648" t="s">
        <v>27</v>
      </c>
      <c r="H648">
        <v>306</v>
      </c>
      <c r="I648" t="str">
        <f>VLOOKUP(Продажи[[#This Row],[id товара]],Товары[],2,0)</f>
        <v>Соль</v>
      </c>
      <c r="J648" s="17">
        <f>AVERAGEIF(Продажи[Категория],Продажи[[#This Row],[Категория]],Продажи[цена за шт в рублях])</f>
        <v>264.8679245283019</v>
      </c>
      <c r="K648" s="16">
        <f>Продажи[[#This Row],[цена за шт в рублях]]/Продажи[[#This Row],[Средняя цена в категории за шт]]-1</f>
        <v>-0.54694400911810803</v>
      </c>
      <c r="L648" t="str">
        <f>VLOOKUP(Продажи[[#This Row],[id товара]],Товары[],3,0)</f>
        <v>Славянская</v>
      </c>
      <c r="M648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648" s="16">
        <f>Продажи[[#This Row],[цена за шт в рублях]]/Продажи[[#This Row],[Средняя цена в категории за шт по поставщику]]-1</f>
        <v>-0.49349278930706997</v>
      </c>
      <c r="O648" s="48">
        <f>VLOOKUP(Продажи[[#This Row],[id клиента]],клиенты!$A$2:$E$435,5,0)</f>
        <v>44872</v>
      </c>
      <c r="P648">
        <f>Продажи[[#This Row],[дата создания чека]]-Продажи[[#This Row],[Дата регистрации]]</f>
        <v>88</v>
      </c>
      <c r="Q648" t="str">
        <f>VLOOKUP(Продажи[[#This Row],[id клиента]],клиенты!$A$2:$G$435,7,0)</f>
        <v>Украина</v>
      </c>
      <c r="R648">
        <f>IF(COUNTIF($H$2:H648, H648)=1, 1, 0)</f>
        <v>0</v>
      </c>
      <c r="S648" t="str">
        <f>VLOOKUP(Продажи[[#This Row],[id клиента]],клиенты!$A$2:$D$435,4,0)</f>
        <v>да</v>
      </c>
      <c r="T648" s="54">
        <f>VLOOKUP(Продажи[[#This Row],[id клиента]],клиенты!$A$2:$I$435,9,0)</f>
        <v>16.591375770020534</v>
      </c>
    </row>
    <row r="649" spans="1:20" x14ac:dyDescent="0.25">
      <c r="A649">
        <v>648</v>
      </c>
      <c r="B649">
        <v>215</v>
      </c>
      <c r="C649">
        <v>440</v>
      </c>
      <c r="D649">
        <v>2</v>
      </c>
      <c r="E649" s="35">
        <v>4400</v>
      </c>
      <c r="F649" s="48">
        <v>45381</v>
      </c>
      <c r="G649" t="s">
        <v>18</v>
      </c>
      <c r="H649">
        <v>292</v>
      </c>
      <c r="I649" t="str">
        <f>VLOOKUP(Продажи[[#This Row],[id товара]],Товары[],2,0)</f>
        <v>Сок</v>
      </c>
      <c r="J649" s="17">
        <f>AVERAGEIF(Продажи[Категория],Продажи[[#This Row],[Категория]],Продажи[цена за шт в рублях])</f>
        <v>268.60344827586209</v>
      </c>
      <c r="K649" s="16">
        <f>Продажи[[#This Row],[цена за шт в рублях]]/Продажи[[#This Row],[Средняя цена в категории за шт]]-1</f>
        <v>0.63810257397779058</v>
      </c>
      <c r="L649" t="str">
        <f>VLOOKUP(Продажи[[#This Row],[id товара]],Товары[],3,0)</f>
        <v>Фруктовый сад</v>
      </c>
      <c r="M649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649" s="16">
        <f>Продажи[[#This Row],[цена за шт в рублях]]/Продажи[[#This Row],[Средняя цена в категории за шт по поставщику]]-1</f>
        <v>0.56045661088329823</v>
      </c>
      <c r="O649" s="48">
        <f>VLOOKUP(Продажи[[#This Row],[id клиента]],клиенты!$A$2:$E$435,5,0)</f>
        <v>44608</v>
      </c>
      <c r="P649">
        <f>Продажи[[#This Row],[дата создания чека]]-Продажи[[#This Row],[Дата регистрации]]</f>
        <v>773</v>
      </c>
      <c r="Q649" t="str">
        <f>VLOOKUP(Продажи[[#This Row],[id клиента]],клиенты!$A$2:$G$435,7,0)</f>
        <v>Россия</v>
      </c>
      <c r="R649">
        <f>IF(COUNTIF($H$2:H649, H649)=1, 1, 0)</f>
        <v>0</v>
      </c>
      <c r="S649" t="str">
        <f>VLOOKUP(Продажи[[#This Row],[id клиента]],клиенты!$A$2:$D$435,4,0)</f>
        <v>нет</v>
      </c>
      <c r="T649" s="54">
        <f>VLOOKUP(Продажи[[#This Row],[id клиента]],клиенты!$A$2:$I$435,9,0)</f>
        <v>25.396303901437371</v>
      </c>
    </row>
    <row r="650" spans="1:20" x14ac:dyDescent="0.25">
      <c r="A650">
        <v>649</v>
      </c>
      <c r="B650">
        <v>292</v>
      </c>
      <c r="C650">
        <v>327</v>
      </c>
      <c r="D650">
        <v>5</v>
      </c>
      <c r="E650" s="35">
        <v>8175</v>
      </c>
      <c r="F650" s="48">
        <v>45038</v>
      </c>
      <c r="G650" t="s">
        <v>20</v>
      </c>
      <c r="H650">
        <v>275</v>
      </c>
      <c r="I650" t="str">
        <f>VLOOKUP(Продажи[[#This Row],[id товара]],Товары[],2,0)</f>
        <v>Колбаса</v>
      </c>
      <c r="J650" s="17">
        <f>AVERAGEIF(Продажи[Категория],Продажи[[#This Row],[Категория]],Продажи[цена за шт в рублях])</f>
        <v>286.92307692307691</v>
      </c>
      <c r="K650" s="16">
        <f>Продажи[[#This Row],[цена за шт в рублях]]/Продажи[[#This Row],[Средняя цена в категории за шт]]-1</f>
        <v>0.13967828418230566</v>
      </c>
      <c r="L650" t="str">
        <f>VLOOKUP(Продажи[[#This Row],[id товара]],Товары[],3,0)</f>
        <v>Дымов</v>
      </c>
      <c r="M650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650" s="16">
        <f>Продажи[[#This Row],[цена за шт в рублях]]/Продажи[[#This Row],[Средняя цена в категории за шт по поставщику]]-1</f>
        <v>4.5842217484008518E-2</v>
      </c>
      <c r="O650" s="48">
        <f>VLOOKUP(Продажи[[#This Row],[id клиента]],клиенты!$A$2:$E$435,5,0)</f>
        <v>44651</v>
      </c>
      <c r="P650">
        <f>Продажи[[#This Row],[дата создания чека]]-Продажи[[#This Row],[Дата регистрации]]</f>
        <v>387</v>
      </c>
      <c r="Q650" t="str">
        <f>VLOOKUP(Продажи[[#This Row],[id клиента]],клиенты!$A$2:$G$435,7,0)</f>
        <v>Таджикистан</v>
      </c>
      <c r="R650">
        <f>IF(COUNTIF($H$2:H650, H650)=1, 1, 0)</f>
        <v>0</v>
      </c>
      <c r="S650" t="str">
        <f>VLOOKUP(Продажи[[#This Row],[id клиента]],клиенты!$A$2:$D$435,4,0)</f>
        <v>нет</v>
      </c>
      <c r="T650" s="54">
        <f>VLOOKUP(Продажи[[#This Row],[id клиента]],клиенты!$A$2:$I$435,9,0)</f>
        <v>25.494866529774129</v>
      </c>
    </row>
    <row r="651" spans="1:20" x14ac:dyDescent="0.25">
      <c r="A651">
        <v>650</v>
      </c>
      <c r="B651">
        <v>307</v>
      </c>
      <c r="C651">
        <v>407</v>
      </c>
      <c r="D651">
        <v>1</v>
      </c>
      <c r="E651" s="35">
        <v>2035</v>
      </c>
      <c r="F651" s="48">
        <v>44950</v>
      </c>
      <c r="G651" t="s">
        <v>20</v>
      </c>
      <c r="H651">
        <v>103</v>
      </c>
      <c r="I651" t="str">
        <f>VLOOKUP(Продажи[[#This Row],[id товара]],Товары[],2,0)</f>
        <v>Сыр</v>
      </c>
      <c r="J651" s="17">
        <f>AVERAGEIF(Продажи[Категория],Продажи[[#This Row],[Категория]],Продажи[цена за шт в рублях])</f>
        <v>262.63492063492066</v>
      </c>
      <c r="K651" s="16">
        <f>Продажи[[#This Row],[цена за шт в рублях]]/Продажи[[#This Row],[Средняя цена в категории за шт]]-1</f>
        <v>0.54967968088964092</v>
      </c>
      <c r="L651" t="str">
        <f>VLOOKUP(Продажи[[#This Row],[id товара]],Товары[],3,0)</f>
        <v>Карат</v>
      </c>
      <c r="M651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651" s="16">
        <f>Продажи[[#This Row],[цена за шт в рублях]]/Продажи[[#This Row],[Средняя цена в категории за шт по поставщику]]-1</f>
        <v>0.30728051391862965</v>
      </c>
      <c r="O651" s="48">
        <f>VLOOKUP(Продажи[[#This Row],[id клиента]],клиенты!$A$2:$E$435,5,0)</f>
        <v>44787</v>
      </c>
      <c r="P651">
        <f>Продажи[[#This Row],[дата создания чека]]-Продажи[[#This Row],[Дата регистрации]]</f>
        <v>163</v>
      </c>
      <c r="Q651" t="str">
        <f>VLOOKUP(Продажи[[#This Row],[id клиента]],клиенты!$A$2:$G$435,7,0)</f>
        <v>Узбекистан</v>
      </c>
      <c r="R651">
        <f>IF(COUNTIF($H$2:H651, H651)=1, 1, 0)</f>
        <v>0</v>
      </c>
      <c r="S651" t="str">
        <f>VLOOKUP(Продажи[[#This Row],[id клиента]],клиенты!$A$2:$D$435,4,0)</f>
        <v>да</v>
      </c>
      <c r="T651" s="54">
        <f>VLOOKUP(Продажи[[#This Row],[id клиента]],клиенты!$A$2:$I$435,9,0)</f>
        <v>13.503080082135524</v>
      </c>
    </row>
    <row r="652" spans="1:20" x14ac:dyDescent="0.25">
      <c r="A652">
        <v>651</v>
      </c>
      <c r="B652">
        <v>473</v>
      </c>
      <c r="C652">
        <v>343</v>
      </c>
      <c r="D652">
        <v>5</v>
      </c>
      <c r="E652" s="35">
        <v>8575</v>
      </c>
      <c r="F652" s="48">
        <v>45086</v>
      </c>
      <c r="G652" t="s">
        <v>11</v>
      </c>
      <c r="H652">
        <v>460</v>
      </c>
      <c r="I652" t="str">
        <f>VLOOKUP(Продажи[[#This Row],[id товара]],Товары[],2,0)</f>
        <v>Хлеб</v>
      </c>
      <c r="J652" s="17">
        <f>AVERAGEIF(Продажи[Категория],Продажи[[#This Row],[Категория]],Продажи[цена за шт в рублях])</f>
        <v>300.31818181818181</v>
      </c>
      <c r="K652" s="16">
        <f>Продажи[[#This Row],[цена за шт в рублях]]/Продажи[[#This Row],[Средняя цена в категории за шт]]-1</f>
        <v>0.14212199182685037</v>
      </c>
      <c r="L652" t="str">
        <f>VLOOKUP(Продажи[[#This Row],[id товара]],Товары[],3,0)</f>
        <v>Хлебный Дом</v>
      </c>
      <c r="M652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652" s="16">
        <f>Продажи[[#This Row],[цена за шт в рублях]]/Продажи[[#This Row],[Средняя цена в категории за шт по поставщику]]-1</f>
        <v>0.21746332229058196</v>
      </c>
      <c r="O652" s="48">
        <f>VLOOKUP(Продажи[[#This Row],[id клиента]],клиенты!$A$2:$E$435,5,0)</f>
        <v>44821</v>
      </c>
      <c r="P652">
        <f>Продажи[[#This Row],[дата создания чека]]-Продажи[[#This Row],[Дата регистрации]]</f>
        <v>265</v>
      </c>
      <c r="Q652" t="str">
        <f>VLOOKUP(Продажи[[#This Row],[id клиента]],клиенты!$A$2:$G$435,7,0)</f>
        <v>Россия</v>
      </c>
      <c r="R652">
        <f>IF(COUNTIF($H$2:H652, H652)=1, 1, 0)</f>
        <v>0</v>
      </c>
      <c r="S652" t="str">
        <f>VLOOKUP(Продажи[[#This Row],[id клиента]],клиенты!$A$2:$D$435,4,0)</f>
        <v>нет</v>
      </c>
      <c r="T652" s="54">
        <f>VLOOKUP(Продажи[[#This Row],[id клиента]],клиенты!$A$2:$I$435,9,0)</f>
        <v>9.4291581108829572</v>
      </c>
    </row>
    <row r="653" spans="1:20" x14ac:dyDescent="0.25">
      <c r="A653">
        <v>652</v>
      </c>
      <c r="B653">
        <v>112</v>
      </c>
      <c r="C653">
        <v>237</v>
      </c>
      <c r="D653">
        <v>3</v>
      </c>
      <c r="E653" s="35">
        <v>3555</v>
      </c>
      <c r="F653" s="48">
        <v>45079</v>
      </c>
      <c r="G653" t="s">
        <v>25</v>
      </c>
      <c r="H653">
        <v>342</v>
      </c>
      <c r="I653" t="str">
        <f>VLOOKUP(Продажи[[#This Row],[id товара]],Товары[],2,0)</f>
        <v>Молоко</v>
      </c>
      <c r="J653" s="17">
        <f>AVERAGEIF(Продажи[Категория],Продажи[[#This Row],[Категория]],Продажи[цена за шт в рублях])</f>
        <v>294.95238095238096</v>
      </c>
      <c r="K653" s="16">
        <f>Продажи[[#This Row],[цена за шт в рублях]]/Продажи[[#This Row],[Средняя цена в категории за шт]]-1</f>
        <v>-0.19648046496609628</v>
      </c>
      <c r="L653" t="str">
        <f>VLOOKUP(Продажи[[#This Row],[id товара]],Товары[],3,0)</f>
        <v>Беллакт</v>
      </c>
      <c r="M653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653" s="16">
        <f>Продажи[[#This Row],[цена за шт в рублях]]/Продажи[[#This Row],[Средняя цена в категории за шт по поставщику]]-1</f>
        <v>-0.26521984216459982</v>
      </c>
      <c r="O653" s="48">
        <f>VLOOKUP(Продажи[[#This Row],[id клиента]],клиенты!$A$2:$E$435,5,0)</f>
        <v>44570</v>
      </c>
      <c r="P653">
        <f>Продажи[[#This Row],[дата создания чека]]-Продажи[[#This Row],[Дата регистрации]]</f>
        <v>509</v>
      </c>
      <c r="Q653" t="str">
        <f>VLOOKUP(Продажи[[#This Row],[id клиента]],клиенты!$A$2:$G$435,7,0)</f>
        <v>Таджикистан</v>
      </c>
      <c r="R653">
        <f>IF(COUNTIF($H$2:H653, H653)=1, 1, 0)</f>
        <v>0</v>
      </c>
      <c r="S653" t="str">
        <f>VLOOKUP(Продажи[[#This Row],[id клиента]],клиенты!$A$2:$D$435,4,0)</f>
        <v>да</v>
      </c>
      <c r="T653" s="54">
        <f>VLOOKUP(Продажи[[#This Row],[id клиента]],клиенты!$A$2:$I$435,9,0)</f>
        <v>27.400410677618069</v>
      </c>
    </row>
    <row r="654" spans="1:20" x14ac:dyDescent="0.25">
      <c r="A654">
        <v>653</v>
      </c>
      <c r="B654">
        <v>131</v>
      </c>
      <c r="C654">
        <v>116</v>
      </c>
      <c r="D654">
        <v>5</v>
      </c>
      <c r="E654" s="35">
        <v>2900</v>
      </c>
      <c r="F654" s="48">
        <v>45184</v>
      </c>
      <c r="G654" t="s">
        <v>9</v>
      </c>
      <c r="H654">
        <v>246</v>
      </c>
      <c r="I654" t="str">
        <f>VLOOKUP(Продажи[[#This Row],[id товара]],Товары[],2,0)</f>
        <v>Сок</v>
      </c>
      <c r="J654" s="17">
        <f>AVERAGEIF(Продажи[Категория],Продажи[[#This Row],[Категория]],Продажи[цена за шт в рублях])</f>
        <v>268.60344827586209</v>
      </c>
      <c r="K654" s="16">
        <f>Продажи[[#This Row],[цена за шт в рублях]]/Продажи[[#This Row],[Средняя цена в категории за шт]]-1</f>
        <v>-0.568136594133128</v>
      </c>
      <c r="L654" t="str">
        <f>VLOOKUP(Продажи[[#This Row],[id товара]],Товары[],3,0)</f>
        <v>Сады Придонья</v>
      </c>
      <c r="M654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654" s="16">
        <f>Продажи[[#This Row],[цена за шт в рублях]]/Продажи[[#This Row],[Средняя цена в категории за шт по поставщику]]-1</f>
        <v>-0.54363376251788265</v>
      </c>
      <c r="O654" s="48">
        <f>VLOOKUP(Продажи[[#This Row],[id клиента]],клиенты!$A$2:$E$435,5,0)</f>
        <v>44805</v>
      </c>
      <c r="P654">
        <f>Продажи[[#This Row],[дата создания чека]]-Продажи[[#This Row],[Дата регистрации]]</f>
        <v>379</v>
      </c>
      <c r="Q654" t="str">
        <f>VLOOKUP(Продажи[[#This Row],[id клиента]],клиенты!$A$2:$G$435,7,0)</f>
        <v>Узбекистан</v>
      </c>
      <c r="R654">
        <f>IF(COUNTIF($H$2:H654, H654)=1, 1, 0)</f>
        <v>0</v>
      </c>
      <c r="S654" t="str">
        <f>VLOOKUP(Продажи[[#This Row],[id клиента]],клиенты!$A$2:$D$435,4,0)</f>
        <v>нет</v>
      </c>
      <c r="T654" s="54">
        <f>VLOOKUP(Продажи[[#This Row],[id клиента]],клиенты!$A$2:$I$435,9,0)</f>
        <v>12.451745379876797</v>
      </c>
    </row>
    <row r="655" spans="1:20" x14ac:dyDescent="0.25">
      <c r="A655">
        <v>654</v>
      </c>
      <c r="B655">
        <v>230</v>
      </c>
      <c r="C655">
        <v>453</v>
      </c>
      <c r="D655">
        <v>3</v>
      </c>
      <c r="E655" s="35">
        <v>6795</v>
      </c>
      <c r="F655" s="48">
        <v>45324</v>
      </c>
      <c r="G655" t="s">
        <v>27</v>
      </c>
      <c r="H655">
        <v>175</v>
      </c>
      <c r="I655" t="str">
        <f>VLOOKUP(Продажи[[#This Row],[id товара]],Товары[],2,0)</f>
        <v>Сок</v>
      </c>
      <c r="J655" s="17">
        <f>AVERAGEIF(Продажи[Категория],Продажи[[#This Row],[Категория]],Продажи[цена за шт в рублях])</f>
        <v>268.60344827586209</v>
      </c>
      <c r="K655" s="16">
        <f>Продажи[[#This Row],[цена за шт в рублях]]/Продажи[[#This Row],[Средняя цена в категории за шт]]-1</f>
        <v>0.68650105911804338</v>
      </c>
      <c r="L655" t="str">
        <f>VLOOKUP(Продажи[[#This Row],[id товара]],Товары[],3,0)</f>
        <v>Фруктовый сад</v>
      </c>
      <c r="M65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655" s="16">
        <f>Продажи[[#This Row],[цена за шт в рублях]]/Продажи[[#This Row],[Средняя цена в категории за шт по поставщику]]-1</f>
        <v>0.60656101075030477</v>
      </c>
      <c r="O655" s="48">
        <f>VLOOKUP(Продажи[[#This Row],[id клиента]],клиенты!$A$2:$E$435,5,0)</f>
        <v>44565</v>
      </c>
      <c r="P655">
        <f>Продажи[[#This Row],[дата создания чека]]-Продажи[[#This Row],[Дата регистрации]]</f>
        <v>759</v>
      </c>
      <c r="Q655" t="str">
        <f>VLOOKUP(Продажи[[#This Row],[id клиента]],клиенты!$A$2:$G$435,7,0)</f>
        <v>Россия</v>
      </c>
      <c r="R655">
        <f>IF(COUNTIF($H$2:H655, H655)=1, 1, 0)</f>
        <v>0</v>
      </c>
      <c r="S655" t="str">
        <f>VLOOKUP(Продажи[[#This Row],[id клиента]],клиенты!$A$2:$D$435,4,0)</f>
        <v>нет</v>
      </c>
      <c r="T655" s="54">
        <f>VLOOKUP(Продажи[[#This Row],[id клиента]],клиенты!$A$2:$I$435,9,0)</f>
        <v>25.297741273100616</v>
      </c>
    </row>
    <row r="656" spans="1:20" x14ac:dyDescent="0.25">
      <c r="A656">
        <v>655</v>
      </c>
      <c r="B656">
        <v>39</v>
      </c>
      <c r="C656">
        <v>375</v>
      </c>
      <c r="D656">
        <v>2</v>
      </c>
      <c r="E656" s="35">
        <v>3750</v>
      </c>
      <c r="F656" s="48">
        <v>45289</v>
      </c>
      <c r="G656" t="s">
        <v>22</v>
      </c>
      <c r="H656">
        <v>366</v>
      </c>
      <c r="I656" t="str">
        <f>VLOOKUP(Продажи[[#This Row],[id товара]],Товары[],2,0)</f>
        <v>Сыр</v>
      </c>
      <c r="J656" s="17">
        <f>AVERAGEIF(Продажи[Категория],Продажи[[#This Row],[Категория]],Продажи[цена за шт в рублях])</f>
        <v>262.63492063492066</v>
      </c>
      <c r="K656" s="16">
        <f>Продажи[[#This Row],[цена за шт в рублях]]/Продажи[[#This Row],[Средняя цена в категории за шт]]-1</f>
        <v>0.4278375438172366</v>
      </c>
      <c r="L656" t="str">
        <f>VLOOKUP(Продажи[[#This Row],[id товара]],Товары[],3,0)</f>
        <v>Сырная долина</v>
      </c>
      <c r="M656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656" s="16">
        <f>Продажи[[#This Row],[цена за шт в рублях]]/Продажи[[#This Row],[Средняя цена в категории за шт по поставщику]]-1</f>
        <v>0.38376383763837629</v>
      </c>
      <c r="O656" s="48">
        <f>VLOOKUP(Продажи[[#This Row],[id клиента]],клиенты!$A$2:$E$435,5,0)</f>
        <v>44827</v>
      </c>
      <c r="P656">
        <f>Продажи[[#This Row],[дата создания чека]]-Продажи[[#This Row],[Дата регистрации]]</f>
        <v>462</v>
      </c>
      <c r="Q656" t="str">
        <f>VLOOKUP(Продажи[[#This Row],[id клиента]],клиенты!$A$2:$G$435,7,0)</f>
        <v>Узбекистан</v>
      </c>
      <c r="R656">
        <f>IF(COUNTIF($H$2:H656, H656)=1, 1, 0)</f>
        <v>0</v>
      </c>
      <c r="S656" t="str">
        <f>VLOOKUP(Продажи[[#This Row],[id клиента]],клиенты!$A$2:$D$435,4,0)</f>
        <v>нет</v>
      </c>
      <c r="T656" s="54">
        <f>VLOOKUP(Продажи[[#This Row],[id клиента]],клиенты!$A$2:$I$435,9,0)</f>
        <v>15.178644763860369</v>
      </c>
    </row>
    <row r="657" spans="1:20" x14ac:dyDescent="0.25">
      <c r="A657">
        <v>656</v>
      </c>
      <c r="B657">
        <v>481</v>
      </c>
      <c r="C657">
        <v>374</v>
      </c>
      <c r="D657">
        <v>5</v>
      </c>
      <c r="E657" s="35">
        <v>9350</v>
      </c>
      <c r="F657" s="48">
        <v>45099</v>
      </c>
      <c r="G657" t="s">
        <v>22</v>
      </c>
      <c r="H657">
        <v>254</v>
      </c>
      <c r="I657" t="str">
        <f>VLOOKUP(Продажи[[#This Row],[id товара]],Товары[],2,0)</f>
        <v>Чипсы</v>
      </c>
      <c r="J657" s="17">
        <f>AVERAGEIF(Продажи[Категория],Продажи[[#This Row],[Категория]],Продажи[цена за шт в рублях])</f>
        <v>273.72549019607845</v>
      </c>
      <c r="K657" s="16">
        <f>Продажи[[#This Row],[цена за шт в рублях]]/Продажи[[#This Row],[Средняя цена в категории за шт]]-1</f>
        <v>0.36633237822349551</v>
      </c>
      <c r="L657" t="str">
        <f>VLOOKUP(Продажи[[#This Row],[id товара]],Товары[],3,0)</f>
        <v>Pringles</v>
      </c>
      <c r="M657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657" s="16">
        <f>Продажи[[#This Row],[цена за шт в рублях]]/Продажи[[#This Row],[Средняя цена в категории за шт по поставщику]]-1</f>
        <v>0.33457943925233646</v>
      </c>
      <c r="O657" s="48">
        <f>VLOOKUP(Продажи[[#This Row],[id клиента]],клиенты!$A$2:$E$435,5,0)</f>
        <v>44862</v>
      </c>
      <c r="P657">
        <f>Продажи[[#This Row],[дата создания чека]]-Продажи[[#This Row],[Дата регистрации]]</f>
        <v>237</v>
      </c>
      <c r="Q657" t="str">
        <f>VLOOKUP(Продажи[[#This Row],[id клиента]],клиенты!$A$2:$G$435,7,0)</f>
        <v>Беларусь</v>
      </c>
      <c r="R657">
        <f>IF(COUNTIF($H$2:H657, H657)=1, 1, 0)</f>
        <v>0</v>
      </c>
      <c r="S657" t="str">
        <f>VLOOKUP(Продажи[[#This Row],[id клиента]],клиенты!$A$2:$D$435,4,0)</f>
        <v>да</v>
      </c>
      <c r="T657" s="54">
        <f>VLOOKUP(Продажи[[#This Row],[id клиента]],клиенты!$A$2:$I$435,9,0)</f>
        <v>10.973305954825461</v>
      </c>
    </row>
    <row r="658" spans="1:20" x14ac:dyDescent="0.25">
      <c r="A658">
        <v>657</v>
      </c>
      <c r="B658">
        <v>438</v>
      </c>
      <c r="C658">
        <v>81</v>
      </c>
      <c r="D658">
        <v>4</v>
      </c>
      <c r="E658" s="35">
        <v>1620</v>
      </c>
      <c r="F658" s="48">
        <v>45272</v>
      </c>
      <c r="G658" t="s">
        <v>24</v>
      </c>
      <c r="H658">
        <v>79</v>
      </c>
      <c r="I658" t="str">
        <f>VLOOKUP(Продажи[[#This Row],[id товара]],Товары[],2,0)</f>
        <v>Кофе</v>
      </c>
      <c r="J658" s="17">
        <f>AVERAGEIF(Продажи[Категория],Продажи[[#This Row],[Категория]],Продажи[цена за шт в рублях])</f>
        <v>249.02380952380952</v>
      </c>
      <c r="K658" s="16">
        <f>Продажи[[#This Row],[цена за шт в рублях]]/Продажи[[#This Row],[Средняя цена в категории за шт]]-1</f>
        <v>-0.67472989769576441</v>
      </c>
      <c r="L658" t="str">
        <f>VLOOKUP(Продажи[[#This Row],[id товара]],Товары[],3,0)</f>
        <v>Nescafe</v>
      </c>
      <c r="M658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658" s="16">
        <f>Продажи[[#This Row],[цена за шт в рублях]]/Продажи[[#This Row],[Средняя цена в категории за шт по поставщику]]-1</f>
        <v>-0.68470221876216431</v>
      </c>
      <c r="O658" s="48">
        <f>VLOOKUP(Продажи[[#This Row],[id клиента]],клиенты!$A$2:$E$435,5,0)</f>
        <v>44716</v>
      </c>
      <c r="P658">
        <f>Продажи[[#This Row],[дата создания чека]]-Продажи[[#This Row],[Дата регистрации]]</f>
        <v>556</v>
      </c>
      <c r="Q658" t="str">
        <f>VLOOKUP(Продажи[[#This Row],[id клиента]],клиенты!$A$2:$G$435,7,0)</f>
        <v>Таджикистан</v>
      </c>
      <c r="R658">
        <f>IF(COUNTIF($H$2:H658, H658)=1, 1, 0)</f>
        <v>1</v>
      </c>
      <c r="S658" t="str">
        <f>VLOOKUP(Продажи[[#This Row],[id клиента]],клиенты!$A$2:$D$435,4,0)</f>
        <v>нет</v>
      </c>
      <c r="T658" s="54">
        <f>VLOOKUP(Продажи[[#This Row],[id клиента]],клиенты!$A$2:$I$435,9,0)</f>
        <v>19.613963039014372</v>
      </c>
    </row>
    <row r="659" spans="1:20" x14ac:dyDescent="0.25">
      <c r="A659">
        <v>658</v>
      </c>
      <c r="B659">
        <v>316</v>
      </c>
      <c r="C659">
        <v>428</v>
      </c>
      <c r="D659">
        <v>3</v>
      </c>
      <c r="E659" s="35">
        <v>6420</v>
      </c>
      <c r="F659" s="48">
        <v>45387</v>
      </c>
      <c r="G659" t="s">
        <v>12</v>
      </c>
      <c r="H659">
        <v>70</v>
      </c>
      <c r="I659" t="str">
        <f>VLOOKUP(Продажи[[#This Row],[id товара]],Товары[],2,0)</f>
        <v>Макароны</v>
      </c>
      <c r="J659" s="17">
        <f>AVERAGEIF(Продажи[Категория],Продажи[[#This Row],[Категория]],Продажи[цена за шт в рублях])</f>
        <v>265.47674418604652</v>
      </c>
      <c r="K659" s="16">
        <f>Продажи[[#This Row],[цена за шт в рублях]]/Продажи[[#This Row],[Средняя цена в категории за шт]]-1</f>
        <v>0.61219394682668304</v>
      </c>
      <c r="L659" t="str">
        <f>VLOOKUP(Продажи[[#This Row],[id товара]],Товары[],3,0)</f>
        <v>Борилла</v>
      </c>
      <c r="M659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659" s="16">
        <f>Продажи[[#This Row],[цена за шт в рублях]]/Продажи[[#This Row],[Средняя цена в категории за шт по поставщику]]-1</f>
        <v>0.8114419147694103</v>
      </c>
      <c r="O659" s="48">
        <f>VLOOKUP(Продажи[[#This Row],[id клиента]],клиенты!$A$2:$E$435,5,0)</f>
        <v>44591</v>
      </c>
      <c r="P659">
        <f>Продажи[[#This Row],[дата создания чека]]-Продажи[[#This Row],[Дата регистрации]]</f>
        <v>796</v>
      </c>
      <c r="Q659" t="str">
        <f>VLOOKUP(Продажи[[#This Row],[id клиента]],клиенты!$A$2:$G$435,7,0)</f>
        <v>Украина</v>
      </c>
      <c r="R659">
        <f>IF(COUNTIF($H$2:H659, H659)=1, 1, 0)</f>
        <v>1</v>
      </c>
      <c r="S659" t="str">
        <f>VLOOKUP(Продажи[[#This Row],[id клиента]],клиенты!$A$2:$D$435,4,0)</f>
        <v>да</v>
      </c>
      <c r="T659" s="54">
        <f>VLOOKUP(Продажи[[#This Row],[id клиента]],клиенты!$A$2:$I$435,9,0)</f>
        <v>26.151950718685832</v>
      </c>
    </row>
    <row r="660" spans="1:20" x14ac:dyDescent="0.25">
      <c r="A660">
        <v>659</v>
      </c>
      <c r="B660">
        <v>174</v>
      </c>
      <c r="C660">
        <v>456</v>
      </c>
      <c r="D660">
        <v>3</v>
      </c>
      <c r="E660" s="35">
        <v>6840</v>
      </c>
      <c r="F660" s="48">
        <v>45282</v>
      </c>
      <c r="G660" t="s">
        <v>23</v>
      </c>
      <c r="H660">
        <v>76</v>
      </c>
      <c r="I660" t="str">
        <f>VLOOKUP(Продажи[[#This Row],[id товара]],Товары[],2,0)</f>
        <v>Чай</v>
      </c>
      <c r="J660" s="17">
        <f>AVERAGEIF(Продажи[Категория],Продажи[[#This Row],[Категория]],Продажи[цена за шт в рублях])</f>
        <v>271.18181818181819</v>
      </c>
      <c r="K660" s="16">
        <f>Продажи[[#This Row],[цена за шт в рублях]]/Продажи[[#This Row],[Средняя цена в категории за шт]]-1</f>
        <v>0.68152866242038224</v>
      </c>
      <c r="L660" t="str">
        <f>VLOOKUP(Продажи[[#This Row],[id товара]],Товары[],3,0)</f>
        <v>Ахмад</v>
      </c>
      <c r="M660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660" s="16">
        <f>Продажи[[#This Row],[цена за шт в рублях]]/Продажи[[#This Row],[Средняя цена в категории за шт по поставщику]]-1</f>
        <v>0.87422934648581996</v>
      </c>
      <c r="O660" s="48">
        <f>VLOOKUP(Продажи[[#This Row],[id клиента]],клиенты!$A$2:$E$435,5,0)</f>
        <v>44575</v>
      </c>
      <c r="P660">
        <f>Продажи[[#This Row],[дата создания чека]]-Продажи[[#This Row],[Дата регистрации]]</f>
        <v>707</v>
      </c>
      <c r="Q660" t="str">
        <f>VLOOKUP(Продажи[[#This Row],[id клиента]],клиенты!$A$2:$G$435,7,0)</f>
        <v>Беларусь</v>
      </c>
      <c r="R660">
        <f>IF(COUNTIF($H$2:H660, H660)=1, 1, 0)</f>
        <v>0</v>
      </c>
      <c r="S660" t="str">
        <f>VLOOKUP(Продажи[[#This Row],[id клиента]],клиенты!$A$2:$D$435,4,0)</f>
        <v>да</v>
      </c>
      <c r="T660" s="54">
        <f>VLOOKUP(Продажи[[#This Row],[id клиента]],клиенты!$A$2:$I$435,9,0)</f>
        <v>23.227926078028748</v>
      </c>
    </row>
    <row r="661" spans="1:20" x14ac:dyDescent="0.25">
      <c r="A661">
        <v>660</v>
      </c>
      <c r="B661">
        <v>228</v>
      </c>
      <c r="C661">
        <v>247</v>
      </c>
      <c r="D661">
        <v>4</v>
      </c>
      <c r="E661" s="35">
        <v>4940</v>
      </c>
      <c r="F661" s="48">
        <v>45415</v>
      </c>
      <c r="G661" t="s">
        <v>19</v>
      </c>
      <c r="H661">
        <v>147</v>
      </c>
      <c r="I661" t="str">
        <f>VLOOKUP(Продажи[[#This Row],[id товара]],Товары[],2,0)</f>
        <v>Рис</v>
      </c>
      <c r="J661" s="17">
        <f>AVERAGEIF(Продажи[Категория],Продажи[[#This Row],[Категория]],Продажи[цена за шт в рублях])</f>
        <v>258.375</v>
      </c>
      <c r="K661" s="16">
        <f>Продажи[[#This Row],[цена за шт в рублях]]/Продажи[[#This Row],[Средняя цена в категории за шт]]-1</f>
        <v>-4.4025157232704393E-2</v>
      </c>
      <c r="L661" t="str">
        <f>VLOOKUP(Продажи[[#This Row],[id товара]],Товары[],3,0)</f>
        <v>Мистраль</v>
      </c>
      <c r="M661" s="32">
        <f>AVERAGEIFS(Продажи[цена за шт в рублях],Продажи[Категория],Продажи[[#This Row],[Категория]],Продажи[Поставщик],Продажи[[#This Row],[Поставщик]])</f>
        <v>181.57142857142858</v>
      </c>
      <c r="N661" s="16">
        <f>Продажи[[#This Row],[цена за шт в рублях]]/Продажи[[#This Row],[Средняя цена в категории за шт по поставщику]]-1</f>
        <v>0.36034618410700237</v>
      </c>
      <c r="O661" s="48">
        <f>VLOOKUP(Продажи[[#This Row],[id клиента]],клиенты!$A$2:$E$435,5,0)</f>
        <v>44827</v>
      </c>
      <c r="P661">
        <f>Продажи[[#This Row],[дата создания чека]]-Продажи[[#This Row],[Дата регистрации]]</f>
        <v>588</v>
      </c>
      <c r="Q661" t="str">
        <f>VLOOKUP(Продажи[[#This Row],[id клиента]],клиенты!$A$2:$G$435,7,0)</f>
        <v>Россия</v>
      </c>
      <c r="R661">
        <f>IF(COUNTIF($H$2:H661, H661)=1, 1, 0)</f>
        <v>0</v>
      </c>
      <c r="S661" t="str">
        <f>VLOOKUP(Продажи[[#This Row],[id клиента]],клиенты!$A$2:$D$435,4,0)</f>
        <v>да</v>
      </c>
      <c r="T661" s="54">
        <f>VLOOKUP(Продажи[[#This Row],[id клиента]],клиенты!$A$2:$I$435,9,0)</f>
        <v>19.318275154004105</v>
      </c>
    </row>
    <row r="662" spans="1:20" x14ac:dyDescent="0.25">
      <c r="A662">
        <v>661</v>
      </c>
      <c r="B662">
        <v>269</v>
      </c>
      <c r="C662">
        <v>455</v>
      </c>
      <c r="D662">
        <v>5</v>
      </c>
      <c r="E662" s="35">
        <v>11375</v>
      </c>
      <c r="F662" s="48">
        <v>45104</v>
      </c>
      <c r="G662" t="s">
        <v>11</v>
      </c>
      <c r="H662">
        <v>345</v>
      </c>
      <c r="I662" t="str">
        <f>VLOOKUP(Продажи[[#This Row],[id товара]],Товары[],2,0)</f>
        <v>Сахар</v>
      </c>
      <c r="J662" s="17">
        <f>AVERAGEIF(Продажи[Категория],Продажи[[#This Row],[Категория]],Продажи[цена за шт в рублях])</f>
        <v>252.76271186440678</v>
      </c>
      <c r="K662" s="16">
        <f>Продажи[[#This Row],[цена за шт в рублях]]/Продажи[[#This Row],[Средняя цена в категории за шт]]-1</f>
        <v>0.80010728894253336</v>
      </c>
      <c r="L662" t="str">
        <f>VLOOKUP(Продажи[[#This Row],[id товара]],Товары[],3,0)</f>
        <v>Русский сахар</v>
      </c>
      <c r="M662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662" s="16">
        <f>Продажи[[#This Row],[цена за шт в рублях]]/Продажи[[#This Row],[Средняя цена в категории за шт по поставщику]]-1</f>
        <v>0.55072173215717712</v>
      </c>
      <c r="O662" s="48">
        <f>VLOOKUP(Продажи[[#This Row],[id клиента]],клиенты!$A$2:$E$435,5,0)</f>
        <v>44705</v>
      </c>
      <c r="P662">
        <f>Продажи[[#This Row],[дата создания чека]]-Продажи[[#This Row],[Дата регистрации]]</f>
        <v>399</v>
      </c>
      <c r="Q662" t="str">
        <f>VLOOKUP(Продажи[[#This Row],[id клиента]],клиенты!$A$2:$G$435,7,0)</f>
        <v>Беларусь</v>
      </c>
      <c r="R662">
        <f>IF(COUNTIF($H$2:H662, H662)=1, 1, 0)</f>
        <v>1</v>
      </c>
      <c r="S662" t="str">
        <f>VLOOKUP(Продажи[[#This Row],[id клиента]],клиенты!$A$2:$D$435,4,0)</f>
        <v>да</v>
      </c>
      <c r="T662" s="54">
        <f>VLOOKUP(Продажи[[#This Row],[id клиента]],клиенты!$A$2:$I$435,9,0)</f>
        <v>17.215605749486652</v>
      </c>
    </row>
    <row r="663" spans="1:20" x14ac:dyDescent="0.25">
      <c r="A663">
        <v>662</v>
      </c>
      <c r="B663">
        <v>461</v>
      </c>
      <c r="C663">
        <v>388</v>
      </c>
      <c r="D663">
        <v>4</v>
      </c>
      <c r="E663" s="35">
        <v>7760</v>
      </c>
      <c r="F663" s="48">
        <v>45293</v>
      </c>
      <c r="G663" t="s">
        <v>21</v>
      </c>
      <c r="H663">
        <v>303</v>
      </c>
      <c r="I663" t="str">
        <f>VLOOKUP(Продажи[[#This Row],[id товара]],Товары[],2,0)</f>
        <v>Фрукты</v>
      </c>
      <c r="J663" s="17">
        <f>AVERAGEIF(Продажи[Категория],Продажи[[#This Row],[Категория]],Продажи[цена за шт в рублях])</f>
        <v>274.16279069767444</v>
      </c>
      <c r="K663" s="16">
        <f>Продажи[[#This Row],[цена за шт в рублях]]/Продажи[[#This Row],[Средняя цена в категории за шт]]-1</f>
        <v>0.41521757570616669</v>
      </c>
      <c r="L663" t="str">
        <f>VLOOKUP(Продажи[[#This Row],[id товара]],Товары[],3,0)</f>
        <v>Green Garden</v>
      </c>
      <c r="M663" s="32">
        <f>AVERAGEIFS(Продажи[цена за шт в рублях],Продажи[Категория],Продажи[[#This Row],[Категория]],Продажи[Поставщик],Продажи[[#This Row],[Поставщик]])</f>
        <v>369.2</v>
      </c>
      <c r="N663" s="16">
        <f>Продажи[[#This Row],[цена за шт в рублях]]/Продажи[[#This Row],[Средняя цена в категории за шт по поставщику]]-1</f>
        <v>5.0920910075839654E-2</v>
      </c>
      <c r="O663" s="48">
        <f>VLOOKUP(Продажи[[#This Row],[id клиента]],клиенты!$A$2:$E$435,5,0)</f>
        <v>44689</v>
      </c>
      <c r="P663">
        <f>Продажи[[#This Row],[дата создания чека]]-Продажи[[#This Row],[Дата регистрации]]</f>
        <v>604</v>
      </c>
      <c r="Q663" t="str">
        <f>VLOOKUP(Продажи[[#This Row],[id клиента]],клиенты!$A$2:$G$435,7,0)</f>
        <v>Узбекистан</v>
      </c>
      <c r="R663">
        <f>IF(COUNTIF($H$2:H663, H663)=1, 1, 0)</f>
        <v>0</v>
      </c>
      <c r="S663" t="str">
        <f>VLOOKUP(Продажи[[#This Row],[id клиента]],клиенты!$A$2:$D$435,4,0)</f>
        <v>нет</v>
      </c>
      <c r="T663" s="54">
        <f>VLOOKUP(Продажи[[#This Row],[id клиента]],клиенты!$A$2:$I$435,9,0)</f>
        <v>20.928131416837783</v>
      </c>
    </row>
    <row r="664" spans="1:20" x14ac:dyDescent="0.25">
      <c r="A664">
        <v>663</v>
      </c>
      <c r="B664">
        <v>151</v>
      </c>
      <c r="C664">
        <v>496</v>
      </c>
      <c r="D664">
        <v>3</v>
      </c>
      <c r="E664" s="35">
        <v>7440</v>
      </c>
      <c r="F664" s="48">
        <v>45181</v>
      </c>
      <c r="G664" t="s">
        <v>22</v>
      </c>
      <c r="H664">
        <v>436</v>
      </c>
      <c r="I664" t="str">
        <f>VLOOKUP(Продажи[[#This Row],[id товара]],Товары[],2,0)</f>
        <v>Молоко</v>
      </c>
      <c r="J664" s="17">
        <f>AVERAGEIF(Продажи[Категория],Продажи[[#This Row],[Категория]],Продажи[цена за шт в рублях])</f>
        <v>294.95238095238096</v>
      </c>
      <c r="K664" s="16">
        <f>Продажи[[#This Row],[цена за шт в рублях]]/Продажи[[#This Row],[Средняя цена в категории за шт]]-1</f>
        <v>0.68162738133677747</v>
      </c>
      <c r="L664" t="str">
        <f>VLOOKUP(Продажи[[#This Row],[id товара]],Товары[],3,0)</f>
        <v>Беллакт</v>
      </c>
      <c r="M664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664" s="16">
        <f>Продажи[[#This Row],[цена за шт в рублях]]/Продажи[[#This Row],[Средняя цена в категории за шт по поставщику]]-1</f>
        <v>0.53776775648252539</v>
      </c>
      <c r="O664" s="48">
        <f>VLOOKUP(Продажи[[#This Row],[id клиента]],клиенты!$A$2:$E$435,5,0)</f>
        <v>44683</v>
      </c>
      <c r="P664">
        <f>Продажи[[#This Row],[дата создания чека]]-Продажи[[#This Row],[Дата регистрации]]</f>
        <v>498</v>
      </c>
      <c r="Q664" t="str">
        <f>VLOOKUP(Продажи[[#This Row],[id клиента]],клиенты!$A$2:$G$435,7,0)</f>
        <v>Россия</v>
      </c>
      <c r="R664">
        <f>IF(COUNTIF($H$2:H664, H664)=1, 1, 0)</f>
        <v>0</v>
      </c>
      <c r="S664" t="str">
        <f>VLOOKUP(Продажи[[#This Row],[id клиента]],клиенты!$A$2:$D$435,4,0)</f>
        <v>нет</v>
      </c>
      <c r="T664" s="54">
        <f>VLOOKUP(Продажи[[#This Row],[id клиента]],клиенты!$A$2:$I$435,9,0)</f>
        <v>24.279260780287473</v>
      </c>
    </row>
    <row r="665" spans="1:20" x14ac:dyDescent="0.25">
      <c r="A665">
        <v>664</v>
      </c>
      <c r="B665">
        <v>386</v>
      </c>
      <c r="C665">
        <v>295</v>
      </c>
      <c r="D665">
        <v>3</v>
      </c>
      <c r="E665" s="35">
        <v>4425</v>
      </c>
      <c r="F665" s="48">
        <v>45194</v>
      </c>
      <c r="G665" t="s">
        <v>19</v>
      </c>
      <c r="H665">
        <v>25</v>
      </c>
      <c r="I665" t="str">
        <f>VLOOKUP(Продажи[[#This Row],[id товара]],Товары[],2,0)</f>
        <v>Крупа</v>
      </c>
      <c r="J665" s="17">
        <f>AVERAGEIF(Продажи[Категория],Продажи[[#This Row],[Категория]],Продажи[цена за шт в рублях])</f>
        <v>255.11627906976744</v>
      </c>
      <c r="K665" s="16">
        <f>Продажи[[#This Row],[цена за шт в рублях]]/Продажи[[#This Row],[Средняя цена в категории за шт]]-1</f>
        <v>0.15633546034639934</v>
      </c>
      <c r="L665" t="str">
        <f>VLOOKUP(Продажи[[#This Row],[id товара]],Товары[],3,0)</f>
        <v>Увелка</v>
      </c>
      <c r="M665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665" s="16">
        <f>Продажи[[#This Row],[цена за шт в рублях]]/Продажи[[#This Row],[Средняя цена в категории за шт по поставщику]]-1</f>
        <v>0.17102216341382737</v>
      </c>
      <c r="O665" s="48">
        <f>VLOOKUP(Продажи[[#This Row],[id клиента]],клиенты!$A$2:$E$435,5,0)</f>
        <v>44582</v>
      </c>
      <c r="P665">
        <f>Продажи[[#This Row],[дата создания чека]]-Продажи[[#This Row],[Дата регистрации]]</f>
        <v>612</v>
      </c>
      <c r="Q665" t="str">
        <f>VLOOKUP(Продажи[[#This Row],[id клиента]],клиенты!$A$2:$G$435,7,0)</f>
        <v>Таджикистан</v>
      </c>
      <c r="R665">
        <f>IF(COUNTIF($H$2:H665, H665)=1, 1, 0)</f>
        <v>0</v>
      </c>
      <c r="S665" t="str">
        <f>VLOOKUP(Продажи[[#This Row],[id клиента]],клиенты!$A$2:$D$435,4,0)</f>
        <v>да</v>
      </c>
      <c r="T665" s="54">
        <f>VLOOKUP(Продажи[[#This Row],[id клиента]],клиенты!$A$2:$I$435,9,0)</f>
        <v>24.114989733059549</v>
      </c>
    </row>
    <row r="666" spans="1:20" x14ac:dyDescent="0.25">
      <c r="A666">
        <v>665</v>
      </c>
      <c r="B666">
        <v>452</v>
      </c>
      <c r="C666">
        <v>226</v>
      </c>
      <c r="D666">
        <v>4</v>
      </c>
      <c r="E666" s="35">
        <v>4520</v>
      </c>
      <c r="F666" s="48">
        <v>45153</v>
      </c>
      <c r="G666" t="s">
        <v>27</v>
      </c>
      <c r="H666">
        <v>33</v>
      </c>
      <c r="I666" t="str">
        <f>VLOOKUP(Продажи[[#This Row],[id товара]],Товары[],2,0)</f>
        <v>Фрукты</v>
      </c>
      <c r="J666" s="17">
        <f>AVERAGEIF(Продажи[Категория],Продажи[[#This Row],[Категория]],Продажи[цена за шт в рублях])</f>
        <v>274.16279069767444</v>
      </c>
      <c r="K666" s="16">
        <f>Продажи[[#This Row],[цена за шт в рублях]]/Продажи[[#This Row],[Средняя цена в категории за шт]]-1</f>
        <v>-0.17567223683094413</v>
      </c>
      <c r="L666" t="str">
        <f>VLOOKUP(Продажи[[#This Row],[id товара]],Товары[],3,0)</f>
        <v>Экзотик</v>
      </c>
      <c r="M666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666" s="16">
        <f>Продажи[[#This Row],[цена за шт в рублях]]/Продажи[[#This Row],[Средняя цена в категории за шт по поставщику]]-1</f>
        <v>-0.10914018231091405</v>
      </c>
      <c r="O666" s="48">
        <f>VLOOKUP(Продажи[[#This Row],[id клиента]],клиенты!$A$2:$E$435,5,0)</f>
        <v>44730</v>
      </c>
      <c r="P666">
        <f>Продажи[[#This Row],[дата создания чека]]-Продажи[[#This Row],[Дата регистрации]]</f>
        <v>423</v>
      </c>
      <c r="Q666" t="str">
        <f>VLOOKUP(Продажи[[#This Row],[id клиента]],клиенты!$A$2:$G$435,7,0)</f>
        <v>Россия</v>
      </c>
      <c r="R666">
        <f>IF(COUNTIF($H$2:H666, H666)=1, 1, 0)</f>
        <v>1</v>
      </c>
      <c r="S666" t="str">
        <f>VLOOKUP(Продажи[[#This Row],[id клиента]],клиенты!$A$2:$D$435,4,0)</f>
        <v>нет</v>
      </c>
      <c r="T666" s="54">
        <f>VLOOKUP(Продажи[[#This Row],[id клиента]],клиенты!$A$2:$I$435,9,0)</f>
        <v>13.897330595482547</v>
      </c>
    </row>
    <row r="667" spans="1:20" x14ac:dyDescent="0.25">
      <c r="A667">
        <v>666</v>
      </c>
      <c r="B667">
        <v>37</v>
      </c>
      <c r="C667">
        <v>411</v>
      </c>
      <c r="D667">
        <v>5</v>
      </c>
      <c r="E667" s="35">
        <v>10275</v>
      </c>
      <c r="F667" s="48">
        <v>45140</v>
      </c>
      <c r="G667" t="s">
        <v>21</v>
      </c>
      <c r="H667">
        <v>7</v>
      </c>
      <c r="I667" t="str">
        <f>VLOOKUP(Продажи[[#This Row],[id товара]],Товары[],2,0)</f>
        <v>Соль</v>
      </c>
      <c r="J667" s="17">
        <f>AVERAGEIF(Продажи[Категория],Продажи[[#This Row],[Категория]],Продажи[цена за шт в рублях])</f>
        <v>264.8679245283019</v>
      </c>
      <c r="K667" s="16">
        <f>Продажи[[#This Row],[цена за шт в рублях]]/Продажи[[#This Row],[Средняя цена в категории за шт]]-1</f>
        <v>0.55171676877048004</v>
      </c>
      <c r="L667" t="str">
        <f>VLOOKUP(Продажи[[#This Row],[id товара]],Товары[],3,0)</f>
        <v>Илецкая</v>
      </c>
      <c r="M667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667" s="16">
        <f>Продажи[[#This Row],[цена за шт в рублях]]/Продажи[[#This Row],[Средняя цена в категории за шт по поставщику]]-1</f>
        <v>0.7256822953114066</v>
      </c>
      <c r="O667" s="48">
        <f>VLOOKUP(Продажи[[#This Row],[id клиента]],клиенты!$A$2:$E$435,5,0)</f>
        <v>44893</v>
      </c>
      <c r="P667">
        <f>Продажи[[#This Row],[дата создания чека]]-Продажи[[#This Row],[Дата регистрации]]</f>
        <v>247</v>
      </c>
      <c r="Q667" t="str">
        <f>VLOOKUP(Продажи[[#This Row],[id клиента]],клиенты!$A$2:$G$435,7,0)</f>
        <v>Россия</v>
      </c>
      <c r="R667">
        <f>IF(COUNTIF($H$2:H667, H667)=1, 1, 0)</f>
        <v>1</v>
      </c>
      <c r="S667" t="str">
        <f>VLOOKUP(Продажи[[#This Row],[id клиента]],клиенты!$A$2:$D$435,4,0)</f>
        <v>да</v>
      </c>
      <c r="T667" s="54">
        <f>VLOOKUP(Продажи[[#This Row],[id клиента]],клиенты!$A$2:$I$435,9,0)</f>
        <v>11.53182751540041</v>
      </c>
    </row>
    <row r="668" spans="1:20" x14ac:dyDescent="0.25">
      <c r="A668">
        <v>667</v>
      </c>
      <c r="B668">
        <v>27</v>
      </c>
      <c r="C668">
        <v>301</v>
      </c>
      <c r="D668">
        <v>1</v>
      </c>
      <c r="E668" s="35">
        <v>1505</v>
      </c>
      <c r="F668" s="48">
        <v>44931</v>
      </c>
      <c r="G668" t="s">
        <v>22</v>
      </c>
      <c r="H668">
        <v>494</v>
      </c>
      <c r="I668" t="str">
        <f>VLOOKUP(Продажи[[#This Row],[id товара]],Товары[],2,0)</f>
        <v>Макароны</v>
      </c>
      <c r="J668" s="17">
        <f>AVERAGEIF(Продажи[Категория],Продажи[[#This Row],[Категория]],Продажи[цена за шт в рублях])</f>
        <v>265.47674418604652</v>
      </c>
      <c r="K668" s="16">
        <f>Продажи[[#This Row],[цена за шт в рублях]]/Продажи[[#This Row],[Средняя цена в категории за шт]]-1</f>
        <v>0.13380929438044764</v>
      </c>
      <c r="L668" t="str">
        <f>VLOOKUP(Продажи[[#This Row],[id товара]],Товары[],3,0)</f>
        <v>Паста Зара</v>
      </c>
      <c r="M66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68" s="16">
        <f>Продажи[[#This Row],[цена за шт в рублях]]/Продажи[[#This Row],[Средняя цена в категории за шт по поставщику]]-1</f>
        <v>8.7916381752466632E-2</v>
      </c>
      <c r="O668" s="48">
        <f>VLOOKUP(Продажи[[#This Row],[id клиента]],клиенты!$A$2:$E$435,5,0)</f>
        <v>44738</v>
      </c>
      <c r="P668">
        <f>Продажи[[#This Row],[дата создания чека]]-Продажи[[#This Row],[Дата регистрации]]</f>
        <v>193</v>
      </c>
      <c r="Q668" t="str">
        <f>VLOOKUP(Продажи[[#This Row],[id клиента]],клиенты!$A$2:$G$435,7,0)</f>
        <v>Беларусь</v>
      </c>
      <c r="R668">
        <f>IF(COUNTIF($H$2:H668, H668)=1, 1, 0)</f>
        <v>1</v>
      </c>
      <c r="S668" t="str">
        <f>VLOOKUP(Продажи[[#This Row],[id клиента]],клиенты!$A$2:$D$435,4,0)</f>
        <v>нет</v>
      </c>
      <c r="T668" s="54">
        <f>VLOOKUP(Продажи[[#This Row],[id клиента]],клиенты!$A$2:$I$435,9,0)</f>
        <v>6.3408624229979464</v>
      </c>
    </row>
    <row r="669" spans="1:20" x14ac:dyDescent="0.25">
      <c r="A669">
        <v>668</v>
      </c>
      <c r="B669">
        <v>435</v>
      </c>
      <c r="C669">
        <v>452</v>
      </c>
      <c r="D669">
        <v>4</v>
      </c>
      <c r="E669" s="35">
        <v>9040</v>
      </c>
      <c r="F669" s="48">
        <v>44927</v>
      </c>
      <c r="G669" t="s">
        <v>13</v>
      </c>
      <c r="H669">
        <v>420</v>
      </c>
      <c r="I669" t="str">
        <f>VLOOKUP(Продажи[[#This Row],[id товара]],Товары[],2,0)</f>
        <v>Мясо</v>
      </c>
      <c r="J669" s="17">
        <f>AVERAGEIF(Продажи[Категория],Продажи[[#This Row],[Категория]],Продажи[цена за шт в рублях])</f>
        <v>271.74545454545455</v>
      </c>
      <c r="K669" s="16">
        <f>Продажи[[#This Row],[цена за шт в рублях]]/Продажи[[#This Row],[Средняя цена в категории за шт]]-1</f>
        <v>0.66332128997725137</v>
      </c>
      <c r="L669" t="str">
        <f>VLOOKUP(Продажи[[#This Row],[id товара]],Товары[],3,0)</f>
        <v>Снежана</v>
      </c>
      <c r="M669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669" s="16">
        <f>Продажи[[#This Row],[цена за шт в рублях]]/Продажи[[#This Row],[Средняя цена в категории за шт по поставщику]]-1</f>
        <v>0.65961123110151165</v>
      </c>
      <c r="O669" s="48">
        <f>VLOOKUP(Продажи[[#This Row],[id клиента]],клиенты!$A$2:$E$435,5,0)</f>
        <v>44698</v>
      </c>
      <c r="P669">
        <f>Продажи[[#This Row],[дата создания чека]]-Продажи[[#This Row],[Дата регистрации]]</f>
        <v>229</v>
      </c>
      <c r="Q669" t="str">
        <f>VLOOKUP(Продажи[[#This Row],[id клиента]],клиенты!$A$2:$G$435,7,0)</f>
        <v>Украина</v>
      </c>
      <c r="R669">
        <f>IF(COUNTIF($H$2:H669, H669)=1, 1, 0)</f>
        <v>0</v>
      </c>
      <c r="S669" t="str">
        <f>VLOOKUP(Продажи[[#This Row],[id клиента]],клиенты!$A$2:$D$435,4,0)</f>
        <v>нет</v>
      </c>
      <c r="T669" s="54">
        <f>VLOOKUP(Продажи[[#This Row],[id клиента]],клиенты!$A$2:$I$435,9,0)</f>
        <v>16.558521560574949</v>
      </c>
    </row>
    <row r="670" spans="1:20" x14ac:dyDescent="0.25">
      <c r="A670">
        <v>669</v>
      </c>
      <c r="B670">
        <v>101</v>
      </c>
      <c r="C670">
        <v>293</v>
      </c>
      <c r="D670">
        <v>1</v>
      </c>
      <c r="E670" s="35">
        <v>1465</v>
      </c>
      <c r="F670" s="48">
        <v>45165</v>
      </c>
      <c r="G670" t="s">
        <v>22</v>
      </c>
      <c r="H670">
        <v>75</v>
      </c>
      <c r="I670" t="str">
        <f>VLOOKUP(Продажи[[#This Row],[id товара]],Товары[],2,0)</f>
        <v>Чай</v>
      </c>
      <c r="J670" s="17">
        <f>AVERAGEIF(Продажи[Категория],Продажи[[#This Row],[Категория]],Продажи[цена за шт в рублях])</f>
        <v>271.18181818181819</v>
      </c>
      <c r="K670" s="16">
        <f>Продажи[[#This Row],[цена за шт в рублях]]/Продажи[[#This Row],[Средняя цена в категории за шт]]-1</f>
        <v>8.0455916862219201E-2</v>
      </c>
      <c r="L670" t="str">
        <f>VLOOKUP(Продажи[[#This Row],[id товара]],Товары[],3,0)</f>
        <v>Ахмад</v>
      </c>
      <c r="M670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670" s="16">
        <f>Продажи[[#This Row],[цена за шт в рублях]]/Продажи[[#This Row],[Средняя цена в категории за шт по поставщику]]-1</f>
        <v>0.20427455815865181</v>
      </c>
      <c r="O670" s="48">
        <f>VLOOKUP(Продажи[[#This Row],[id клиента]],клиенты!$A$2:$E$435,5,0)</f>
        <v>44796</v>
      </c>
      <c r="P670">
        <f>Продажи[[#This Row],[дата создания чека]]-Продажи[[#This Row],[Дата регистрации]]</f>
        <v>369</v>
      </c>
      <c r="Q670" t="str">
        <f>VLOOKUP(Продажи[[#This Row],[id клиента]],клиенты!$A$2:$G$435,7,0)</f>
        <v>Украина</v>
      </c>
      <c r="R670">
        <f>IF(COUNTIF($H$2:H670, H670)=1, 1, 0)</f>
        <v>0</v>
      </c>
      <c r="S670" t="str">
        <f>VLOOKUP(Продажи[[#This Row],[id клиента]],клиенты!$A$2:$D$435,4,0)</f>
        <v>нет</v>
      </c>
      <c r="T670" s="54">
        <f>VLOOKUP(Продажи[[#This Row],[id клиента]],клиенты!$A$2:$I$435,9,0)</f>
        <v>16.459958932238195</v>
      </c>
    </row>
    <row r="671" spans="1:20" x14ac:dyDescent="0.25">
      <c r="A671">
        <v>670</v>
      </c>
      <c r="B671">
        <v>423</v>
      </c>
      <c r="C671">
        <v>382</v>
      </c>
      <c r="D671">
        <v>2</v>
      </c>
      <c r="E671" s="35">
        <v>3820</v>
      </c>
      <c r="F671" s="48">
        <v>45283</v>
      </c>
      <c r="G671" t="s">
        <v>16</v>
      </c>
      <c r="H671">
        <v>83</v>
      </c>
      <c r="I671" t="str">
        <f>VLOOKUP(Продажи[[#This Row],[id товара]],Товары[],2,0)</f>
        <v>Чипсы</v>
      </c>
      <c r="J671" s="17">
        <f>AVERAGEIF(Продажи[Категория],Продажи[[#This Row],[Категория]],Продажи[цена за шт в рублях])</f>
        <v>273.72549019607845</v>
      </c>
      <c r="K671" s="16">
        <f>Продажи[[#This Row],[цена за шт в рублях]]/Продажи[[#This Row],[Средняя цена в категории за шт]]-1</f>
        <v>0.39555873925501417</v>
      </c>
      <c r="L671" t="str">
        <f>VLOOKUP(Продажи[[#This Row],[id товара]],Товары[],3,0)</f>
        <v>Pringles</v>
      </c>
      <c r="M671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671" s="16">
        <f>Продажи[[#This Row],[цена за шт в рублях]]/Продажи[[#This Row],[Средняя цена в категории за шт по поставщику]]-1</f>
        <v>0.3631265930331351</v>
      </c>
      <c r="O671" s="48">
        <f>VLOOKUP(Продажи[[#This Row],[id клиента]],клиенты!$A$2:$E$435,5,0)</f>
        <v>44739</v>
      </c>
      <c r="P671">
        <f>Продажи[[#This Row],[дата создания чека]]-Продажи[[#This Row],[Дата регистрации]]</f>
        <v>544</v>
      </c>
      <c r="Q671" t="str">
        <f>VLOOKUP(Продажи[[#This Row],[id клиента]],клиенты!$A$2:$G$435,7,0)</f>
        <v>Таджикистан</v>
      </c>
      <c r="R671">
        <f>IF(COUNTIF($H$2:H671, H671)=1, 1, 0)</f>
        <v>1</v>
      </c>
      <c r="S671" t="str">
        <f>VLOOKUP(Продажи[[#This Row],[id клиента]],клиенты!$A$2:$D$435,4,0)</f>
        <v>да</v>
      </c>
      <c r="T671" s="54">
        <f>VLOOKUP(Продажи[[#This Row],[id клиента]],клиенты!$A$2:$I$435,9,0)</f>
        <v>17.872689938398356</v>
      </c>
    </row>
    <row r="672" spans="1:20" x14ac:dyDescent="0.25">
      <c r="A672">
        <v>671</v>
      </c>
      <c r="B672">
        <v>411</v>
      </c>
      <c r="C672">
        <v>158</v>
      </c>
      <c r="D672">
        <v>3</v>
      </c>
      <c r="E672" s="35">
        <v>2370</v>
      </c>
      <c r="F672" s="48">
        <v>45070</v>
      </c>
      <c r="G672" t="s">
        <v>16</v>
      </c>
      <c r="H672">
        <v>109</v>
      </c>
      <c r="I672" t="str">
        <f>VLOOKUP(Продажи[[#This Row],[id товара]],Товары[],2,0)</f>
        <v>Хлеб</v>
      </c>
      <c r="J672" s="17">
        <f>AVERAGEIF(Продажи[Категория],Продажи[[#This Row],[Категория]],Продажи[цена за шт в рублях])</f>
        <v>300.31818181818181</v>
      </c>
      <c r="K672" s="16">
        <f>Продажи[[#This Row],[цена за шт в рублях]]/Продажи[[#This Row],[Средняя цена в категории за шт]]-1</f>
        <v>-0.47389132738005146</v>
      </c>
      <c r="L672" t="str">
        <f>VLOOKUP(Продажи[[#This Row],[id товара]],Товары[],3,0)</f>
        <v>Хлебный Дом</v>
      </c>
      <c r="M672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672" s="16">
        <f>Продажи[[#This Row],[цена за шт в рублях]]/Продажи[[#This Row],[Средняя цена в категории за шт по поставщику]]-1</f>
        <v>-0.43918599148130621</v>
      </c>
      <c r="O672" s="48">
        <f>VLOOKUP(Продажи[[#This Row],[id клиента]],клиенты!$A$2:$E$435,5,0)</f>
        <v>44732</v>
      </c>
      <c r="P672">
        <f>Продажи[[#This Row],[дата создания чека]]-Продажи[[#This Row],[Дата регистрации]]</f>
        <v>338</v>
      </c>
      <c r="Q672" t="str">
        <f>VLOOKUP(Продажи[[#This Row],[id клиента]],клиенты!$A$2:$G$435,7,0)</f>
        <v>Украина</v>
      </c>
      <c r="R672">
        <f>IF(COUNTIF($H$2:H672, H672)=1, 1, 0)</f>
        <v>0</v>
      </c>
      <c r="S672" t="str">
        <f>VLOOKUP(Продажи[[#This Row],[id клиента]],клиенты!$A$2:$D$435,4,0)</f>
        <v>да</v>
      </c>
      <c r="T672" s="54">
        <f>VLOOKUP(Продажи[[#This Row],[id клиента]],клиенты!$A$2:$I$435,9,0)</f>
        <v>11.794661190965092</v>
      </c>
    </row>
    <row r="673" spans="1:20" x14ac:dyDescent="0.25">
      <c r="A673">
        <v>672</v>
      </c>
      <c r="B673">
        <v>381</v>
      </c>
      <c r="C673">
        <v>296</v>
      </c>
      <c r="D673">
        <v>4</v>
      </c>
      <c r="E673" s="35">
        <v>5920</v>
      </c>
      <c r="F673" s="48">
        <v>45106</v>
      </c>
      <c r="G673" t="s">
        <v>20</v>
      </c>
      <c r="H673">
        <v>465</v>
      </c>
      <c r="I673" t="str">
        <f>VLOOKUP(Продажи[[#This Row],[id товара]],Товары[],2,0)</f>
        <v>Рыба</v>
      </c>
      <c r="J673" s="17">
        <f>AVERAGEIF(Продажи[Категория],Продажи[[#This Row],[Категория]],Продажи[цена за шт в рублях])</f>
        <v>258.5128205128205</v>
      </c>
      <c r="K673" s="16">
        <f>Продажи[[#This Row],[цена за шт в рублях]]/Продажи[[#This Row],[Средняя цена в категории за шт]]-1</f>
        <v>0.14501091053362436</v>
      </c>
      <c r="L673" t="str">
        <f>VLOOKUP(Продажи[[#This Row],[id товара]],Товары[],3,0)</f>
        <v>Русское море</v>
      </c>
      <c r="M673" s="32">
        <f>AVERAGEIFS(Продажи[цена за шт в рублях],Продажи[Категория],Продажи[[#This Row],[Категория]],Продажи[Поставщик],Продажи[[#This Row],[Поставщик]])</f>
        <v>292.66666666666669</v>
      </c>
      <c r="N673" s="16">
        <f>Продажи[[#This Row],[цена за шт в рублях]]/Продажи[[#This Row],[Средняя цена в категории за шт по поставщику]]-1</f>
        <v>1.1389521640090994E-2</v>
      </c>
      <c r="O673" s="48">
        <f>VLOOKUP(Продажи[[#This Row],[id клиента]],клиенты!$A$2:$E$435,5,0)</f>
        <v>44671</v>
      </c>
      <c r="P673">
        <f>Продажи[[#This Row],[дата создания чека]]-Продажи[[#This Row],[Дата регистрации]]</f>
        <v>435</v>
      </c>
      <c r="Q673" t="str">
        <f>VLOOKUP(Продажи[[#This Row],[id клиента]],клиенты!$A$2:$G$435,7,0)</f>
        <v>Узбекистан</v>
      </c>
      <c r="R673">
        <f>IF(COUNTIF($H$2:H673, H673)=1, 1, 0)</f>
        <v>0</v>
      </c>
      <c r="S673" t="str">
        <f>VLOOKUP(Продажи[[#This Row],[id клиента]],клиенты!$A$2:$D$435,4,0)</f>
        <v>нет</v>
      </c>
      <c r="T673" s="54">
        <f>VLOOKUP(Продажи[[#This Row],[id клиента]],клиенты!$A$2:$I$435,9,0)</f>
        <v>14.291581108829568</v>
      </c>
    </row>
    <row r="674" spans="1:20" x14ac:dyDescent="0.25">
      <c r="A674">
        <v>673</v>
      </c>
      <c r="B674">
        <v>400</v>
      </c>
      <c r="C674">
        <v>345</v>
      </c>
      <c r="D674">
        <v>2</v>
      </c>
      <c r="E674" s="35">
        <v>3450</v>
      </c>
      <c r="F674" s="48">
        <v>45143</v>
      </c>
      <c r="G674" t="s">
        <v>22</v>
      </c>
      <c r="H674">
        <v>18</v>
      </c>
      <c r="I674" t="str">
        <f>VLOOKUP(Продажи[[#This Row],[id товара]],Товары[],2,0)</f>
        <v>Молоко</v>
      </c>
      <c r="J674" s="17">
        <f>AVERAGEIF(Продажи[Категория],Продажи[[#This Row],[Категория]],Продажи[цена за шт в рублях])</f>
        <v>294.95238095238096</v>
      </c>
      <c r="K674" s="16">
        <f>Продажи[[#This Row],[цена за шт в рублях]]/Продажи[[#This Row],[Средняя цена в категории за шт]]-1</f>
        <v>0.16968033580884723</v>
      </c>
      <c r="L674" t="str">
        <f>VLOOKUP(Продажи[[#This Row],[id товара]],Товары[],3,0)</f>
        <v>Беллакт</v>
      </c>
      <c r="M674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674" s="16">
        <f>Продажи[[#This Row],[цена за шт в рублях]]/Продажи[[#This Row],[Средняя цена в категории за шт по поставщику]]-1</f>
        <v>6.9616685456595162E-2</v>
      </c>
      <c r="O674" s="48">
        <f>VLOOKUP(Продажи[[#This Row],[id клиента]],клиенты!$A$2:$E$435,5,0)</f>
        <v>44578</v>
      </c>
      <c r="P674">
        <f>Продажи[[#This Row],[дата создания чека]]-Продажи[[#This Row],[Дата регистрации]]</f>
        <v>565</v>
      </c>
      <c r="Q674" t="str">
        <f>VLOOKUP(Продажи[[#This Row],[id клиента]],клиенты!$A$2:$G$435,7,0)</f>
        <v>Украина</v>
      </c>
      <c r="R674">
        <f>IF(COUNTIF($H$2:H674, H674)=1, 1, 0)</f>
        <v>0</v>
      </c>
      <c r="S674" t="str">
        <f>VLOOKUP(Продажи[[#This Row],[id клиента]],клиенты!$A$2:$D$435,4,0)</f>
        <v>нет</v>
      </c>
      <c r="T674" s="54">
        <f>VLOOKUP(Продажи[[#This Row],[id клиента]],клиенты!$A$2:$I$435,9,0)</f>
        <v>26.677618069815196</v>
      </c>
    </row>
    <row r="675" spans="1:20" x14ac:dyDescent="0.25">
      <c r="A675">
        <v>674</v>
      </c>
      <c r="B675">
        <v>389</v>
      </c>
      <c r="C675">
        <v>155</v>
      </c>
      <c r="D675">
        <v>4</v>
      </c>
      <c r="E675" s="35">
        <v>3100</v>
      </c>
      <c r="F675" s="48">
        <v>45412</v>
      </c>
      <c r="G675" t="s">
        <v>27</v>
      </c>
      <c r="H675">
        <v>376</v>
      </c>
      <c r="I675" t="str">
        <f>VLOOKUP(Продажи[[#This Row],[id товара]],Товары[],2,0)</f>
        <v>Чай</v>
      </c>
      <c r="J675" s="17">
        <f>AVERAGEIF(Продажи[Категория],Продажи[[#This Row],[Категория]],Продажи[цена за шт в рублях])</f>
        <v>271.18181818181819</v>
      </c>
      <c r="K675" s="16">
        <f>Продажи[[#This Row],[цена за шт в рублях]]/Продажи[[#This Row],[Средняя цена в категории за шт]]-1</f>
        <v>-0.42842775729131743</v>
      </c>
      <c r="L675" t="str">
        <f>VLOOKUP(Продажи[[#This Row],[id товара]],Товары[],3,0)</f>
        <v>Ахмад</v>
      </c>
      <c r="M675" s="32">
        <f>AVERAGEIFS(Продажи[цена за шт в рублях],Продажи[Категория],Продажи[[#This Row],[Категория]],Продажи[Поставщик],Продажи[[#This Row],[Поставщик]])</f>
        <v>243.3</v>
      </c>
      <c r="N675" s="16">
        <f>Продажи[[#This Row],[цена за шт в рублях]]/Продажи[[#This Row],[Средняя цена в категории за шт по поставщику]]-1</f>
        <v>-0.36292642827784627</v>
      </c>
      <c r="O675" s="48">
        <f>VLOOKUP(Продажи[[#This Row],[id клиента]],клиенты!$A$2:$E$435,5,0)</f>
        <v>44730</v>
      </c>
      <c r="P675">
        <f>Продажи[[#This Row],[дата создания чека]]-Продажи[[#This Row],[Дата регистрации]]</f>
        <v>682</v>
      </c>
      <c r="Q675" t="str">
        <f>VLOOKUP(Продажи[[#This Row],[id клиента]],клиенты!$A$2:$G$435,7,0)</f>
        <v>Беларусь</v>
      </c>
      <c r="R675">
        <f>IF(COUNTIF($H$2:H675, H675)=1, 1, 0)</f>
        <v>0</v>
      </c>
      <c r="S675" t="str">
        <f>VLOOKUP(Продажи[[#This Row],[id клиента]],клиенты!$A$2:$D$435,4,0)</f>
        <v>да</v>
      </c>
      <c r="T675" s="54">
        <f>VLOOKUP(Продажи[[#This Row],[id клиента]],клиенты!$A$2:$I$435,9,0)</f>
        <v>22.406570841889117</v>
      </c>
    </row>
    <row r="676" spans="1:20" x14ac:dyDescent="0.25">
      <c r="A676">
        <v>675</v>
      </c>
      <c r="B676">
        <v>227</v>
      </c>
      <c r="C676">
        <v>300</v>
      </c>
      <c r="D676">
        <v>4</v>
      </c>
      <c r="E676" s="35">
        <v>6000</v>
      </c>
      <c r="F676" s="48">
        <v>44991</v>
      </c>
      <c r="G676" t="s">
        <v>16</v>
      </c>
      <c r="H676">
        <v>88</v>
      </c>
      <c r="I676" t="str">
        <f>VLOOKUP(Продажи[[#This Row],[id товара]],Товары[],2,0)</f>
        <v>Макароны</v>
      </c>
      <c r="J676" s="17">
        <f>AVERAGEIF(Продажи[Категория],Продажи[[#This Row],[Категория]],Продажи[цена за шт в рублях])</f>
        <v>265.47674418604652</v>
      </c>
      <c r="K676" s="16">
        <f>Продажи[[#This Row],[цена за шт в рублях]]/Продажи[[#This Row],[Средняя цена в категории за шт]]-1</f>
        <v>0.13004248609346947</v>
      </c>
      <c r="L676" t="str">
        <f>VLOOKUP(Продажи[[#This Row],[id товара]],Товары[],3,0)</f>
        <v>Макфа</v>
      </c>
      <c r="M676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676" s="16">
        <f>Продажи[[#This Row],[цена за шт в рублях]]/Продажи[[#This Row],[Средняя цена в категории за шт по поставщику]]-1</f>
        <v>-8.8901159580342282E-2</v>
      </c>
      <c r="O676" s="48">
        <f>VLOOKUP(Продажи[[#This Row],[id клиента]],клиенты!$A$2:$E$435,5,0)</f>
        <v>44630</v>
      </c>
      <c r="P676">
        <f>Продажи[[#This Row],[дата создания чека]]-Продажи[[#This Row],[Дата регистрации]]</f>
        <v>361</v>
      </c>
      <c r="Q676" t="str">
        <f>VLOOKUP(Продажи[[#This Row],[id клиента]],клиенты!$A$2:$G$435,7,0)</f>
        <v>Украина</v>
      </c>
      <c r="R676">
        <f>IF(COUNTIF($H$2:H676, H676)=1, 1, 0)</f>
        <v>0</v>
      </c>
      <c r="S676" t="str">
        <f>VLOOKUP(Продажи[[#This Row],[id клиента]],клиенты!$A$2:$D$435,4,0)</f>
        <v>да</v>
      </c>
      <c r="T676" s="54">
        <f>VLOOKUP(Продажи[[#This Row],[id клиента]],клиенты!$A$2:$I$435,9,0)</f>
        <v>24.706365503080082</v>
      </c>
    </row>
    <row r="677" spans="1:20" x14ac:dyDescent="0.25">
      <c r="A677">
        <v>676</v>
      </c>
      <c r="B677">
        <v>243</v>
      </c>
      <c r="C677">
        <v>371</v>
      </c>
      <c r="D677">
        <v>3</v>
      </c>
      <c r="E677" s="35">
        <v>5565</v>
      </c>
      <c r="F677" s="48">
        <v>45081</v>
      </c>
      <c r="G677" t="s">
        <v>9</v>
      </c>
      <c r="H677">
        <v>352</v>
      </c>
      <c r="I677" t="str">
        <f>VLOOKUP(Продажи[[#This Row],[id товара]],Товары[],2,0)</f>
        <v>Рис</v>
      </c>
      <c r="J677" s="17">
        <f>AVERAGEIF(Продажи[Категория],Продажи[[#This Row],[Категория]],Продажи[цена за шт в рублях])</f>
        <v>258.375</v>
      </c>
      <c r="K677" s="16">
        <f>Продажи[[#This Row],[цена за шт в рублях]]/Продажи[[#This Row],[Средняя цена в категории за шт]]-1</f>
        <v>0.4358974358974359</v>
      </c>
      <c r="L677" t="str">
        <f>VLOOKUP(Продажи[[#This Row],[id товара]],Товары[],3,0)</f>
        <v>Белый Злат</v>
      </c>
      <c r="M677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677" s="16">
        <f>Продажи[[#This Row],[цена за шт в рублях]]/Продажи[[#This Row],[Средняя цена в категории за шт по поставщику]]-1</f>
        <v>0.3755725190839696</v>
      </c>
      <c r="O677" s="48">
        <f>VLOOKUP(Продажи[[#This Row],[id клиента]],клиенты!$A$2:$E$435,5,0)</f>
        <v>44573</v>
      </c>
      <c r="P677">
        <f>Продажи[[#This Row],[дата создания чека]]-Продажи[[#This Row],[Дата регистрации]]</f>
        <v>508</v>
      </c>
      <c r="Q677" t="str">
        <f>VLOOKUP(Продажи[[#This Row],[id клиента]],клиенты!$A$2:$G$435,7,0)</f>
        <v>Россия</v>
      </c>
      <c r="R677">
        <f>IF(COUNTIF($H$2:H677, H677)=1, 1, 0)</f>
        <v>1</v>
      </c>
      <c r="S677" t="str">
        <f>VLOOKUP(Продажи[[#This Row],[id клиента]],клиенты!$A$2:$D$435,4,0)</f>
        <v>нет</v>
      </c>
      <c r="T677" s="54">
        <f>VLOOKUP(Продажи[[#This Row],[id клиента]],клиенты!$A$2:$I$435,9,0)</f>
        <v>16.689938398357288</v>
      </c>
    </row>
    <row r="678" spans="1:20" x14ac:dyDescent="0.25">
      <c r="A678">
        <v>677</v>
      </c>
      <c r="B678">
        <v>187</v>
      </c>
      <c r="C678">
        <v>273</v>
      </c>
      <c r="D678">
        <v>3</v>
      </c>
      <c r="E678" s="35">
        <v>4095</v>
      </c>
      <c r="F678" s="48">
        <v>44980</v>
      </c>
      <c r="G678" t="s">
        <v>24</v>
      </c>
      <c r="H678">
        <v>452</v>
      </c>
      <c r="I678" t="str">
        <f>VLOOKUP(Продажи[[#This Row],[id товара]],Товары[],2,0)</f>
        <v>Макароны</v>
      </c>
      <c r="J678" s="17">
        <f>AVERAGEIF(Продажи[Категория],Продажи[[#This Row],[Категория]],Продажи[цена за шт в рублях])</f>
        <v>265.47674418604652</v>
      </c>
      <c r="K678" s="16">
        <f>Продажи[[#This Row],[цена за шт в рублях]]/Продажи[[#This Row],[Средняя цена в категории за шт]]-1</f>
        <v>2.8338662345057219E-2</v>
      </c>
      <c r="L678" t="str">
        <f>VLOOKUP(Продажи[[#This Row],[id товара]],Товары[],3,0)</f>
        <v>Паста Зара</v>
      </c>
      <c r="M67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78" s="16">
        <f>Продажи[[#This Row],[цена за шт в рублях]]/Продажи[[#This Row],[Средняя цена в категории за шт по поставщику]]-1</f>
        <v>-1.3285142131483796E-2</v>
      </c>
      <c r="O678" s="48">
        <f>VLOOKUP(Продажи[[#This Row],[id клиента]],клиенты!$A$2:$E$435,5,0)</f>
        <v>44769</v>
      </c>
      <c r="P678">
        <f>Продажи[[#This Row],[дата создания чека]]-Продажи[[#This Row],[Дата регистрации]]</f>
        <v>211</v>
      </c>
      <c r="Q678" t="str">
        <f>VLOOKUP(Продажи[[#This Row],[id клиента]],клиенты!$A$2:$G$435,7,0)</f>
        <v>Россия</v>
      </c>
      <c r="R678">
        <f>IF(COUNTIF($H$2:H678, H678)=1, 1, 0)</f>
        <v>0</v>
      </c>
      <c r="S678" t="str">
        <f>VLOOKUP(Продажи[[#This Row],[id клиента]],клиенты!$A$2:$D$435,4,0)</f>
        <v>да</v>
      </c>
      <c r="T678" s="54">
        <f>VLOOKUP(Продажи[[#This Row],[id клиента]],клиенты!$A$2:$I$435,9,0)</f>
        <v>21.519507186858316</v>
      </c>
    </row>
    <row r="679" spans="1:20" x14ac:dyDescent="0.25">
      <c r="A679">
        <v>678</v>
      </c>
      <c r="B679">
        <v>441</v>
      </c>
      <c r="C679">
        <v>147</v>
      </c>
      <c r="D679">
        <v>3</v>
      </c>
      <c r="E679" s="35">
        <v>2205</v>
      </c>
      <c r="F679" s="48">
        <v>45117</v>
      </c>
      <c r="G679" t="s">
        <v>17</v>
      </c>
      <c r="H679">
        <v>449</v>
      </c>
      <c r="I679" t="str">
        <f>VLOOKUP(Продажи[[#This Row],[id товара]],Товары[],2,0)</f>
        <v>Чай</v>
      </c>
      <c r="J679" s="17">
        <f>AVERAGEIF(Продажи[Категория],Продажи[[#This Row],[Категория]],Продажи[цена за шт в рублях])</f>
        <v>271.18181818181819</v>
      </c>
      <c r="K679" s="16">
        <f>Продажи[[#This Row],[цена за шт в рублях]]/Продажи[[#This Row],[Средняя цена в категории за шт]]-1</f>
        <v>-0.4579282601407979</v>
      </c>
      <c r="L679" t="str">
        <f>VLOOKUP(Продажи[[#This Row],[id товара]],Товары[],3,0)</f>
        <v>Lipton</v>
      </c>
      <c r="M679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679" s="16">
        <f>Продажи[[#This Row],[цена за шт в рублях]]/Продажи[[#This Row],[Средняя цена в категории за шт по поставщику]]-1</f>
        <v>-0.43495852721019623</v>
      </c>
      <c r="O679" s="48">
        <f>VLOOKUP(Продажи[[#This Row],[id клиента]],клиенты!$A$2:$E$435,5,0)</f>
        <v>44645</v>
      </c>
      <c r="P679">
        <f>Продажи[[#This Row],[дата создания чека]]-Продажи[[#This Row],[Дата регистрации]]</f>
        <v>472</v>
      </c>
      <c r="Q679" t="str">
        <f>VLOOKUP(Продажи[[#This Row],[id клиента]],клиенты!$A$2:$G$435,7,0)</f>
        <v>Таджикистан</v>
      </c>
      <c r="R679">
        <f>IF(COUNTIF($H$2:H679, H679)=1, 1, 0)</f>
        <v>0</v>
      </c>
      <c r="S679" t="str">
        <f>VLOOKUP(Продажи[[#This Row],[id клиента]],клиенты!$A$2:$D$435,4,0)</f>
        <v>нет</v>
      </c>
      <c r="T679" s="54">
        <f>VLOOKUP(Продажи[[#This Row],[id клиента]],клиенты!$A$2:$I$435,9,0)</f>
        <v>24.50924024640657</v>
      </c>
    </row>
    <row r="680" spans="1:20" x14ac:dyDescent="0.25">
      <c r="A680">
        <v>679</v>
      </c>
      <c r="B680">
        <v>446</v>
      </c>
      <c r="C680">
        <v>440</v>
      </c>
      <c r="D680">
        <v>5</v>
      </c>
      <c r="E680" s="35">
        <v>11000</v>
      </c>
      <c r="F680" s="48">
        <v>45394</v>
      </c>
      <c r="G680" t="s">
        <v>24</v>
      </c>
      <c r="H680">
        <v>197</v>
      </c>
      <c r="I680" t="str">
        <f>VLOOKUP(Продажи[[#This Row],[id товара]],Товары[],2,0)</f>
        <v>Чипсы</v>
      </c>
      <c r="J680" s="17">
        <f>AVERAGEIF(Продажи[Категория],Продажи[[#This Row],[Категория]],Продажи[цена за шт в рублях])</f>
        <v>273.72549019607845</v>
      </c>
      <c r="K680" s="16">
        <f>Продажи[[#This Row],[цена за шт в рублях]]/Продажи[[#This Row],[Средняя цена в категории за шт]]-1</f>
        <v>0.60744985673352425</v>
      </c>
      <c r="L680" t="str">
        <f>VLOOKUP(Продажи[[#This Row],[id товара]],Товары[],3,0)</f>
        <v>Lay's</v>
      </c>
      <c r="M680" s="32">
        <f>AVERAGEIFS(Продажи[цена за шт в рублях],Продажи[Категория],Продажи[[#This Row],[Категория]],Продажи[Поставщик],Продажи[[#This Row],[Поставщик]])</f>
        <v>320.57142857142856</v>
      </c>
      <c r="N680" s="16">
        <f>Продажи[[#This Row],[цена за шт в рублях]]/Продажи[[#This Row],[Средняя цена в категории за шт по поставщику]]-1</f>
        <v>0.37254901960784315</v>
      </c>
      <c r="O680" s="48">
        <f>VLOOKUP(Продажи[[#This Row],[id клиента]],клиенты!$A$2:$E$435,5,0)</f>
        <v>44785</v>
      </c>
      <c r="P680">
        <f>Продажи[[#This Row],[дата создания чека]]-Продажи[[#This Row],[Дата регистрации]]</f>
        <v>609</v>
      </c>
      <c r="Q680" t="str">
        <f>VLOOKUP(Продажи[[#This Row],[id клиента]],клиенты!$A$2:$G$435,7,0)</f>
        <v>Украина</v>
      </c>
      <c r="R680">
        <f>IF(COUNTIF($H$2:H680, H680)=1, 1, 0)</f>
        <v>0</v>
      </c>
      <c r="S680" t="str">
        <f>VLOOKUP(Продажи[[#This Row],[id клиента]],клиенты!$A$2:$D$435,4,0)</f>
        <v>нет</v>
      </c>
      <c r="T680" s="54">
        <f>VLOOKUP(Продажи[[#This Row],[id клиента]],клиенты!$A$2:$I$435,9,0)</f>
        <v>20.008213552361397</v>
      </c>
    </row>
    <row r="681" spans="1:20" x14ac:dyDescent="0.25">
      <c r="A681">
        <v>680</v>
      </c>
      <c r="B681">
        <v>55</v>
      </c>
      <c r="C681">
        <v>227</v>
      </c>
      <c r="D681">
        <v>4</v>
      </c>
      <c r="E681" s="35">
        <v>4540</v>
      </c>
      <c r="F681" s="48">
        <v>45338</v>
      </c>
      <c r="G681" t="s">
        <v>8</v>
      </c>
      <c r="H681">
        <v>70</v>
      </c>
      <c r="I681" t="str">
        <f>VLOOKUP(Продажи[[#This Row],[id товара]],Товары[],2,0)</f>
        <v>Крупа</v>
      </c>
      <c r="J681" s="17">
        <f>AVERAGEIF(Продажи[Категория],Продажи[[#This Row],[Категория]],Продажи[цена за шт в рублях])</f>
        <v>255.11627906976744</v>
      </c>
      <c r="K681" s="16">
        <f>Продажи[[#This Row],[цена за шт в рублях]]/Продажи[[#This Row],[Средняя цена в категории за шт]]-1</f>
        <v>-0.11020966271649957</v>
      </c>
      <c r="L681" t="str">
        <f>VLOOKUP(Продажи[[#This Row],[id товара]],Товары[],3,0)</f>
        <v>Националь</v>
      </c>
      <c r="M681" s="32">
        <f>AVERAGEIFS(Продажи[цена за шт в рублях],Продажи[Категория],Продажи[[#This Row],[Категория]],Продажи[Поставщик],Продажи[[#This Row],[Поставщик]])</f>
        <v>274.28571428571428</v>
      </c>
      <c r="N681" s="16">
        <f>Продажи[[#This Row],[цена за шт в рублях]]/Продажи[[#This Row],[Средняя цена в категории за шт по поставщику]]-1</f>
        <v>-0.1723958333333333</v>
      </c>
      <c r="O681" s="48">
        <f>VLOOKUP(Продажи[[#This Row],[id клиента]],клиенты!$A$2:$E$435,5,0)</f>
        <v>44591</v>
      </c>
      <c r="P681">
        <f>Продажи[[#This Row],[дата создания чека]]-Продажи[[#This Row],[Дата регистрации]]</f>
        <v>747</v>
      </c>
      <c r="Q681" t="str">
        <f>VLOOKUP(Продажи[[#This Row],[id клиента]],клиенты!$A$2:$G$435,7,0)</f>
        <v>Украина</v>
      </c>
      <c r="R681">
        <f>IF(COUNTIF($H$2:H681, H681)=1, 1, 0)</f>
        <v>0</v>
      </c>
      <c r="S681" t="str">
        <f>VLOOKUP(Продажи[[#This Row],[id клиента]],клиенты!$A$2:$D$435,4,0)</f>
        <v>да</v>
      </c>
      <c r="T681" s="54">
        <f>VLOOKUP(Продажи[[#This Row],[id клиента]],клиенты!$A$2:$I$435,9,0)</f>
        <v>26.151950718685832</v>
      </c>
    </row>
    <row r="682" spans="1:20" x14ac:dyDescent="0.25">
      <c r="A682">
        <v>681</v>
      </c>
      <c r="B682">
        <v>27</v>
      </c>
      <c r="C682">
        <v>415</v>
      </c>
      <c r="D682">
        <v>4</v>
      </c>
      <c r="E682" s="35">
        <v>8300</v>
      </c>
      <c r="F682" s="48">
        <v>45229</v>
      </c>
      <c r="G682" t="s">
        <v>25</v>
      </c>
      <c r="H682">
        <v>345</v>
      </c>
      <c r="I682" t="str">
        <f>VLOOKUP(Продажи[[#This Row],[id товара]],Товары[],2,0)</f>
        <v>Макароны</v>
      </c>
      <c r="J682" s="17">
        <f>AVERAGEIF(Продажи[Категория],Продажи[[#This Row],[Категория]],Продажи[цена за шт в рублях])</f>
        <v>265.47674418604652</v>
      </c>
      <c r="K682" s="16">
        <f>Продажи[[#This Row],[цена за шт в рублях]]/Продажи[[#This Row],[Средняя цена в категории за шт]]-1</f>
        <v>0.5632254390959659</v>
      </c>
      <c r="L682" t="str">
        <f>VLOOKUP(Продажи[[#This Row],[id товара]],Товары[],3,0)</f>
        <v>Паста Зара</v>
      </c>
      <c r="M682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82" s="16">
        <f>Продажи[[#This Row],[цена за шт в рублях]]/Продажи[[#This Row],[Средняя цена в категории за шт по поставщику]]-1</f>
        <v>0.49995115756569297</v>
      </c>
      <c r="O682" s="48">
        <f>VLOOKUP(Продажи[[#This Row],[id клиента]],клиенты!$A$2:$E$435,5,0)</f>
        <v>44705</v>
      </c>
      <c r="P682">
        <f>Продажи[[#This Row],[дата создания чека]]-Продажи[[#This Row],[Дата регистрации]]</f>
        <v>524</v>
      </c>
      <c r="Q682" t="str">
        <f>VLOOKUP(Продажи[[#This Row],[id клиента]],клиенты!$A$2:$G$435,7,0)</f>
        <v>Беларусь</v>
      </c>
      <c r="R682">
        <f>IF(COUNTIF($H$2:H682, H682)=1, 1, 0)</f>
        <v>0</v>
      </c>
      <c r="S682" t="str">
        <f>VLOOKUP(Продажи[[#This Row],[id клиента]],клиенты!$A$2:$D$435,4,0)</f>
        <v>да</v>
      </c>
      <c r="T682" s="54">
        <f>VLOOKUP(Продажи[[#This Row],[id клиента]],клиенты!$A$2:$I$435,9,0)</f>
        <v>17.215605749486652</v>
      </c>
    </row>
    <row r="683" spans="1:20" x14ac:dyDescent="0.25">
      <c r="A683">
        <v>682</v>
      </c>
      <c r="B683">
        <v>110</v>
      </c>
      <c r="C683">
        <v>84</v>
      </c>
      <c r="D683">
        <v>5</v>
      </c>
      <c r="E683" s="35">
        <v>2100</v>
      </c>
      <c r="F683" s="48">
        <v>45029</v>
      </c>
      <c r="G683" t="s">
        <v>13</v>
      </c>
      <c r="H683">
        <v>225</v>
      </c>
      <c r="I683" t="str">
        <f>VLOOKUP(Продажи[[#This Row],[id товара]],Товары[],2,0)</f>
        <v>Макароны</v>
      </c>
      <c r="J683" s="17">
        <f>AVERAGEIF(Продажи[Категория],Продажи[[#This Row],[Категория]],Продажи[цена за шт в рублях])</f>
        <v>265.47674418604652</v>
      </c>
      <c r="K683" s="16">
        <f>Продажи[[#This Row],[цена за шт в рублях]]/Продажи[[#This Row],[Средняя цена в категории за шт]]-1</f>
        <v>-0.68358810389382851</v>
      </c>
      <c r="L683" t="str">
        <f>VLOOKUP(Продажи[[#This Row],[id товара]],Товары[],3,0)</f>
        <v>Паста Зара</v>
      </c>
      <c r="M683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83" s="16">
        <f>Продажи[[#This Row],[цена за шт в рублях]]/Продажи[[#This Row],[Средняя цена в категории за шт по поставщику]]-1</f>
        <v>-0.69639542834814883</v>
      </c>
      <c r="O683" s="48">
        <f>VLOOKUP(Продажи[[#This Row],[id клиента]],клиенты!$A$2:$E$435,5,0)</f>
        <v>44827</v>
      </c>
      <c r="P683">
        <f>Продажи[[#This Row],[дата создания чека]]-Продажи[[#This Row],[Дата регистрации]]</f>
        <v>202</v>
      </c>
      <c r="Q683" t="str">
        <f>VLOOKUP(Продажи[[#This Row],[id клиента]],клиенты!$A$2:$G$435,7,0)</f>
        <v>Беларусь</v>
      </c>
      <c r="R683">
        <f>IF(COUNTIF($H$2:H683, H683)=1, 1, 0)</f>
        <v>0</v>
      </c>
      <c r="S683" t="str">
        <f>VLOOKUP(Продажи[[#This Row],[id клиента]],клиенты!$A$2:$D$435,4,0)</f>
        <v>да</v>
      </c>
      <c r="T683" s="54">
        <f>VLOOKUP(Продажи[[#This Row],[id клиента]],клиенты!$A$2:$I$435,9,0)</f>
        <v>19.482546201232033</v>
      </c>
    </row>
    <row r="684" spans="1:20" x14ac:dyDescent="0.25">
      <c r="A684">
        <v>683</v>
      </c>
      <c r="B684">
        <v>196</v>
      </c>
      <c r="C684">
        <v>196</v>
      </c>
      <c r="D684">
        <v>4</v>
      </c>
      <c r="E684" s="35">
        <v>3920</v>
      </c>
      <c r="F684" s="48">
        <v>44944</v>
      </c>
      <c r="G684" t="s">
        <v>21</v>
      </c>
      <c r="H684">
        <v>8</v>
      </c>
      <c r="I684" t="str">
        <f>VLOOKUP(Продажи[[#This Row],[id товара]],Товары[],2,0)</f>
        <v>Конфеты</v>
      </c>
      <c r="J684" s="17">
        <f>AVERAGEIF(Продажи[Категория],Продажи[[#This Row],[Категория]],Продажи[цена за шт в рублях])</f>
        <v>267.85483870967744</v>
      </c>
      <c r="K684" s="16">
        <f>Продажи[[#This Row],[цена за шт в рублях]]/Продажи[[#This Row],[Средняя цена в категории за шт]]-1</f>
        <v>-0.26826037213223342</v>
      </c>
      <c r="L684" t="str">
        <f>VLOOKUP(Продажи[[#This Row],[id товара]],Товары[],3,0)</f>
        <v>Рот Фронт</v>
      </c>
      <c r="M684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684" s="16">
        <f>Продажи[[#This Row],[цена за шт в рублях]]/Продажи[[#This Row],[Средняя цена в категории за шт по поставщику]]-1</f>
        <v>-0.32000660829340821</v>
      </c>
      <c r="O684" s="48">
        <f>VLOOKUP(Продажи[[#This Row],[id клиента]],клиенты!$A$2:$E$435,5,0)</f>
        <v>44883</v>
      </c>
      <c r="P684">
        <f>Продажи[[#This Row],[дата создания чека]]-Продажи[[#This Row],[Дата регистрации]]</f>
        <v>61</v>
      </c>
      <c r="Q684" t="str">
        <f>VLOOKUP(Продажи[[#This Row],[id клиента]],клиенты!$A$2:$G$435,7,0)</f>
        <v>Беларусь</v>
      </c>
      <c r="R684">
        <f>IF(COUNTIF($H$2:H684, H684)=1, 1, 0)</f>
        <v>1</v>
      </c>
      <c r="S684" t="str">
        <f>VLOOKUP(Продажи[[#This Row],[id клиента]],клиенты!$A$2:$D$435,4,0)</f>
        <v>да</v>
      </c>
      <c r="T684" s="54">
        <f>VLOOKUP(Продажи[[#This Row],[id клиента]],клиенты!$A$2:$I$435,9,0)</f>
        <v>14.685831622176591</v>
      </c>
    </row>
    <row r="685" spans="1:20" x14ac:dyDescent="0.25">
      <c r="A685">
        <v>684</v>
      </c>
      <c r="B685">
        <v>271</v>
      </c>
      <c r="C685">
        <v>123</v>
      </c>
      <c r="D685">
        <v>2</v>
      </c>
      <c r="E685" s="35">
        <v>1230</v>
      </c>
      <c r="F685" s="48">
        <v>45350</v>
      </c>
      <c r="G685" t="s">
        <v>11</v>
      </c>
      <c r="H685">
        <v>11</v>
      </c>
      <c r="I685" t="str">
        <f>VLOOKUP(Продажи[[#This Row],[id товара]],Товары[],2,0)</f>
        <v>Сыр</v>
      </c>
      <c r="J685" s="17">
        <f>AVERAGEIF(Продажи[Категория],Продажи[[#This Row],[Категория]],Продажи[цена за шт в рублях])</f>
        <v>262.63492063492066</v>
      </c>
      <c r="K685" s="16">
        <f>Продажи[[#This Row],[цена за шт в рублях]]/Продажи[[#This Row],[Средняя цена в категории за шт]]-1</f>
        <v>-0.53166928562794635</v>
      </c>
      <c r="L685" t="str">
        <f>VLOOKUP(Продажи[[#This Row],[id товара]],Товары[],3,0)</f>
        <v>Сырная долина</v>
      </c>
      <c r="M685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685" s="16">
        <f>Продажи[[#This Row],[цена за шт в рублях]]/Продажи[[#This Row],[Средняя цена в категории за шт по поставщику]]-1</f>
        <v>-0.54612546125461248</v>
      </c>
      <c r="O685" s="48">
        <f>VLOOKUP(Продажи[[#This Row],[id клиента]],клиенты!$A$2:$E$435,5,0)</f>
        <v>44690</v>
      </c>
      <c r="P685">
        <f>Продажи[[#This Row],[дата создания чека]]-Продажи[[#This Row],[Дата регистрации]]</f>
        <v>660</v>
      </c>
      <c r="Q685" t="str">
        <f>VLOOKUP(Продажи[[#This Row],[id клиента]],клиенты!$A$2:$G$435,7,0)</f>
        <v>Таджикистан</v>
      </c>
      <c r="R685">
        <f>IF(COUNTIF($H$2:H685, H685)=1, 1, 0)</f>
        <v>0</v>
      </c>
      <c r="S685" t="str">
        <f>VLOOKUP(Продажи[[#This Row],[id клиента]],клиенты!$A$2:$D$435,4,0)</f>
        <v>нет</v>
      </c>
      <c r="T685" s="54">
        <f>VLOOKUP(Продажи[[#This Row],[id клиента]],клиенты!$A$2:$I$435,9,0)</f>
        <v>22.04517453798768</v>
      </c>
    </row>
    <row r="686" spans="1:20" x14ac:dyDescent="0.25">
      <c r="A686">
        <v>685</v>
      </c>
      <c r="B686">
        <v>189</v>
      </c>
      <c r="C686">
        <v>356</v>
      </c>
      <c r="D686">
        <v>1</v>
      </c>
      <c r="E686" s="35">
        <v>1780</v>
      </c>
      <c r="F686" s="48">
        <v>45051</v>
      </c>
      <c r="G686" t="s">
        <v>24</v>
      </c>
      <c r="H686">
        <v>388</v>
      </c>
      <c r="I686" t="str">
        <f>VLOOKUP(Продажи[[#This Row],[id товара]],Товары[],2,0)</f>
        <v>Хлеб</v>
      </c>
      <c r="J686" s="17">
        <f>AVERAGEIF(Продажи[Категория],Продажи[[#This Row],[Категория]],Продажи[цена за шт в рублях])</f>
        <v>300.31818181818181</v>
      </c>
      <c r="K686" s="16">
        <f>Продажи[[#This Row],[цена за шт в рублях]]/Продажи[[#This Row],[Средняя цена в категории за шт]]-1</f>
        <v>0.18540941425760549</v>
      </c>
      <c r="L686" t="str">
        <f>VLOOKUP(Продажи[[#This Row],[id товара]],Товары[],3,0)</f>
        <v>Дарница</v>
      </c>
      <c r="M686" s="32">
        <f>AVERAGEIFS(Продажи[цена за шт в рублях],Продажи[Категория],Продажи[[#This Row],[Категория]],Продажи[Поставщик],Продажи[[#This Row],[Поставщик]])</f>
        <v>264</v>
      </c>
      <c r="N686" s="16">
        <f>Продажи[[#This Row],[цена за шт в рублях]]/Продажи[[#This Row],[Средняя цена в категории за шт по поставщику]]-1</f>
        <v>0.3484848484848484</v>
      </c>
      <c r="O686" s="48">
        <f>VLOOKUP(Продажи[[#This Row],[id клиента]],клиенты!$A$2:$E$435,5,0)</f>
        <v>44581</v>
      </c>
      <c r="P686">
        <f>Продажи[[#This Row],[дата создания чека]]-Продажи[[#This Row],[Дата регистрации]]</f>
        <v>470</v>
      </c>
      <c r="Q686" t="str">
        <f>VLOOKUP(Продажи[[#This Row],[id клиента]],клиенты!$A$2:$G$435,7,0)</f>
        <v>Россия</v>
      </c>
      <c r="R686">
        <f>IF(COUNTIF($H$2:H686, H686)=1, 1, 0)</f>
        <v>0</v>
      </c>
      <c r="S686" t="str">
        <f>VLOOKUP(Продажи[[#This Row],[id клиента]],клиенты!$A$2:$D$435,4,0)</f>
        <v>да</v>
      </c>
      <c r="T686" s="54">
        <f>VLOOKUP(Продажи[[#This Row],[id клиента]],клиенты!$A$2:$I$435,9,0)</f>
        <v>24.082135523613964</v>
      </c>
    </row>
    <row r="687" spans="1:20" x14ac:dyDescent="0.25">
      <c r="A687">
        <v>686</v>
      </c>
      <c r="B687">
        <v>372</v>
      </c>
      <c r="C687">
        <v>166</v>
      </c>
      <c r="D687">
        <v>5</v>
      </c>
      <c r="E687" s="35">
        <v>4150</v>
      </c>
      <c r="F687" s="48">
        <v>45431</v>
      </c>
      <c r="G687" t="s">
        <v>23</v>
      </c>
      <c r="H687">
        <v>40</v>
      </c>
      <c r="I687" t="str">
        <f>VLOOKUP(Продажи[[#This Row],[id товара]],Товары[],2,0)</f>
        <v>Кофе</v>
      </c>
      <c r="J687" s="17">
        <f>AVERAGEIF(Продажи[Категория],Продажи[[#This Row],[Категория]],Продажи[цена за шт в рублях])</f>
        <v>249.02380952380952</v>
      </c>
      <c r="K687" s="16">
        <f>Продажи[[#This Row],[цена за шт в рублях]]/Продажи[[#This Row],[Средняя цена в категории за шт]]-1</f>
        <v>-0.33339707429008503</v>
      </c>
      <c r="L687" t="str">
        <f>VLOOKUP(Продажи[[#This Row],[id товара]],Товары[],3,0)</f>
        <v>Черная Карта</v>
      </c>
      <c r="M687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687" s="16">
        <f>Продажи[[#This Row],[цена за шт в рублях]]/Продажи[[#This Row],[Средняя цена в категории за шт по поставщику]]-1</f>
        <v>-0.25292529252925289</v>
      </c>
      <c r="O687" s="48">
        <f>VLOOKUP(Продажи[[#This Row],[id клиента]],клиенты!$A$2:$E$435,5,0)</f>
        <v>44855</v>
      </c>
      <c r="P687">
        <f>Продажи[[#This Row],[дата создания чека]]-Продажи[[#This Row],[Дата регистрации]]</f>
        <v>576</v>
      </c>
      <c r="Q687" t="str">
        <f>VLOOKUP(Продажи[[#This Row],[id клиента]],клиенты!$A$2:$G$435,7,0)</f>
        <v>Россия</v>
      </c>
      <c r="R687">
        <f>IF(COUNTIF($H$2:H687, H687)=1, 1, 0)</f>
        <v>0</v>
      </c>
      <c r="S687" t="str">
        <f>VLOOKUP(Продажи[[#This Row],[id клиента]],клиенты!$A$2:$D$435,4,0)</f>
        <v>нет</v>
      </c>
      <c r="T687" s="54">
        <f>VLOOKUP(Продажи[[#This Row],[id клиента]],клиенты!$A$2:$I$435,9,0)</f>
        <v>18.924024640657084</v>
      </c>
    </row>
    <row r="688" spans="1:20" x14ac:dyDescent="0.25">
      <c r="A688">
        <v>687</v>
      </c>
      <c r="B688">
        <v>205</v>
      </c>
      <c r="C688">
        <v>156</v>
      </c>
      <c r="D688">
        <v>4</v>
      </c>
      <c r="E688" s="35">
        <v>3120</v>
      </c>
      <c r="F688" s="48">
        <v>45429</v>
      </c>
      <c r="G688" t="s">
        <v>12</v>
      </c>
      <c r="H688">
        <v>286</v>
      </c>
      <c r="I688" t="str">
        <f>VLOOKUP(Продажи[[#This Row],[id товара]],Товары[],2,0)</f>
        <v>Макароны</v>
      </c>
      <c r="J688" s="17">
        <f>AVERAGEIF(Продажи[Категория],Продажи[[#This Row],[Категория]],Продажи[цена за шт в рублях])</f>
        <v>265.47674418604652</v>
      </c>
      <c r="K688" s="16">
        <f>Продажи[[#This Row],[цена за шт в рублях]]/Продажи[[#This Row],[Средняя цена в категории за шт]]-1</f>
        <v>-0.41237790723139589</v>
      </c>
      <c r="L688" t="str">
        <f>VLOOKUP(Продажи[[#This Row],[id товара]],Товары[],3,0)</f>
        <v>Борилла</v>
      </c>
      <c r="M688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688" s="16">
        <f>Продажи[[#This Row],[цена за шт в рублях]]/Продажи[[#This Row],[Средняя цена в категории за шт по поставщику]]-1</f>
        <v>-0.33975481611208413</v>
      </c>
      <c r="O688" s="48">
        <f>VLOOKUP(Продажи[[#This Row],[id клиента]],клиенты!$A$2:$E$435,5,0)</f>
        <v>44563</v>
      </c>
      <c r="P688">
        <f>Продажи[[#This Row],[дата создания чека]]-Продажи[[#This Row],[Дата регистрации]]</f>
        <v>866</v>
      </c>
      <c r="Q688" t="str">
        <f>VLOOKUP(Продажи[[#This Row],[id клиента]],клиенты!$A$2:$G$435,7,0)</f>
        <v>Таджикистан</v>
      </c>
      <c r="R688">
        <f>IF(COUNTIF($H$2:H688, H688)=1, 1, 0)</f>
        <v>0</v>
      </c>
      <c r="S688" t="str">
        <f>VLOOKUP(Продажи[[#This Row],[id клиента]],клиенты!$A$2:$D$435,4,0)</f>
        <v>нет</v>
      </c>
      <c r="T688" s="54">
        <f>VLOOKUP(Продажи[[#This Row],[id клиента]],клиенты!$A$2:$I$435,9,0)</f>
        <v>28.451745379876797</v>
      </c>
    </row>
    <row r="689" spans="1:20" x14ac:dyDescent="0.25">
      <c r="A689">
        <v>688</v>
      </c>
      <c r="B689">
        <v>187</v>
      </c>
      <c r="C689">
        <v>496</v>
      </c>
      <c r="D689">
        <v>4</v>
      </c>
      <c r="E689" s="35">
        <v>9920</v>
      </c>
      <c r="F689" s="48">
        <v>45315</v>
      </c>
      <c r="G689" t="s">
        <v>10</v>
      </c>
      <c r="H689">
        <v>448</v>
      </c>
      <c r="I689" t="str">
        <f>VLOOKUP(Продажи[[#This Row],[id товара]],Товары[],2,0)</f>
        <v>Макароны</v>
      </c>
      <c r="J689" s="17">
        <f>AVERAGEIF(Продажи[Категория],Продажи[[#This Row],[Категория]],Продажи[цена за шт в рублях])</f>
        <v>265.47674418604652</v>
      </c>
      <c r="K689" s="16">
        <f>Продажи[[#This Row],[цена за шт в рублях]]/Продажи[[#This Row],[Средняя цена в категории за шт]]-1</f>
        <v>0.86833691034120264</v>
      </c>
      <c r="L689" t="str">
        <f>VLOOKUP(Продажи[[#This Row],[id товара]],Товары[],3,0)</f>
        <v>Паста Зара</v>
      </c>
      <c r="M689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689" s="16">
        <f>Продажи[[#This Row],[цена за шт в рублях]]/Продажи[[#This Row],[Средняя цена в категории за шт по поставщику]]-1</f>
        <v>0.79271270880140676</v>
      </c>
      <c r="O689" s="48">
        <f>VLOOKUP(Продажи[[#This Row],[id клиента]],клиенты!$A$2:$E$435,5,0)</f>
        <v>44770</v>
      </c>
      <c r="P689">
        <f>Продажи[[#This Row],[дата создания чека]]-Продажи[[#This Row],[Дата регистрации]]</f>
        <v>545</v>
      </c>
      <c r="Q689" t="str">
        <f>VLOOKUP(Продажи[[#This Row],[id клиента]],клиенты!$A$2:$G$435,7,0)</f>
        <v>Россия</v>
      </c>
      <c r="R689">
        <f>IF(COUNTIF($H$2:H689, H689)=1, 1, 0)</f>
        <v>0</v>
      </c>
      <c r="S689" t="str">
        <f>VLOOKUP(Продажи[[#This Row],[id клиента]],клиенты!$A$2:$D$435,4,0)</f>
        <v>нет</v>
      </c>
      <c r="T689" s="54">
        <f>VLOOKUP(Продажи[[#This Row],[id клиента]],клиенты!$A$2:$I$435,9,0)</f>
        <v>17.905544147843944</v>
      </c>
    </row>
    <row r="690" spans="1:20" x14ac:dyDescent="0.25">
      <c r="A690">
        <v>689</v>
      </c>
      <c r="B690">
        <v>194</v>
      </c>
      <c r="C690">
        <v>257</v>
      </c>
      <c r="D690">
        <v>5</v>
      </c>
      <c r="E690" s="35">
        <v>6425</v>
      </c>
      <c r="F690" s="48">
        <v>45122</v>
      </c>
      <c r="G690" t="s">
        <v>9</v>
      </c>
      <c r="H690">
        <v>291</v>
      </c>
      <c r="I690" t="str">
        <f>VLOOKUP(Продажи[[#This Row],[id товара]],Товары[],2,0)</f>
        <v>Соль</v>
      </c>
      <c r="J690" s="17">
        <f>AVERAGEIF(Продажи[Категория],Продажи[[#This Row],[Категория]],Продажи[цена за шт в рублях])</f>
        <v>264.8679245283019</v>
      </c>
      <c r="K690" s="16">
        <f>Продажи[[#This Row],[цена за шт в рублях]]/Продажи[[#This Row],[Средняя цена в категории за шт]]-1</f>
        <v>-2.9705086194614649E-2</v>
      </c>
      <c r="L690" t="str">
        <f>VLOOKUP(Продажи[[#This Row],[id товара]],Товары[],3,0)</f>
        <v>Салта</v>
      </c>
      <c r="M690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690" s="16">
        <f>Продажи[[#This Row],[цена за шт в рублях]]/Продажи[[#This Row],[Средняя цена в категории за шт по поставщику]]-1</f>
        <v>-6.101571063207889E-2</v>
      </c>
      <c r="O690" s="48">
        <f>VLOOKUP(Продажи[[#This Row],[id клиента]],клиенты!$A$2:$E$435,5,0)</f>
        <v>44710</v>
      </c>
      <c r="P690">
        <f>Продажи[[#This Row],[дата создания чека]]-Продажи[[#This Row],[Дата регистрации]]</f>
        <v>412</v>
      </c>
      <c r="Q690" t="str">
        <f>VLOOKUP(Продажи[[#This Row],[id клиента]],клиенты!$A$2:$G$435,7,0)</f>
        <v>Таджикистан</v>
      </c>
      <c r="R690">
        <f>IF(COUNTIF($H$2:H690, H690)=1, 1, 0)</f>
        <v>1</v>
      </c>
      <c r="S690" t="str">
        <f>VLOOKUP(Продажи[[#This Row],[id клиента]],клиенты!$A$2:$D$435,4,0)</f>
        <v>да</v>
      </c>
      <c r="T690" s="54">
        <f>VLOOKUP(Продажи[[#This Row],[id клиента]],клиенты!$A$2:$I$435,9,0)</f>
        <v>13.535934291581109</v>
      </c>
    </row>
    <row r="691" spans="1:20" x14ac:dyDescent="0.25">
      <c r="A691">
        <v>690</v>
      </c>
      <c r="B691">
        <v>51</v>
      </c>
      <c r="C691">
        <v>476</v>
      </c>
      <c r="D691">
        <v>2</v>
      </c>
      <c r="E691" s="35">
        <v>4760</v>
      </c>
      <c r="F691" s="48">
        <v>45020</v>
      </c>
      <c r="G691" t="s">
        <v>26</v>
      </c>
      <c r="H691">
        <v>480</v>
      </c>
      <c r="I691" t="str">
        <f>VLOOKUP(Продажи[[#This Row],[id товара]],Товары[],2,0)</f>
        <v>Колбаса</v>
      </c>
      <c r="J691" s="17">
        <f>AVERAGEIF(Продажи[Категория],Продажи[[#This Row],[Категория]],Продажи[цена за шт в рублях])</f>
        <v>286.92307692307691</v>
      </c>
      <c r="K691" s="16">
        <f>Продажи[[#This Row],[цена за шт в рублях]]/Продажи[[#This Row],[Средняя цена в категории за шт]]-1</f>
        <v>0.65898123324396796</v>
      </c>
      <c r="L691" t="str">
        <f>VLOOKUP(Продажи[[#This Row],[id товара]],Товары[],3,0)</f>
        <v>Дымов</v>
      </c>
      <c r="M691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691" s="16">
        <f>Продажи[[#This Row],[цена за шт в рублях]]/Продажи[[#This Row],[Средняя цена в категории за шт по поставщику]]-1</f>
        <v>0.52238805970149249</v>
      </c>
      <c r="O691" s="48">
        <f>VLOOKUP(Продажи[[#This Row],[id клиента]],клиенты!$A$2:$E$435,5,0)</f>
        <v>44568</v>
      </c>
      <c r="P691">
        <f>Продажи[[#This Row],[дата создания чека]]-Продажи[[#This Row],[Дата регистрации]]</f>
        <v>452</v>
      </c>
      <c r="Q691" t="str">
        <f>VLOOKUP(Продажи[[#This Row],[id клиента]],клиенты!$A$2:$G$435,7,0)</f>
        <v>Узбекистан</v>
      </c>
      <c r="R691">
        <f>IF(COUNTIF($H$2:H691, H691)=1, 1, 0)</f>
        <v>0</v>
      </c>
      <c r="S691" t="str">
        <f>VLOOKUP(Продажи[[#This Row],[id клиента]],клиенты!$A$2:$D$435,4,0)</f>
        <v>да</v>
      </c>
      <c r="T691" s="54">
        <f>VLOOKUP(Продажи[[#This Row],[id клиента]],клиенты!$A$2:$I$435,9,0)</f>
        <v>27.860369609856264</v>
      </c>
    </row>
    <row r="692" spans="1:20" x14ac:dyDescent="0.25">
      <c r="A692">
        <v>691</v>
      </c>
      <c r="B692">
        <v>80</v>
      </c>
      <c r="C692">
        <v>232</v>
      </c>
      <c r="D692">
        <v>2</v>
      </c>
      <c r="E692" s="35">
        <v>2320</v>
      </c>
      <c r="F692" s="48">
        <v>45116</v>
      </c>
      <c r="G692" t="s">
        <v>16</v>
      </c>
      <c r="H692">
        <v>418</v>
      </c>
      <c r="I692" t="str">
        <f>VLOOKUP(Продажи[[#This Row],[id товара]],Товары[],2,0)</f>
        <v>Конфеты</v>
      </c>
      <c r="J692" s="17">
        <f>AVERAGEIF(Продажи[Категория],Продажи[[#This Row],[Категория]],Продажи[цена за шт в рублях])</f>
        <v>267.85483870967744</v>
      </c>
      <c r="K692" s="16">
        <f>Продажи[[#This Row],[цена за шт в рублях]]/Продажи[[#This Row],[Средняя цена в категории за шт]]-1</f>
        <v>-0.1338592159932559</v>
      </c>
      <c r="L692" t="str">
        <f>VLOOKUP(Продажи[[#This Row],[id товара]],Товары[],3,0)</f>
        <v>Красный Октябрь</v>
      </c>
      <c r="M692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692" s="16">
        <f>Продажи[[#This Row],[цена за шт в рублях]]/Продажи[[#This Row],[Средняя цена в категории за шт по поставщику]]-1</f>
        <v>-0.15212425765189586</v>
      </c>
      <c r="O692" s="48">
        <f>VLOOKUP(Продажи[[#This Row],[id клиента]],клиенты!$A$2:$E$435,5,0)</f>
        <v>44700</v>
      </c>
      <c r="P692">
        <f>Продажи[[#This Row],[дата создания чека]]-Продажи[[#This Row],[Дата регистрации]]</f>
        <v>416</v>
      </c>
      <c r="Q692" t="str">
        <f>VLOOKUP(Продажи[[#This Row],[id клиента]],клиенты!$A$2:$G$435,7,0)</f>
        <v>Беларусь</v>
      </c>
      <c r="R692">
        <f>IF(COUNTIF($H$2:H692, H692)=1, 1, 0)</f>
        <v>1</v>
      </c>
      <c r="S692" t="str">
        <f>VLOOKUP(Продажи[[#This Row],[id клиента]],клиенты!$A$2:$D$435,4,0)</f>
        <v>да</v>
      </c>
      <c r="T692" s="54">
        <f>VLOOKUP(Продажи[[#This Row],[id клиента]],клиенты!$A$2:$I$435,9,0)</f>
        <v>19.843942505133469</v>
      </c>
    </row>
    <row r="693" spans="1:20" x14ac:dyDescent="0.25">
      <c r="A693">
        <v>692</v>
      </c>
      <c r="B693">
        <v>474</v>
      </c>
      <c r="C693">
        <v>252</v>
      </c>
      <c r="D693">
        <v>3</v>
      </c>
      <c r="E693" s="35">
        <v>3780</v>
      </c>
      <c r="F693" s="48">
        <v>45425</v>
      </c>
      <c r="G693" t="s">
        <v>13</v>
      </c>
      <c r="H693">
        <v>470</v>
      </c>
      <c r="I693" t="str">
        <f>VLOOKUP(Продажи[[#This Row],[id товара]],Товары[],2,0)</f>
        <v>Молоко</v>
      </c>
      <c r="J693" s="17">
        <f>AVERAGEIF(Продажи[Категория],Продажи[[#This Row],[Категория]],Продажи[цена за шт в рублях])</f>
        <v>294.95238095238096</v>
      </c>
      <c r="K693" s="16">
        <f>Продажи[[#This Row],[цена за шт в рублях]]/Продажи[[#This Row],[Средняя цена в категории за шт]]-1</f>
        <v>-0.14562479819179852</v>
      </c>
      <c r="L693" t="str">
        <f>VLOOKUP(Продажи[[#This Row],[id товара]],Товары[],3,0)</f>
        <v>Простоквашино</v>
      </c>
      <c r="M693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693" s="16">
        <f>Продажи[[#This Row],[цена за шт в рублях]]/Продажи[[#This Row],[Средняя цена в категории за шт по поставщику]]-1</f>
        <v>-0.20958083832335328</v>
      </c>
      <c r="O693" s="48">
        <f>VLOOKUP(Продажи[[#This Row],[id клиента]],клиенты!$A$2:$E$435,5,0)</f>
        <v>44690</v>
      </c>
      <c r="P693">
        <f>Продажи[[#This Row],[дата создания чека]]-Продажи[[#This Row],[Дата регистрации]]</f>
        <v>735</v>
      </c>
      <c r="Q693" t="str">
        <f>VLOOKUP(Продажи[[#This Row],[id клиента]],клиенты!$A$2:$G$435,7,0)</f>
        <v>Таджикистан</v>
      </c>
      <c r="R693">
        <f>IF(COUNTIF($H$2:H693, H693)=1, 1, 0)</f>
        <v>1</v>
      </c>
      <c r="S693" t="str">
        <f>VLOOKUP(Продажи[[#This Row],[id клиента]],клиенты!$A$2:$D$435,4,0)</f>
        <v>да</v>
      </c>
      <c r="T693" s="54">
        <f>VLOOKUP(Продажи[[#This Row],[id клиента]],клиенты!$A$2:$I$435,9,0)</f>
        <v>24.147843942505133</v>
      </c>
    </row>
    <row r="694" spans="1:20" x14ac:dyDescent="0.25">
      <c r="A694">
        <v>693</v>
      </c>
      <c r="B694">
        <v>215</v>
      </c>
      <c r="C694">
        <v>485</v>
      </c>
      <c r="D694">
        <v>4</v>
      </c>
      <c r="E694" s="35">
        <v>9700</v>
      </c>
      <c r="F694" s="48">
        <v>44959</v>
      </c>
      <c r="G694" t="s">
        <v>9</v>
      </c>
      <c r="H694">
        <v>318</v>
      </c>
      <c r="I694" t="str">
        <f>VLOOKUP(Продажи[[#This Row],[id товара]],Товары[],2,0)</f>
        <v>Сок</v>
      </c>
      <c r="J694" s="17">
        <f>AVERAGEIF(Продажи[Категория],Продажи[[#This Row],[Категория]],Продажи[цена за шт в рублях])</f>
        <v>268.60344827586209</v>
      </c>
      <c r="K694" s="16">
        <f>Продажи[[#This Row],[цена за шт в рублях]]/Продажи[[#This Row],[Средняя цена в категории за шт]]-1</f>
        <v>0.80563579177097355</v>
      </c>
      <c r="L694" t="str">
        <f>VLOOKUP(Продажи[[#This Row],[id товара]],Товары[],3,0)</f>
        <v>Фруктовый сад</v>
      </c>
      <c r="M694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694" s="16">
        <f>Продажи[[#This Row],[цена за шт в рублях]]/Продажи[[#This Row],[Средняя цена в категории за шт по поставщику]]-1</f>
        <v>0.72004876426909004</v>
      </c>
      <c r="O694" s="48">
        <f>VLOOKUP(Продажи[[#This Row],[id клиента]],клиенты!$A$2:$E$435,5,0)</f>
        <v>44892</v>
      </c>
      <c r="P694">
        <f>Продажи[[#This Row],[дата создания чека]]-Продажи[[#This Row],[Дата регистрации]]</f>
        <v>67</v>
      </c>
      <c r="Q694" t="str">
        <f>VLOOKUP(Продажи[[#This Row],[id клиента]],клиенты!$A$2:$G$435,7,0)</f>
        <v>Узбекистан</v>
      </c>
      <c r="R694">
        <f>IF(COUNTIF($H$2:H694, H694)=1, 1, 0)</f>
        <v>0</v>
      </c>
      <c r="S694" t="str">
        <f>VLOOKUP(Продажи[[#This Row],[id клиента]],клиенты!$A$2:$D$435,4,0)</f>
        <v>да</v>
      </c>
      <c r="T694" s="54">
        <f>VLOOKUP(Продажи[[#This Row],[id клиента]],клиенты!$A$2:$I$435,9,0)</f>
        <v>3.3182751540041067</v>
      </c>
    </row>
    <row r="695" spans="1:20" x14ac:dyDescent="0.25">
      <c r="A695">
        <v>694</v>
      </c>
      <c r="B695">
        <v>36</v>
      </c>
      <c r="C695">
        <v>150</v>
      </c>
      <c r="D695">
        <v>2</v>
      </c>
      <c r="E695" s="35">
        <v>1500</v>
      </c>
      <c r="F695" s="48">
        <v>45157</v>
      </c>
      <c r="G695" t="s">
        <v>20</v>
      </c>
      <c r="H695">
        <v>283</v>
      </c>
      <c r="I695" t="str">
        <f>VLOOKUP(Продажи[[#This Row],[id товара]],Товары[],2,0)</f>
        <v>Макароны</v>
      </c>
      <c r="J695" s="17">
        <f>AVERAGEIF(Продажи[Категория],Продажи[[#This Row],[Категория]],Продажи[цена за шт в рублях])</f>
        <v>265.47674418604652</v>
      </c>
      <c r="K695" s="16">
        <f>Продажи[[#This Row],[цена за шт в рублях]]/Продажи[[#This Row],[Средняя цена в категории за шт]]-1</f>
        <v>-0.43497875695326527</v>
      </c>
      <c r="L695" t="str">
        <f>VLOOKUP(Продажи[[#This Row],[id товара]],Товары[],3,0)</f>
        <v>Роллтон</v>
      </c>
      <c r="M695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695" s="16">
        <f>Продажи[[#This Row],[цена за шт в рублях]]/Продажи[[#This Row],[Средняя цена в категории за шт по поставщику]]-1</f>
        <v>-0.3632075471698113</v>
      </c>
      <c r="O695" s="48">
        <f>VLOOKUP(Продажи[[#This Row],[id клиента]],клиенты!$A$2:$E$435,5,0)</f>
        <v>44889</v>
      </c>
      <c r="P695">
        <f>Продажи[[#This Row],[дата создания чека]]-Продажи[[#This Row],[Дата регистрации]]</f>
        <v>268</v>
      </c>
      <c r="Q695" t="str">
        <f>VLOOKUP(Продажи[[#This Row],[id клиента]],клиенты!$A$2:$G$435,7,0)</f>
        <v>Таджикистан</v>
      </c>
      <c r="R695">
        <f>IF(COUNTIF($H$2:H695, H695)=1, 1, 0)</f>
        <v>0</v>
      </c>
      <c r="S695" t="str">
        <f>VLOOKUP(Продажи[[#This Row],[id клиента]],клиенты!$A$2:$D$435,4,0)</f>
        <v>нет</v>
      </c>
      <c r="T695" s="54">
        <f>VLOOKUP(Продажи[[#This Row],[id клиента]],клиенты!$A$2:$I$435,9,0)</f>
        <v>15.737166324435318</v>
      </c>
    </row>
    <row r="696" spans="1:20" x14ac:dyDescent="0.25">
      <c r="A696">
        <v>695</v>
      </c>
      <c r="B696">
        <v>400</v>
      </c>
      <c r="C696">
        <v>474</v>
      </c>
      <c r="D696">
        <v>4</v>
      </c>
      <c r="E696" s="35">
        <v>9480</v>
      </c>
      <c r="F696" s="48">
        <v>44992</v>
      </c>
      <c r="G696" t="s">
        <v>17</v>
      </c>
      <c r="H696">
        <v>191</v>
      </c>
      <c r="I696" t="str">
        <f>VLOOKUP(Продажи[[#This Row],[id товара]],Товары[],2,0)</f>
        <v>Молоко</v>
      </c>
      <c r="J696" s="17">
        <f>AVERAGEIF(Продажи[Категория],Продажи[[#This Row],[Категория]],Продажи[цена за шт в рублях])</f>
        <v>294.95238095238096</v>
      </c>
      <c r="K696" s="16">
        <f>Продажи[[#This Row],[цена за шт в рублях]]/Продажи[[#This Row],[Средняя цена в категории за шт]]-1</f>
        <v>0.60703907006780744</v>
      </c>
      <c r="L696" t="str">
        <f>VLOOKUP(Продажи[[#This Row],[id товара]],Товары[],3,0)</f>
        <v>Беллакт</v>
      </c>
      <c r="M696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696" s="16">
        <f>Продажи[[#This Row],[цена за шт в рублях]]/Продажи[[#This Row],[Средняя цена в категории за шт по поставщику]]-1</f>
        <v>0.46956031567080037</v>
      </c>
      <c r="O696" s="48">
        <f>VLOOKUP(Продажи[[#This Row],[id клиента]],клиенты!$A$2:$E$435,5,0)</f>
        <v>44866</v>
      </c>
      <c r="P696">
        <f>Продажи[[#This Row],[дата создания чека]]-Продажи[[#This Row],[Дата регистрации]]</f>
        <v>126</v>
      </c>
      <c r="Q696" t="str">
        <f>VLOOKUP(Продажи[[#This Row],[id клиента]],клиенты!$A$2:$G$435,7,0)</f>
        <v>Украина</v>
      </c>
      <c r="R696">
        <f>IF(COUNTIF($H$2:H696, H696)=1, 1, 0)</f>
        <v>0</v>
      </c>
      <c r="S696" t="str">
        <f>VLOOKUP(Продажи[[#This Row],[id клиента]],клиенты!$A$2:$D$435,4,0)</f>
        <v>да</v>
      </c>
      <c r="T696" s="54">
        <f>VLOOKUP(Продажи[[#This Row],[id клиента]],клиенты!$A$2:$I$435,9,0)</f>
        <v>16.755646817248461</v>
      </c>
    </row>
    <row r="697" spans="1:20" x14ac:dyDescent="0.25">
      <c r="A697">
        <v>696</v>
      </c>
      <c r="B697">
        <v>80</v>
      </c>
      <c r="C697">
        <v>135</v>
      </c>
      <c r="D697">
        <v>2</v>
      </c>
      <c r="E697" s="35">
        <v>1350</v>
      </c>
      <c r="F697" s="48">
        <v>45296</v>
      </c>
      <c r="G697" t="s">
        <v>17</v>
      </c>
      <c r="H697">
        <v>123</v>
      </c>
      <c r="I697" t="str">
        <f>VLOOKUP(Продажи[[#This Row],[id товара]],Товары[],2,0)</f>
        <v>Конфеты</v>
      </c>
      <c r="J697" s="17">
        <f>AVERAGEIF(Продажи[Категория],Продажи[[#This Row],[Категория]],Продажи[цена за шт в рублях])</f>
        <v>267.85483870967744</v>
      </c>
      <c r="K697" s="16">
        <f>Продажи[[#This Row],[цена за шт в рублях]]/Продажи[[#This Row],[Средняя цена в категории за шт]]-1</f>
        <v>-0.49599566447883425</v>
      </c>
      <c r="L697" t="str">
        <f>VLOOKUP(Продажи[[#This Row],[id товара]],Товары[],3,0)</f>
        <v>Красный Октябрь</v>
      </c>
      <c r="M697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697" s="16">
        <f>Продажи[[#This Row],[цена за шт в рублях]]/Продажи[[#This Row],[Средняя цена в категории за шт по поставщику]]-1</f>
        <v>-0.50662402923709449</v>
      </c>
      <c r="O697" s="48">
        <f>VLOOKUP(Продажи[[#This Row],[id клиента]],клиенты!$A$2:$E$435,5,0)</f>
        <v>44600</v>
      </c>
      <c r="P697">
        <f>Продажи[[#This Row],[дата создания чека]]-Продажи[[#This Row],[Дата регистрации]]</f>
        <v>696</v>
      </c>
      <c r="Q697" t="str">
        <f>VLOOKUP(Продажи[[#This Row],[id клиента]],клиенты!$A$2:$G$435,7,0)</f>
        <v>Россия</v>
      </c>
      <c r="R697">
        <f>IF(COUNTIF($H$2:H697, H697)=1, 1, 0)</f>
        <v>1</v>
      </c>
      <c r="S697" t="str">
        <f>VLOOKUP(Продажи[[#This Row],[id клиента]],клиенты!$A$2:$D$435,4,0)</f>
        <v>нет</v>
      </c>
      <c r="T697" s="54">
        <f>VLOOKUP(Продажи[[#This Row],[id клиента]],клиенты!$A$2:$I$435,9,0)</f>
        <v>22.866529774127311</v>
      </c>
    </row>
    <row r="698" spans="1:20" x14ac:dyDescent="0.25">
      <c r="A698">
        <v>697</v>
      </c>
      <c r="B698">
        <v>413</v>
      </c>
      <c r="C698">
        <v>178</v>
      </c>
      <c r="D698">
        <v>5</v>
      </c>
      <c r="E698" s="35">
        <v>4450</v>
      </c>
      <c r="F698" s="48">
        <v>45095</v>
      </c>
      <c r="G698" t="s">
        <v>10</v>
      </c>
      <c r="H698">
        <v>380</v>
      </c>
      <c r="I698" t="str">
        <f>VLOOKUP(Продажи[[#This Row],[id товара]],Товары[],2,0)</f>
        <v>Кофе</v>
      </c>
      <c r="J698" s="17">
        <f>AVERAGEIF(Продажи[Категория],Продажи[[#This Row],[Категория]],Продажи[цена за шт в рублях])</f>
        <v>249.02380952380952</v>
      </c>
      <c r="K698" s="16">
        <f>Продажи[[#This Row],[цена за шт в рублях]]/Продажи[[#This Row],[Средняя цена в категории за шт]]-1</f>
        <v>-0.28520891098575385</v>
      </c>
      <c r="L698" t="str">
        <f>VLOOKUP(Продажи[[#This Row],[id товара]],Товары[],3,0)</f>
        <v>Jacobs</v>
      </c>
      <c r="M698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698" s="16">
        <f>Продажи[[#This Row],[цена за шт в рублях]]/Продажи[[#This Row],[Средняя цена в категории за шт по поставщику]]-1</f>
        <v>-0.35556402439024393</v>
      </c>
      <c r="O698" s="48">
        <f>VLOOKUP(Продажи[[#This Row],[id клиента]],клиенты!$A$2:$E$435,5,0)</f>
        <v>44563</v>
      </c>
      <c r="P698">
        <f>Продажи[[#This Row],[дата создания чека]]-Продажи[[#This Row],[Дата регистрации]]</f>
        <v>532</v>
      </c>
      <c r="Q698" t="str">
        <f>VLOOKUP(Продажи[[#This Row],[id клиента]],клиенты!$A$2:$G$435,7,0)</f>
        <v>Россия</v>
      </c>
      <c r="R698">
        <f>IF(COUNTIF($H$2:H698, H698)=1, 1, 0)</f>
        <v>0</v>
      </c>
      <c r="S698" t="str">
        <f>VLOOKUP(Продажи[[#This Row],[id клиента]],клиенты!$A$2:$D$435,4,0)</f>
        <v>да</v>
      </c>
      <c r="T698" s="54">
        <f>VLOOKUP(Продажи[[#This Row],[id клиента]],клиенты!$A$2:$I$435,9,0)</f>
        <v>25.82340862422998</v>
      </c>
    </row>
    <row r="699" spans="1:20" x14ac:dyDescent="0.25">
      <c r="A699">
        <v>698</v>
      </c>
      <c r="B699">
        <v>10</v>
      </c>
      <c r="C699">
        <v>112</v>
      </c>
      <c r="D699">
        <v>3</v>
      </c>
      <c r="E699" s="35">
        <v>1680</v>
      </c>
      <c r="F699" s="48">
        <v>45350</v>
      </c>
      <c r="G699" t="s">
        <v>10</v>
      </c>
      <c r="H699">
        <v>442</v>
      </c>
      <c r="I699" t="str">
        <f>VLOOKUP(Продажи[[#This Row],[id товара]],Товары[],2,0)</f>
        <v>Сок</v>
      </c>
      <c r="J699" s="17">
        <f>AVERAGEIF(Продажи[Категория],Продажи[[#This Row],[Категория]],Продажи[цена за шт в рублях])</f>
        <v>268.60344827586209</v>
      </c>
      <c r="K699" s="16">
        <f>Продажи[[#This Row],[цена за шт в рублях]]/Продажи[[#This Row],[Средняя цена в категории за шт]]-1</f>
        <v>-0.58302843571474416</v>
      </c>
      <c r="L699" t="str">
        <f>VLOOKUP(Продажи[[#This Row],[id товара]],Товары[],3,0)</f>
        <v>Фруктовый сад</v>
      </c>
      <c r="M699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699" s="16">
        <f>Продажи[[#This Row],[цена за шт в рублях]]/Продажи[[#This Row],[Средняя цена в категории за шт по поставщику]]-1</f>
        <v>-0.60279286268425136</v>
      </c>
      <c r="O699" s="48">
        <f>VLOOKUP(Продажи[[#This Row],[id клиента]],клиенты!$A$2:$E$435,5,0)</f>
        <v>44746</v>
      </c>
      <c r="P699">
        <f>Продажи[[#This Row],[дата создания чека]]-Продажи[[#This Row],[Дата регистрации]]</f>
        <v>604</v>
      </c>
      <c r="Q699" t="str">
        <f>VLOOKUP(Продажи[[#This Row],[id клиента]],клиенты!$A$2:$G$435,7,0)</f>
        <v>Таджикистан</v>
      </c>
      <c r="R699">
        <f>IF(COUNTIF($H$2:H699, H699)=1, 1, 0)</f>
        <v>1</v>
      </c>
      <c r="S699" t="str">
        <f>VLOOKUP(Продажи[[#This Row],[id клиента]],клиенты!$A$2:$D$435,4,0)</f>
        <v>нет</v>
      </c>
      <c r="T699" s="54">
        <f>VLOOKUP(Продажи[[#This Row],[id клиента]],клиенты!$A$2:$I$435,9,0)</f>
        <v>19.843942505133469</v>
      </c>
    </row>
    <row r="700" spans="1:20" x14ac:dyDescent="0.25">
      <c r="A700">
        <v>699</v>
      </c>
      <c r="B700">
        <v>14</v>
      </c>
      <c r="C700">
        <v>338</v>
      </c>
      <c r="D700">
        <v>4</v>
      </c>
      <c r="E700" s="35">
        <v>6760</v>
      </c>
      <c r="F700" s="48">
        <v>44964</v>
      </c>
      <c r="G700" t="s">
        <v>13</v>
      </c>
      <c r="H700">
        <v>218</v>
      </c>
      <c r="I700" t="str">
        <f>VLOOKUP(Продажи[[#This Row],[id товара]],Товары[],2,0)</f>
        <v>Сок</v>
      </c>
      <c r="J700" s="17">
        <f>AVERAGEIF(Продажи[Категория],Продажи[[#This Row],[Категория]],Продажи[цена за шт в рублях])</f>
        <v>268.60344827586209</v>
      </c>
      <c r="K700" s="16">
        <f>Продажи[[#This Row],[цена за шт в рублях]]/Продажи[[#This Row],[Средняя цена в категории за шт]]-1</f>
        <v>0.25836061364657548</v>
      </c>
      <c r="L700" t="str">
        <f>VLOOKUP(Продажи[[#This Row],[id товара]],Товары[],3,0)</f>
        <v>Rich</v>
      </c>
      <c r="M700" s="32">
        <f>AVERAGEIFS(Продажи[цена за шт в рублях],Продажи[Категория],Продажи[[#This Row],[Категория]],Продажи[Поставщик],Продажи[[#This Row],[Поставщик]])</f>
        <v>272.25</v>
      </c>
      <c r="N700" s="16">
        <f>Продажи[[#This Row],[цена за шт в рублях]]/Продажи[[#This Row],[Средняя цена в категории за шт по поставщику]]-1</f>
        <v>0.24150596877869601</v>
      </c>
      <c r="O700" s="48">
        <f>VLOOKUP(Продажи[[#This Row],[id клиента]],клиенты!$A$2:$E$435,5,0)</f>
        <v>44721</v>
      </c>
      <c r="P700">
        <f>Продажи[[#This Row],[дата создания чека]]-Продажи[[#This Row],[Дата регистрации]]</f>
        <v>243</v>
      </c>
      <c r="Q700" t="str">
        <f>VLOOKUP(Продажи[[#This Row],[id клиента]],клиенты!$A$2:$G$435,7,0)</f>
        <v>Узбекистан</v>
      </c>
      <c r="R700">
        <f>IF(COUNTIF($H$2:H700, H700)=1, 1, 0)</f>
        <v>1</v>
      </c>
      <c r="S700" t="str">
        <f>VLOOKUP(Продажи[[#This Row],[id клиента]],клиенты!$A$2:$D$435,4,0)</f>
        <v>нет</v>
      </c>
      <c r="T700" s="54">
        <f>VLOOKUP(Продажи[[#This Row],[id клиента]],клиенты!$A$2:$I$435,9,0)</f>
        <v>14.390143737166325</v>
      </c>
    </row>
    <row r="701" spans="1:20" x14ac:dyDescent="0.25">
      <c r="A701">
        <v>700</v>
      </c>
      <c r="B701">
        <v>423</v>
      </c>
      <c r="C701">
        <v>277</v>
      </c>
      <c r="D701">
        <v>5</v>
      </c>
      <c r="E701" s="35">
        <v>6925</v>
      </c>
      <c r="F701" s="48">
        <v>45143</v>
      </c>
      <c r="G701" t="s">
        <v>12</v>
      </c>
      <c r="H701">
        <v>331</v>
      </c>
      <c r="I701" t="str">
        <f>VLOOKUP(Продажи[[#This Row],[id товара]],Товары[],2,0)</f>
        <v>Чипсы</v>
      </c>
      <c r="J701" s="17">
        <f>AVERAGEIF(Продажи[Категория],Продажи[[#This Row],[Категория]],Продажи[цена за шт в рублях])</f>
        <v>273.72549019607845</v>
      </c>
      <c r="K701" s="16">
        <f>Продажи[[#This Row],[цена за шт в рублях]]/Продажи[[#This Row],[Средняя цена в категории за шт]]-1</f>
        <v>1.1962750716332238E-2</v>
      </c>
      <c r="L701" t="str">
        <f>VLOOKUP(Продажи[[#This Row],[id товара]],Товары[],3,0)</f>
        <v>Pringles</v>
      </c>
      <c r="M701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701" s="16">
        <f>Продажи[[#This Row],[цена за шт в рублях]]/Продажи[[#This Row],[Средняя цена в категории за шт по поставщику]]-1</f>
        <v>-1.1554800339847127E-2</v>
      </c>
      <c r="O701" s="48">
        <f>VLOOKUP(Продажи[[#This Row],[id клиента]],клиенты!$A$2:$E$435,5,0)</f>
        <v>44813</v>
      </c>
      <c r="P701">
        <f>Продажи[[#This Row],[дата создания чека]]-Продажи[[#This Row],[Дата регистрации]]</f>
        <v>330</v>
      </c>
      <c r="Q701" t="str">
        <f>VLOOKUP(Продажи[[#This Row],[id клиента]],клиенты!$A$2:$G$435,7,0)</f>
        <v>Узбекистан</v>
      </c>
      <c r="R701">
        <f>IF(COUNTIF($H$2:H701, H701)=1, 1, 0)</f>
        <v>1</v>
      </c>
      <c r="S701" t="str">
        <f>VLOOKUP(Продажи[[#This Row],[id клиента]],клиенты!$A$2:$D$435,4,0)</f>
        <v>нет</v>
      </c>
      <c r="T701" s="54">
        <f>VLOOKUP(Продажи[[#This Row],[id клиента]],клиенты!$A$2:$I$435,9,0)</f>
        <v>11.564681724845997</v>
      </c>
    </row>
    <row r="702" spans="1:20" x14ac:dyDescent="0.25">
      <c r="A702">
        <v>701</v>
      </c>
      <c r="B702">
        <v>138</v>
      </c>
      <c r="C702">
        <v>427</v>
      </c>
      <c r="D702">
        <v>5</v>
      </c>
      <c r="E702" s="35">
        <v>10675</v>
      </c>
      <c r="F702" s="48">
        <v>45145</v>
      </c>
      <c r="G702" t="s">
        <v>12</v>
      </c>
      <c r="H702">
        <v>196</v>
      </c>
      <c r="I702" t="str">
        <f>VLOOKUP(Продажи[[#This Row],[id товара]],Товары[],2,0)</f>
        <v>Сыр</v>
      </c>
      <c r="J702" s="17">
        <f>AVERAGEIF(Продажи[Категория],Продажи[[#This Row],[Категория]],Продажи[цена за шт в рублях])</f>
        <v>262.63492063492066</v>
      </c>
      <c r="K702" s="16">
        <f>Продажи[[#This Row],[цена за шт в рублях]]/Продажи[[#This Row],[Средняя цена в категории за шт]]-1</f>
        <v>0.62583101655989348</v>
      </c>
      <c r="L702" t="str">
        <f>VLOOKUP(Продажи[[#This Row],[id товара]],Товары[],3,0)</f>
        <v>Сырная долина</v>
      </c>
      <c r="M702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702" s="16">
        <f>Продажи[[#This Row],[цена за шт в рублях]]/Продажи[[#This Row],[Средняя цена в категории за шт по поставщику]]-1</f>
        <v>0.57564575645756455</v>
      </c>
      <c r="O702" s="48">
        <f>VLOOKUP(Продажи[[#This Row],[id клиента]],клиенты!$A$2:$E$435,5,0)</f>
        <v>44835</v>
      </c>
      <c r="P702">
        <f>Продажи[[#This Row],[дата создания чека]]-Продажи[[#This Row],[Дата регистрации]]</f>
        <v>310</v>
      </c>
      <c r="Q702" t="str">
        <f>VLOOKUP(Продажи[[#This Row],[id клиента]],клиенты!$A$2:$G$435,7,0)</f>
        <v>Россия</v>
      </c>
      <c r="R702">
        <f>IF(COUNTIF($H$2:H702, H702)=1, 1, 0)</f>
        <v>1</v>
      </c>
      <c r="S702" t="str">
        <f>VLOOKUP(Продажи[[#This Row],[id клиента]],клиенты!$A$2:$D$435,4,0)</f>
        <v>да</v>
      </c>
      <c r="T702" s="54">
        <f>VLOOKUP(Продажи[[#This Row],[id клиента]],клиенты!$A$2:$I$435,9,0)</f>
        <v>12.188911704312115</v>
      </c>
    </row>
    <row r="703" spans="1:20" x14ac:dyDescent="0.25">
      <c r="A703">
        <v>702</v>
      </c>
      <c r="B703">
        <v>498</v>
      </c>
      <c r="C703">
        <v>169</v>
      </c>
      <c r="D703">
        <v>4</v>
      </c>
      <c r="E703" s="35">
        <v>3380</v>
      </c>
      <c r="F703" s="48">
        <v>45129</v>
      </c>
      <c r="G703" t="s">
        <v>25</v>
      </c>
      <c r="H703">
        <v>36</v>
      </c>
      <c r="I703" t="str">
        <f>VLOOKUP(Продажи[[#This Row],[id товара]],Товары[],2,0)</f>
        <v>Молоко</v>
      </c>
      <c r="J703" s="17">
        <f>AVERAGEIF(Продажи[Категория],Продажи[[#This Row],[Категория]],Продажи[цена за шт в рублях])</f>
        <v>294.95238095238096</v>
      </c>
      <c r="K703" s="16">
        <f>Продажи[[#This Row],[цена за шт в рублях]]/Продажи[[#This Row],[Средняя цена в категории за шт]]-1</f>
        <v>-0.42702615434291247</v>
      </c>
      <c r="L703" t="str">
        <f>VLOOKUP(Продажи[[#This Row],[id товара]],Товары[],3,0)</f>
        <v>Домик в деревне</v>
      </c>
      <c r="M703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703" s="16">
        <f>Продажи[[#This Row],[цена за шт в рублях]]/Продажи[[#This Row],[Средняя цена в категории за шт по поставщику]]-1</f>
        <v>-0.38495754144763439</v>
      </c>
      <c r="O703" s="48">
        <f>VLOOKUP(Продажи[[#This Row],[id клиента]],клиенты!$A$2:$E$435,5,0)</f>
        <v>44700</v>
      </c>
      <c r="P703">
        <f>Продажи[[#This Row],[дата создания чека]]-Продажи[[#This Row],[Дата регистрации]]</f>
        <v>429</v>
      </c>
      <c r="Q703" t="str">
        <f>VLOOKUP(Продажи[[#This Row],[id клиента]],клиенты!$A$2:$G$435,7,0)</f>
        <v>Россия</v>
      </c>
      <c r="R703">
        <f>IF(COUNTIF($H$2:H703, H703)=1, 1, 0)</f>
        <v>1</v>
      </c>
      <c r="S703" t="str">
        <f>VLOOKUP(Продажи[[#This Row],[id клиента]],клиенты!$A$2:$D$435,4,0)</f>
        <v>нет</v>
      </c>
      <c r="T703" s="54">
        <f>VLOOKUP(Продажи[[#This Row],[id клиента]],клиенты!$A$2:$I$435,9,0)</f>
        <v>14.094455852156058</v>
      </c>
    </row>
    <row r="704" spans="1:20" x14ac:dyDescent="0.25">
      <c r="A704">
        <v>703</v>
      </c>
      <c r="B704">
        <v>46</v>
      </c>
      <c r="C704">
        <v>228</v>
      </c>
      <c r="D704">
        <v>5</v>
      </c>
      <c r="E704" s="35">
        <v>5700</v>
      </c>
      <c r="F704" s="48">
        <v>45017</v>
      </c>
      <c r="G704" t="s">
        <v>11</v>
      </c>
      <c r="H704">
        <v>272</v>
      </c>
      <c r="I704" t="str">
        <f>VLOOKUP(Продажи[[#This Row],[id товара]],Товары[],2,0)</f>
        <v>Йогурт</v>
      </c>
      <c r="J704" s="17">
        <f>AVERAGEIF(Продажи[Категория],Продажи[[#This Row],[Категория]],Продажи[цена за шт в рублях])</f>
        <v>263.25423728813558</v>
      </c>
      <c r="K704" s="16">
        <f>Продажи[[#This Row],[цена за шт в рублях]]/Продажи[[#This Row],[Средняя цена в категории за шт]]-1</f>
        <v>-0.13391707442698941</v>
      </c>
      <c r="L704" t="str">
        <f>VLOOKUP(Продажи[[#This Row],[id товара]],Товары[],3,0)</f>
        <v>Активиа</v>
      </c>
      <c r="M704" s="32">
        <f>AVERAGEIFS(Продажи[цена за шт в рублях],Продажи[Категория],Продажи[[#This Row],[Категория]],Продажи[Поставщик],Продажи[[#This Row],[Поставщик]])</f>
        <v>293.66666666666669</v>
      </c>
      <c r="N704" s="16">
        <f>Продажи[[#This Row],[цена за шт в рублях]]/Продажи[[#This Row],[Средняя цена в категории за шт по поставщику]]-1</f>
        <v>-0.22360953461975031</v>
      </c>
      <c r="O704" s="48">
        <f>VLOOKUP(Продажи[[#This Row],[id клиента]],клиенты!$A$2:$E$435,5,0)</f>
        <v>44668</v>
      </c>
      <c r="P704">
        <f>Продажи[[#This Row],[дата создания чека]]-Продажи[[#This Row],[Дата регистрации]]</f>
        <v>349</v>
      </c>
      <c r="Q704" t="str">
        <f>VLOOKUP(Продажи[[#This Row],[id клиента]],клиенты!$A$2:$G$435,7,0)</f>
        <v>Таджикистан</v>
      </c>
      <c r="R704">
        <f>IF(COUNTIF($H$2:H704, H704)=1, 1, 0)</f>
        <v>0</v>
      </c>
      <c r="S704" t="str">
        <f>VLOOKUP(Продажи[[#This Row],[id клиента]],клиенты!$A$2:$D$435,4,0)</f>
        <v>нет</v>
      </c>
      <c r="T704" s="54">
        <f>VLOOKUP(Продажи[[#This Row],[id клиента]],клиенты!$A$2:$I$435,9,0)</f>
        <v>24.312114989733061</v>
      </c>
    </row>
    <row r="705" spans="1:20" x14ac:dyDescent="0.25">
      <c r="A705">
        <v>704</v>
      </c>
      <c r="B705">
        <v>1</v>
      </c>
      <c r="C705">
        <v>322</v>
      </c>
      <c r="D705">
        <v>2</v>
      </c>
      <c r="E705" s="35">
        <v>3220</v>
      </c>
      <c r="F705" s="48">
        <v>45422</v>
      </c>
      <c r="G705" t="s">
        <v>23</v>
      </c>
      <c r="H705">
        <v>22</v>
      </c>
      <c r="I705" t="str">
        <f>VLOOKUP(Продажи[[#This Row],[id товара]],Товары[],2,0)</f>
        <v>Крупа</v>
      </c>
      <c r="J705" s="17">
        <f>AVERAGEIF(Продажи[Категория],Продажи[[#This Row],[Категория]],Продажи[цена за шт в рублях])</f>
        <v>255.11627906976744</v>
      </c>
      <c r="K705" s="16">
        <f>Продажи[[#This Row],[цена за шт в рублях]]/Продажи[[#This Row],[Средняя цена в категории за шт]]-1</f>
        <v>0.26216955332725611</v>
      </c>
      <c r="L705" t="str">
        <f>VLOOKUP(Продажи[[#This Row],[id товара]],Товары[],3,0)</f>
        <v>Ярмарка</v>
      </c>
      <c r="M705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705" s="16">
        <f>Продажи[[#This Row],[цена за шт в рублях]]/Продажи[[#This Row],[Средняя цена в категории за шт по поставщику]]-1</f>
        <v>0.27731698521456916</v>
      </c>
      <c r="O705" s="48">
        <f>VLOOKUP(Продажи[[#This Row],[id клиента]],клиенты!$A$2:$E$435,5,0)</f>
        <v>44870</v>
      </c>
      <c r="P705">
        <f>Продажи[[#This Row],[дата создания чека]]-Продажи[[#This Row],[Дата регистрации]]</f>
        <v>552</v>
      </c>
      <c r="Q705" t="str">
        <f>VLOOKUP(Продажи[[#This Row],[id клиента]],клиенты!$A$2:$G$435,7,0)</f>
        <v>Беларусь</v>
      </c>
      <c r="R705">
        <f>IF(COUNTIF($H$2:H705, H705)=1, 1, 0)</f>
        <v>1</v>
      </c>
      <c r="S705" t="str">
        <f>VLOOKUP(Продажи[[#This Row],[id клиента]],клиенты!$A$2:$D$435,4,0)</f>
        <v>да</v>
      </c>
      <c r="T705" s="54">
        <f>VLOOKUP(Продажи[[#This Row],[id клиента]],клиенты!$A$2:$I$435,9,0)</f>
        <v>18.135523613963038</v>
      </c>
    </row>
    <row r="706" spans="1:20" x14ac:dyDescent="0.25">
      <c r="A706">
        <v>705</v>
      </c>
      <c r="B706">
        <v>478</v>
      </c>
      <c r="C706">
        <v>342</v>
      </c>
      <c r="D706">
        <v>3</v>
      </c>
      <c r="E706" s="35">
        <v>5130</v>
      </c>
      <c r="F706" s="48">
        <v>45037</v>
      </c>
      <c r="G706" t="s">
        <v>14</v>
      </c>
      <c r="H706">
        <v>360</v>
      </c>
      <c r="I706" t="str">
        <f>VLOOKUP(Продажи[[#This Row],[id товара]],Товары[],2,0)</f>
        <v>Конфеты</v>
      </c>
      <c r="J706" s="17">
        <f>AVERAGEIF(Продажи[Категория],Продажи[[#This Row],[Категория]],Продажи[цена за шт в рублях])</f>
        <v>267.85483870967744</v>
      </c>
      <c r="K706" s="16">
        <f>Продажи[[#This Row],[цена за шт в рублях]]/Продажи[[#This Row],[Средняя цена в категории за шт]]-1</f>
        <v>0.27681098332028653</v>
      </c>
      <c r="L706" t="str">
        <f>VLOOKUP(Продажи[[#This Row],[id товара]],Товары[],3,0)</f>
        <v>Рот Фронт</v>
      </c>
      <c r="M706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706" s="16">
        <f>Продажи[[#This Row],[цена за шт в рублях]]/Продажи[[#This Row],[Средняя цена в категории за шт по поставщику]]-1</f>
        <v>0.18651908144721618</v>
      </c>
      <c r="O706" s="48">
        <f>VLOOKUP(Продажи[[#This Row],[id клиента]],клиенты!$A$2:$E$435,5,0)</f>
        <v>44728</v>
      </c>
      <c r="P706">
        <f>Продажи[[#This Row],[дата создания чека]]-Продажи[[#This Row],[Дата регистрации]]</f>
        <v>309</v>
      </c>
      <c r="Q706" t="str">
        <f>VLOOKUP(Продажи[[#This Row],[id клиента]],клиенты!$A$2:$G$435,7,0)</f>
        <v>Беларусь</v>
      </c>
      <c r="R706">
        <f>IF(COUNTIF($H$2:H706, H706)=1, 1, 0)</f>
        <v>1</v>
      </c>
      <c r="S706" t="str">
        <f>VLOOKUP(Продажи[[#This Row],[id клиента]],клиенты!$A$2:$D$435,4,0)</f>
        <v>нет</v>
      </c>
      <c r="T706" s="54">
        <f>VLOOKUP(Продажи[[#This Row],[id клиента]],клиенты!$A$2:$I$435,9,0)</f>
        <v>16.06570841889117</v>
      </c>
    </row>
    <row r="707" spans="1:20" x14ac:dyDescent="0.25">
      <c r="A707">
        <v>706</v>
      </c>
      <c r="B707">
        <v>444</v>
      </c>
      <c r="C707">
        <v>315</v>
      </c>
      <c r="D707">
        <v>4</v>
      </c>
      <c r="E707" s="35">
        <v>6300</v>
      </c>
      <c r="F707" s="48">
        <v>45041</v>
      </c>
      <c r="G707" t="s">
        <v>12</v>
      </c>
      <c r="H707">
        <v>414</v>
      </c>
      <c r="I707" t="str">
        <f>VLOOKUP(Продажи[[#This Row],[id товара]],Товары[],2,0)</f>
        <v>Йогурт</v>
      </c>
      <c r="J707" s="17">
        <f>AVERAGEIF(Продажи[Категория],Продажи[[#This Row],[Категория]],Продажи[цена за шт в рублях])</f>
        <v>263.25423728813558</v>
      </c>
      <c r="K707" s="16">
        <f>Продажи[[#This Row],[цена за шт в рублях]]/Продажи[[#This Row],[Средняя цена в категории за шт]]-1</f>
        <v>0.19656193664692245</v>
      </c>
      <c r="L707" t="str">
        <f>VLOOKUP(Продажи[[#This Row],[id товара]],Товары[],3,0)</f>
        <v>Эрманн</v>
      </c>
      <c r="M707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707" s="16">
        <f>Продажи[[#This Row],[цена за шт в рублях]]/Продажи[[#This Row],[Средняя цена в категории за шт по поставщику]]-1</f>
        <v>0.26760563380281699</v>
      </c>
      <c r="O707" s="48">
        <f>VLOOKUP(Продажи[[#This Row],[id клиента]],клиенты!$A$2:$E$435,5,0)</f>
        <v>44794</v>
      </c>
      <c r="P707">
        <f>Продажи[[#This Row],[дата создания чека]]-Продажи[[#This Row],[Дата регистрации]]</f>
        <v>247</v>
      </c>
      <c r="Q707" t="str">
        <f>VLOOKUP(Продажи[[#This Row],[id клиента]],клиенты!$A$2:$G$435,7,0)</f>
        <v>Беларусь</v>
      </c>
      <c r="R707">
        <f>IF(COUNTIF($H$2:H707, H707)=1, 1, 0)</f>
        <v>0</v>
      </c>
      <c r="S707" t="str">
        <f>VLOOKUP(Продажи[[#This Row],[id клиента]],клиенты!$A$2:$D$435,4,0)</f>
        <v>нет</v>
      </c>
      <c r="T707" s="54">
        <f>VLOOKUP(Продажи[[#This Row],[id клиента]],клиенты!$A$2:$I$435,9,0)</f>
        <v>11.137577002053389</v>
      </c>
    </row>
    <row r="708" spans="1:20" x14ac:dyDescent="0.25">
      <c r="A708">
        <v>707</v>
      </c>
      <c r="B708">
        <v>110</v>
      </c>
      <c r="C708">
        <v>473</v>
      </c>
      <c r="D708">
        <v>2</v>
      </c>
      <c r="E708" s="35">
        <v>4730</v>
      </c>
      <c r="F708" s="48">
        <v>45373</v>
      </c>
      <c r="G708" t="s">
        <v>25</v>
      </c>
      <c r="H708">
        <v>152</v>
      </c>
      <c r="I708" t="str">
        <f>VLOOKUP(Продажи[[#This Row],[id товара]],Товары[],2,0)</f>
        <v>Макароны</v>
      </c>
      <c r="J708" s="17">
        <f>AVERAGEIF(Продажи[Категория],Продажи[[#This Row],[Категория]],Продажи[цена за шт в рублях])</f>
        <v>265.47674418604652</v>
      </c>
      <c r="K708" s="16">
        <f>Продажи[[#This Row],[цена за шт в рублях]]/Продажи[[#This Row],[Средняя цена в категории за шт]]-1</f>
        <v>0.78170031974070331</v>
      </c>
      <c r="L708" t="str">
        <f>VLOOKUP(Продажи[[#This Row],[id товара]],Товары[],3,0)</f>
        <v>Паста Зара</v>
      </c>
      <c r="M70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708" s="16">
        <f>Продажи[[#This Row],[цена за шт в рублях]]/Продажи[[#This Row],[Средняя цена в категории за шт по поставщику]]-1</f>
        <v>0.7095828856110189</v>
      </c>
      <c r="O708" s="48">
        <f>VLOOKUP(Продажи[[#This Row],[id клиента]],клиенты!$A$2:$E$435,5,0)</f>
        <v>44791</v>
      </c>
      <c r="P708">
        <f>Продажи[[#This Row],[дата создания чека]]-Продажи[[#This Row],[Дата регистрации]]</f>
        <v>582</v>
      </c>
      <c r="Q708" t="str">
        <f>VLOOKUP(Продажи[[#This Row],[id клиента]],клиенты!$A$2:$G$435,7,0)</f>
        <v>Беларусь</v>
      </c>
      <c r="R708">
        <f>IF(COUNTIF($H$2:H708, H708)=1, 1, 0)</f>
        <v>0</v>
      </c>
      <c r="S708" t="str">
        <f>VLOOKUP(Продажи[[#This Row],[id клиента]],клиенты!$A$2:$D$435,4,0)</f>
        <v>нет</v>
      </c>
      <c r="T708" s="54">
        <f>VLOOKUP(Продажи[[#This Row],[id клиента]],клиенты!$A$2:$I$435,9,0)</f>
        <v>19.121149897330596</v>
      </c>
    </row>
    <row r="709" spans="1:20" x14ac:dyDescent="0.25">
      <c r="A709">
        <v>708</v>
      </c>
      <c r="B709">
        <v>191</v>
      </c>
      <c r="C709">
        <v>248</v>
      </c>
      <c r="D709">
        <v>2</v>
      </c>
      <c r="E709" s="35">
        <v>2480</v>
      </c>
      <c r="F709" s="48">
        <v>45148</v>
      </c>
      <c r="G709" t="s">
        <v>19</v>
      </c>
      <c r="H709">
        <v>177</v>
      </c>
      <c r="I709" t="str">
        <f>VLOOKUP(Продажи[[#This Row],[id товара]],Товары[],2,0)</f>
        <v>Колбаса</v>
      </c>
      <c r="J709" s="17">
        <f>AVERAGEIF(Продажи[Категория],Продажи[[#This Row],[Категория]],Продажи[цена за шт в рублях])</f>
        <v>286.92307692307691</v>
      </c>
      <c r="K709" s="16">
        <f>Продажи[[#This Row],[цена за шт в рублях]]/Продажи[[#This Row],[Средняя цена в категории за шт]]-1</f>
        <v>-0.13565683646112592</v>
      </c>
      <c r="L709" t="str">
        <f>VLOOKUP(Продажи[[#This Row],[id товара]],Товары[],3,0)</f>
        <v>Окраина</v>
      </c>
      <c r="M709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709" s="16">
        <f>Продажи[[#This Row],[цена за шт в рублях]]/Продажи[[#This Row],[Средняя цена в категории за шт по поставщику]]-1</f>
        <v>-9.3512031678342877E-2</v>
      </c>
      <c r="O709" s="48">
        <f>VLOOKUP(Продажи[[#This Row],[id клиента]],клиенты!$A$2:$E$435,5,0)</f>
        <v>44857</v>
      </c>
      <c r="P709">
        <f>Продажи[[#This Row],[дата создания чека]]-Продажи[[#This Row],[Дата регистрации]]</f>
        <v>291</v>
      </c>
      <c r="Q709" t="str">
        <f>VLOOKUP(Продажи[[#This Row],[id клиента]],клиенты!$A$2:$G$435,7,0)</f>
        <v>Таджикистан</v>
      </c>
      <c r="R709">
        <f>IF(COUNTIF($H$2:H709, H709)=1, 1, 0)</f>
        <v>0</v>
      </c>
      <c r="S709" t="str">
        <f>VLOOKUP(Продажи[[#This Row],[id клиента]],клиенты!$A$2:$D$435,4,0)</f>
        <v>нет</v>
      </c>
      <c r="T709" s="54">
        <f>VLOOKUP(Продажи[[#This Row],[id клиента]],клиенты!$A$2:$I$435,9,0)</f>
        <v>18.529774127310063</v>
      </c>
    </row>
    <row r="710" spans="1:20" x14ac:dyDescent="0.25">
      <c r="A710">
        <v>709</v>
      </c>
      <c r="B710">
        <v>198</v>
      </c>
      <c r="C710">
        <v>335</v>
      </c>
      <c r="D710">
        <v>3</v>
      </c>
      <c r="E710" s="35">
        <v>5025</v>
      </c>
      <c r="F710" s="48">
        <v>45164</v>
      </c>
      <c r="G710" t="s">
        <v>18</v>
      </c>
      <c r="H710">
        <v>111</v>
      </c>
      <c r="I710" t="str">
        <f>VLOOKUP(Продажи[[#This Row],[id товара]],Товары[],2,0)</f>
        <v>Мясо</v>
      </c>
      <c r="J710" s="17">
        <f>AVERAGEIF(Продажи[Категория],Продажи[[#This Row],[Категория]],Продажи[цена за шт в рублях])</f>
        <v>271.74545454545455</v>
      </c>
      <c r="K710" s="16">
        <f>Продажи[[#This Row],[цена за шт в рублях]]/Продажи[[#This Row],[Средняя цена в категории за шт]]-1</f>
        <v>0.23277131004951146</v>
      </c>
      <c r="L710" t="str">
        <f>VLOOKUP(Продажи[[#This Row],[id товара]],Товары[],3,0)</f>
        <v>Мираторг</v>
      </c>
      <c r="M710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710" s="16">
        <f>Продажи[[#This Row],[цена за шт в рублях]]/Продажи[[#This Row],[Средняя цена в категории за шт по поставщику]]-1</f>
        <v>5.8173203474598534E-2</v>
      </c>
      <c r="O710" s="48">
        <f>VLOOKUP(Продажи[[#This Row],[id клиента]],клиенты!$A$2:$E$435,5,0)</f>
        <v>44804</v>
      </c>
      <c r="P710">
        <f>Продажи[[#This Row],[дата создания чека]]-Продажи[[#This Row],[Дата регистрации]]</f>
        <v>360</v>
      </c>
      <c r="Q710" t="str">
        <f>VLOOKUP(Продажи[[#This Row],[id клиента]],клиенты!$A$2:$G$435,7,0)</f>
        <v>Узбекистан</v>
      </c>
      <c r="R710">
        <f>IF(COUNTIF($H$2:H710, H710)=1, 1, 0)</f>
        <v>0</v>
      </c>
      <c r="S710" t="str">
        <f>VLOOKUP(Продажи[[#This Row],[id клиента]],клиенты!$A$2:$D$435,4,0)</f>
        <v>да</v>
      </c>
      <c r="T710" s="54">
        <f>VLOOKUP(Продажи[[#This Row],[id клиента]],клиенты!$A$2:$I$435,9,0)</f>
        <v>18.464065708418889</v>
      </c>
    </row>
    <row r="711" spans="1:20" x14ac:dyDescent="0.25">
      <c r="A711">
        <v>710</v>
      </c>
      <c r="B711">
        <v>93</v>
      </c>
      <c r="C711">
        <v>343</v>
      </c>
      <c r="D711">
        <v>3</v>
      </c>
      <c r="E711" s="35">
        <v>5145</v>
      </c>
      <c r="F711" s="48">
        <v>44930</v>
      </c>
      <c r="G711" t="s">
        <v>26</v>
      </c>
      <c r="H711">
        <v>281</v>
      </c>
      <c r="I711" t="str">
        <f>VLOOKUP(Продажи[[#This Row],[id товара]],Товары[],2,0)</f>
        <v>Чай</v>
      </c>
      <c r="J711" s="17">
        <f>AVERAGEIF(Продажи[Категория],Продажи[[#This Row],[Категория]],Продажи[цена за шт в рублях])</f>
        <v>271.18181818181819</v>
      </c>
      <c r="K711" s="16">
        <f>Продажи[[#This Row],[цена за шт в рублях]]/Продажи[[#This Row],[Средняя цена в категории за шт]]-1</f>
        <v>0.26483405967147156</v>
      </c>
      <c r="L711" t="str">
        <f>VLOOKUP(Продажи[[#This Row],[id товара]],Товары[],3,0)</f>
        <v>Greenfield</v>
      </c>
      <c r="M711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711" s="16">
        <f>Продажи[[#This Row],[цена за шт в рублях]]/Продажи[[#This Row],[Средняя цена в категории за шт по поставщику]]-1</f>
        <v>0.17685589519650668</v>
      </c>
      <c r="O711" s="48">
        <f>VLOOKUP(Продажи[[#This Row],[id клиента]],клиенты!$A$2:$E$435,5,0)</f>
        <v>44711</v>
      </c>
      <c r="P711">
        <f>Продажи[[#This Row],[дата создания чека]]-Продажи[[#This Row],[Дата регистрации]]</f>
        <v>219</v>
      </c>
      <c r="Q711" t="str">
        <f>VLOOKUP(Продажи[[#This Row],[id клиента]],клиенты!$A$2:$G$435,7,0)</f>
        <v>Узбекистан</v>
      </c>
      <c r="R711">
        <f>IF(COUNTIF($H$2:H711, H711)=1, 1, 0)</f>
        <v>0</v>
      </c>
      <c r="S711" t="str">
        <f>VLOOKUP(Продажи[[#This Row],[id клиента]],клиенты!$A$2:$D$435,4,0)</f>
        <v>нет</v>
      </c>
      <c r="T711" s="54">
        <f>VLOOKUP(Продажи[[#This Row],[id клиента]],клиенты!$A$2:$I$435,9,0)</f>
        <v>17.511293634496919</v>
      </c>
    </row>
    <row r="712" spans="1:20" x14ac:dyDescent="0.25">
      <c r="A712">
        <v>711</v>
      </c>
      <c r="B712">
        <v>385</v>
      </c>
      <c r="C712">
        <v>309</v>
      </c>
      <c r="D712">
        <v>1</v>
      </c>
      <c r="E712" s="35">
        <v>1545</v>
      </c>
      <c r="F712" s="48">
        <v>45100</v>
      </c>
      <c r="G712" t="s">
        <v>14</v>
      </c>
      <c r="H712">
        <v>177</v>
      </c>
      <c r="I712" t="str">
        <f>VLOOKUP(Продажи[[#This Row],[id товара]],Товары[],2,0)</f>
        <v>Макароны</v>
      </c>
      <c r="J712" s="17">
        <f>AVERAGEIF(Продажи[Категория],Продажи[[#This Row],[Категория]],Продажи[цена за шт в рублях])</f>
        <v>265.47674418604652</v>
      </c>
      <c r="K712" s="16">
        <f>Продажи[[#This Row],[цена за шт в рублях]]/Продажи[[#This Row],[Средняя цена в категории за шт]]-1</f>
        <v>0.16394376067627348</v>
      </c>
      <c r="L712" t="str">
        <f>VLOOKUP(Продажи[[#This Row],[id товара]],Товары[],3,0)</f>
        <v>Макфа</v>
      </c>
      <c r="M712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712" s="16">
        <f>Продажи[[#This Row],[цена за шт в рублях]]/Продажи[[#This Row],[Средняя цена в категории за шт по поставщику]]-1</f>
        <v>-6.1568194367752516E-2</v>
      </c>
      <c r="O712" s="48">
        <f>VLOOKUP(Продажи[[#This Row],[id клиента]],клиенты!$A$2:$E$435,5,0)</f>
        <v>44857</v>
      </c>
      <c r="P712">
        <f>Продажи[[#This Row],[дата создания чека]]-Продажи[[#This Row],[Дата регистрации]]</f>
        <v>243</v>
      </c>
      <c r="Q712" t="str">
        <f>VLOOKUP(Продажи[[#This Row],[id клиента]],клиенты!$A$2:$G$435,7,0)</f>
        <v>Таджикистан</v>
      </c>
      <c r="R712">
        <f>IF(COUNTIF($H$2:H712, H712)=1, 1, 0)</f>
        <v>0</v>
      </c>
      <c r="S712" t="str">
        <f>VLOOKUP(Продажи[[#This Row],[id клиента]],клиенты!$A$2:$D$435,4,0)</f>
        <v>нет</v>
      </c>
      <c r="T712" s="54">
        <f>VLOOKUP(Продажи[[#This Row],[id клиента]],клиенты!$A$2:$I$435,9,0)</f>
        <v>18.529774127310063</v>
      </c>
    </row>
    <row r="713" spans="1:20" x14ac:dyDescent="0.25">
      <c r="A713">
        <v>712</v>
      </c>
      <c r="B713">
        <v>456</v>
      </c>
      <c r="C713">
        <v>196</v>
      </c>
      <c r="D713">
        <v>4</v>
      </c>
      <c r="E713" s="35">
        <v>3920</v>
      </c>
      <c r="F713" s="48">
        <v>45006</v>
      </c>
      <c r="G713" t="s">
        <v>12</v>
      </c>
      <c r="H713">
        <v>446</v>
      </c>
      <c r="I713" t="str">
        <f>VLOOKUP(Продажи[[#This Row],[id товара]],Товары[],2,0)</f>
        <v>Колбаса</v>
      </c>
      <c r="J713" s="17">
        <f>AVERAGEIF(Продажи[Категория],Продажи[[#This Row],[Категория]],Продажи[цена за шт в рублях])</f>
        <v>286.92307692307691</v>
      </c>
      <c r="K713" s="16">
        <f>Продажи[[#This Row],[цена за шт в рублях]]/Продажи[[#This Row],[Средняя цена в категории за шт]]-1</f>
        <v>-0.31689008042895439</v>
      </c>
      <c r="L713" t="str">
        <f>VLOOKUP(Продажи[[#This Row],[id товара]],Товары[],3,0)</f>
        <v>Окраина</v>
      </c>
      <c r="M713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713" s="16">
        <f>Продажи[[#This Row],[цена за шт в рублях]]/Продажи[[#This Row],[Средняя цена в категории за шт по поставщику]]-1</f>
        <v>-0.28358208955223874</v>
      </c>
      <c r="O713" s="48">
        <f>VLOOKUP(Продажи[[#This Row],[id клиента]],клиенты!$A$2:$E$435,5,0)</f>
        <v>44671</v>
      </c>
      <c r="P713">
        <f>Продажи[[#This Row],[дата создания чека]]-Продажи[[#This Row],[Дата регистрации]]</f>
        <v>335</v>
      </c>
      <c r="Q713" t="str">
        <f>VLOOKUP(Продажи[[#This Row],[id клиента]],клиенты!$A$2:$G$435,7,0)</f>
        <v>Таджикистан</v>
      </c>
      <c r="R713">
        <f>IF(COUNTIF($H$2:H713, H713)=1, 1, 0)</f>
        <v>0</v>
      </c>
      <c r="S713" t="str">
        <f>VLOOKUP(Продажи[[#This Row],[id клиента]],клиенты!$A$2:$D$435,4,0)</f>
        <v>да</v>
      </c>
      <c r="T713" s="54">
        <f>VLOOKUP(Продажи[[#This Row],[id клиента]],клиенты!$A$2:$I$435,9,0)</f>
        <v>17.806981519507186</v>
      </c>
    </row>
    <row r="714" spans="1:20" x14ac:dyDescent="0.25">
      <c r="A714">
        <v>713</v>
      </c>
      <c r="B714">
        <v>147</v>
      </c>
      <c r="C714">
        <v>258</v>
      </c>
      <c r="D714">
        <v>5</v>
      </c>
      <c r="E714" s="35">
        <v>6450</v>
      </c>
      <c r="F714" s="48">
        <v>45356</v>
      </c>
      <c r="G714" t="s">
        <v>11</v>
      </c>
      <c r="H714">
        <v>202</v>
      </c>
      <c r="I714" t="str">
        <f>VLOOKUP(Продажи[[#This Row],[id товара]],Товары[],2,0)</f>
        <v>Конфеты</v>
      </c>
      <c r="J714" s="17">
        <f>AVERAGEIF(Продажи[Категория],Продажи[[#This Row],[Категория]],Продажи[цена за шт в рублях])</f>
        <v>267.85483870967744</v>
      </c>
      <c r="K714" s="16">
        <f>Продажи[[#This Row],[цена за шт в рублях]]/Продажи[[#This Row],[Средняя цена в категории за шт]]-1</f>
        <v>-3.6791714337327752E-2</v>
      </c>
      <c r="L714" t="str">
        <f>VLOOKUP(Продажи[[#This Row],[id товара]],Товары[],3,0)</f>
        <v>Бабаевский</v>
      </c>
      <c r="M714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714" s="16">
        <f>Продажи[[#This Row],[цена за шт в рублях]]/Продажи[[#This Row],[Средняя цена в категории за шт по поставщику]]-1</f>
        <v>3.0930886488086395E-2</v>
      </c>
      <c r="O714" s="48">
        <f>VLOOKUP(Продажи[[#This Row],[id клиента]],клиенты!$A$2:$E$435,5,0)</f>
        <v>44766</v>
      </c>
      <c r="P714">
        <f>Продажи[[#This Row],[дата создания чека]]-Продажи[[#This Row],[Дата регистрации]]</f>
        <v>590</v>
      </c>
      <c r="Q714" t="str">
        <f>VLOOKUP(Продажи[[#This Row],[id клиента]],клиенты!$A$2:$G$435,7,0)</f>
        <v>Беларусь</v>
      </c>
      <c r="R714">
        <f>IF(COUNTIF($H$2:H714, H714)=1, 1, 0)</f>
        <v>0</v>
      </c>
      <c r="S714" t="str">
        <f>VLOOKUP(Продажи[[#This Row],[id клиента]],клиенты!$A$2:$D$435,4,0)</f>
        <v>нет</v>
      </c>
      <c r="T714" s="54">
        <f>VLOOKUP(Продажи[[#This Row],[id клиента]],клиенты!$A$2:$I$435,9,0)</f>
        <v>19.383983572895279</v>
      </c>
    </row>
    <row r="715" spans="1:20" x14ac:dyDescent="0.25">
      <c r="A715">
        <v>714</v>
      </c>
      <c r="B715">
        <v>47</v>
      </c>
      <c r="C715">
        <v>496</v>
      </c>
      <c r="D715">
        <v>2</v>
      </c>
      <c r="E715" s="35">
        <v>4960</v>
      </c>
      <c r="F715" s="48">
        <v>45196</v>
      </c>
      <c r="G715" t="s">
        <v>10</v>
      </c>
      <c r="H715">
        <v>140</v>
      </c>
      <c r="I715" t="str">
        <f>VLOOKUP(Продажи[[#This Row],[id товара]],Товары[],2,0)</f>
        <v>Мясо</v>
      </c>
      <c r="J715" s="17">
        <f>AVERAGEIF(Продажи[Категория],Продажи[[#This Row],[Категория]],Продажи[цена за шт в рублях])</f>
        <v>271.74545454545455</v>
      </c>
      <c r="K715" s="16">
        <f>Продажи[[#This Row],[цена за шт в рублях]]/Продажи[[#This Row],[Средняя цена в категории за шт]]-1</f>
        <v>0.82523752174494835</v>
      </c>
      <c r="L715" t="str">
        <f>VLOOKUP(Продажи[[#This Row],[id товара]],Товары[],3,0)</f>
        <v>Снежана</v>
      </c>
      <c r="M715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715" s="16">
        <f>Продажи[[#This Row],[цена за шт в рублях]]/Продажи[[#This Row],[Средняя цена в категории за шт по поставщику]]-1</f>
        <v>0.8211663066954642</v>
      </c>
      <c r="O715" s="48">
        <f>VLOOKUP(Продажи[[#This Row],[id клиента]],клиенты!$A$2:$E$435,5,0)</f>
        <v>44627</v>
      </c>
      <c r="P715">
        <f>Продажи[[#This Row],[дата создания чека]]-Продажи[[#This Row],[Дата регистрации]]</f>
        <v>569</v>
      </c>
      <c r="Q715" t="str">
        <f>VLOOKUP(Продажи[[#This Row],[id клиента]],клиенты!$A$2:$G$435,7,0)</f>
        <v>Россия</v>
      </c>
      <c r="R715">
        <f>IF(COUNTIF($H$2:H715, H715)=1, 1, 0)</f>
        <v>0</v>
      </c>
      <c r="S715" t="str">
        <f>VLOOKUP(Продажи[[#This Row],[id клиента]],клиенты!$A$2:$D$435,4,0)</f>
        <v>да</v>
      </c>
      <c r="T715" s="54">
        <f>VLOOKUP(Продажи[[#This Row],[id клиента]],клиенты!$A$2:$I$435,9,0)</f>
        <v>24.147843942505133</v>
      </c>
    </row>
    <row r="716" spans="1:20" x14ac:dyDescent="0.25">
      <c r="A716">
        <v>715</v>
      </c>
      <c r="B716">
        <v>369</v>
      </c>
      <c r="C716">
        <v>202</v>
      </c>
      <c r="D716">
        <v>5</v>
      </c>
      <c r="E716" s="35">
        <v>5050</v>
      </c>
      <c r="F716" s="48">
        <v>45100</v>
      </c>
      <c r="G716" t="s">
        <v>21</v>
      </c>
      <c r="H716">
        <v>321</v>
      </c>
      <c r="I716" t="str">
        <f>VLOOKUP(Продажи[[#This Row],[id товара]],Товары[],2,0)</f>
        <v>Молоко</v>
      </c>
      <c r="J716" s="17">
        <f>AVERAGEIF(Продажи[Категория],Продажи[[#This Row],[Категория]],Продажи[цена за шт в рублях])</f>
        <v>294.95238095238096</v>
      </c>
      <c r="K716" s="16">
        <f>Продажи[[#This Row],[цена за шт в рублях]]/Продажи[[#This Row],[Средняя цена в категории за шт]]-1</f>
        <v>-0.31514368743945753</v>
      </c>
      <c r="L716" t="str">
        <f>VLOOKUP(Продажи[[#This Row],[id товара]],Товары[],3,0)</f>
        <v>Домик в деревне</v>
      </c>
      <c r="M716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716" s="16">
        <f>Продажи[[#This Row],[цена за шт в рублях]]/Продажи[[#This Row],[Средняя цена в категории за шт по поставщику]]-1</f>
        <v>-0.2648604933279417</v>
      </c>
      <c r="O716" s="48">
        <f>VLOOKUP(Продажи[[#This Row],[id клиента]],клиенты!$A$2:$E$435,5,0)</f>
        <v>44756</v>
      </c>
      <c r="P716">
        <f>Продажи[[#This Row],[дата создания чека]]-Продажи[[#This Row],[Дата регистрации]]</f>
        <v>344</v>
      </c>
      <c r="Q716" t="str">
        <f>VLOOKUP(Продажи[[#This Row],[id клиента]],клиенты!$A$2:$G$435,7,0)</f>
        <v>Таджикистан</v>
      </c>
      <c r="R716">
        <f>IF(COUNTIF($H$2:H716, H716)=1, 1, 0)</f>
        <v>0</v>
      </c>
      <c r="S716" t="str">
        <f>VLOOKUP(Продажи[[#This Row],[id клиента]],клиенты!$A$2:$D$435,4,0)</f>
        <v>нет</v>
      </c>
      <c r="T716" s="54">
        <f>VLOOKUP(Продажи[[#This Row],[id клиента]],клиенты!$A$2:$I$435,9,0)</f>
        <v>16.95277207392197</v>
      </c>
    </row>
    <row r="717" spans="1:20" x14ac:dyDescent="0.25">
      <c r="A717">
        <v>716</v>
      </c>
      <c r="B717">
        <v>296</v>
      </c>
      <c r="C717">
        <v>155</v>
      </c>
      <c r="D717">
        <v>1</v>
      </c>
      <c r="E717" s="35">
        <v>775</v>
      </c>
      <c r="F717" s="48">
        <v>45349</v>
      </c>
      <c r="G717" t="s">
        <v>26</v>
      </c>
      <c r="H717">
        <v>188</v>
      </c>
      <c r="I717" t="str">
        <f>VLOOKUP(Продажи[[#This Row],[id товара]],Товары[],2,0)</f>
        <v>Крупа</v>
      </c>
      <c r="J717" s="17">
        <f>AVERAGEIF(Продажи[Категория],Продажи[[#This Row],[Категория]],Продажи[цена за шт в рублях])</f>
        <v>255.11627906976744</v>
      </c>
      <c r="K717" s="16">
        <f>Продажи[[#This Row],[цена за шт в рублях]]/Продажи[[#This Row],[Средняя цена в категории за шт]]-1</f>
        <v>-0.39243391066545119</v>
      </c>
      <c r="L717" t="str">
        <f>VLOOKUP(Продажи[[#This Row],[id товара]],Товары[],3,0)</f>
        <v>Мистраль</v>
      </c>
      <c r="M717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717" s="16">
        <f>Продажи[[#This Row],[цена за шт в рублях]]/Продажи[[#This Row],[Средняя цена в категории за шт по поставщику]]-1</f>
        <v>-0.38076213890596189</v>
      </c>
      <c r="O717" s="48">
        <f>VLOOKUP(Продажи[[#This Row],[id клиента]],клиенты!$A$2:$E$435,5,0)</f>
        <v>44801</v>
      </c>
      <c r="P717">
        <f>Продажи[[#This Row],[дата создания чека]]-Продажи[[#This Row],[Дата регистрации]]</f>
        <v>548</v>
      </c>
      <c r="Q717" t="str">
        <f>VLOOKUP(Продажи[[#This Row],[id клиента]],клиенты!$A$2:$G$435,7,0)</f>
        <v>Таджикистан</v>
      </c>
      <c r="R717">
        <f>IF(COUNTIF($H$2:H717, H717)=1, 1, 0)</f>
        <v>1</v>
      </c>
      <c r="S717" t="str">
        <f>VLOOKUP(Продажи[[#This Row],[id клиента]],клиенты!$A$2:$D$435,4,0)</f>
        <v>нет</v>
      </c>
      <c r="T717" s="54">
        <f>VLOOKUP(Продажи[[#This Row],[id клиента]],клиенты!$A$2:$I$435,9,0)</f>
        <v>18.004106776180699</v>
      </c>
    </row>
    <row r="718" spans="1:20" x14ac:dyDescent="0.25">
      <c r="A718">
        <v>717</v>
      </c>
      <c r="B718">
        <v>448</v>
      </c>
      <c r="C718">
        <v>72</v>
      </c>
      <c r="D718">
        <v>5</v>
      </c>
      <c r="E718" s="35">
        <v>1800</v>
      </c>
      <c r="F718" s="48">
        <v>45409</v>
      </c>
      <c r="G718" t="s">
        <v>18</v>
      </c>
      <c r="H718">
        <v>63</v>
      </c>
      <c r="I718" t="str">
        <f>VLOOKUP(Продажи[[#This Row],[id товара]],Товары[],2,0)</f>
        <v>Йогурт</v>
      </c>
      <c r="J718" s="17">
        <f>AVERAGEIF(Продажи[Категория],Продажи[[#This Row],[Категория]],Продажи[цена за шт в рублях])</f>
        <v>263.25423728813558</v>
      </c>
      <c r="K718" s="16">
        <f>Продажи[[#This Row],[цена за шт в рублях]]/Продажи[[#This Row],[Средняя цена в категории за шт]]-1</f>
        <v>-0.72650012876641767</v>
      </c>
      <c r="L718" t="str">
        <f>VLOOKUP(Продажи[[#This Row],[id товара]],Товары[],3,0)</f>
        <v>Ростагроэкспорт</v>
      </c>
      <c r="M718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718" s="16">
        <f>Продажи[[#This Row],[цена за шт в рублях]]/Продажи[[#This Row],[Средняя цена в категории за шт по поставщику]]-1</f>
        <v>-0.72069488952605831</v>
      </c>
      <c r="O718" s="48">
        <f>VLOOKUP(Продажи[[#This Row],[id клиента]],клиенты!$A$2:$E$435,5,0)</f>
        <v>44684</v>
      </c>
      <c r="P718">
        <f>Продажи[[#This Row],[дата создания чека]]-Продажи[[#This Row],[Дата регистрации]]</f>
        <v>725</v>
      </c>
      <c r="Q718" t="str">
        <f>VLOOKUP(Продажи[[#This Row],[id клиента]],клиенты!$A$2:$G$435,7,0)</f>
        <v>Украина</v>
      </c>
      <c r="R718">
        <f>IF(COUNTIF($H$2:H718, H718)=1, 1, 0)</f>
        <v>1</v>
      </c>
      <c r="S718" t="str">
        <f>VLOOKUP(Продажи[[#This Row],[id клиента]],клиенты!$A$2:$D$435,4,0)</f>
        <v>да</v>
      </c>
      <c r="T718" s="54">
        <f>VLOOKUP(Продажи[[#This Row],[id клиента]],клиенты!$A$2:$I$435,9,0)</f>
        <v>23.819301848049282</v>
      </c>
    </row>
    <row r="719" spans="1:20" x14ac:dyDescent="0.25">
      <c r="A719">
        <v>718</v>
      </c>
      <c r="B719">
        <v>38</v>
      </c>
      <c r="C719">
        <v>191</v>
      </c>
      <c r="D719">
        <v>5</v>
      </c>
      <c r="E719" s="35">
        <v>4775</v>
      </c>
      <c r="F719" s="48">
        <v>44992</v>
      </c>
      <c r="G719" t="s">
        <v>22</v>
      </c>
      <c r="H719">
        <v>25</v>
      </c>
      <c r="I719" t="str">
        <f>VLOOKUP(Продажи[[#This Row],[id товара]],Товары[],2,0)</f>
        <v>Конфеты</v>
      </c>
      <c r="J719" s="17">
        <f>AVERAGEIF(Продажи[Категория],Продажи[[#This Row],[Категория]],Продажи[цена за шт в рублях])</f>
        <v>267.85483870967744</v>
      </c>
      <c r="K719" s="16">
        <f>Продажи[[#This Row],[цена за шт в рублях]]/Продажи[[#This Row],[Средняя цена в категории за шт]]-1</f>
        <v>-0.2869271993737581</v>
      </c>
      <c r="L719" t="str">
        <f>VLOOKUP(Продажи[[#This Row],[id товара]],Товары[],3,0)</f>
        <v>Рот Фронт</v>
      </c>
      <c r="M719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719" s="16">
        <f>Продажи[[#This Row],[цена за шт в рублях]]/Продажи[[#This Row],[Средняя цена в категории за шт по поставщику]]-1</f>
        <v>-0.33735337849000491</v>
      </c>
      <c r="O719" s="48">
        <f>VLOOKUP(Продажи[[#This Row],[id клиента]],клиенты!$A$2:$E$435,5,0)</f>
        <v>44582</v>
      </c>
      <c r="P719">
        <f>Продажи[[#This Row],[дата создания чека]]-Продажи[[#This Row],[Дата регистрации]]</f>
        <v>410</v>
      </c>
      <c r="Q719" t="str">
        <f>VLOOKUP(Продажи[[#This Row],[id клиента]],клиенты!$A$2:$G$435,7,0)</f>
        <v>Таджикистан</v>
      </c>
      <c r="R719">
        <f>IF(COUNTIF($H$2:H719, H719)=1, 1, 0)</f>
        <v>0</v>
      </c>
      <c r="S719" t="str">
        <f>VLOOKUP(Продажи[[#This Row],[id клиента]],клиенты!$A$2:$D$435,4,0)</f>
        <v>да</v>
      </c>
      <c r="T719" s="54">
        <f>VLOOKUP(Продажи[[#This Row],[id клиента]],клиенты!$A$2:$I$435,9,0)</f>
        <v>24.114989733059549</v>
      </c>
    </row>
    <row r="720" spans="1:20" x14ac:dyDescent="0.25">
      <c r="A720">
        <v>719</v>
      </c>
      <c r="B720">
        <v>272</v>
      </c>
      <c r="C720">
        <v>362</v>
      </c>
      <c r="D720">
        <v>2</v>
      </c>
      <c r="E720" s="35">
        <v>3620</v>
      </c>
      <c r="F720" s="48">
        <v>45025</v>
      </c>
      <c r="G720" t="s">
        <v>26</v>
      </c>
      <c r="H720">
        <v>409</v>
      </c>
      <c r="I720" t="str">
        <f>VLOOKUP(Продажи[[#This Row],[id товара]],Товары[],2,0)</f>
        <v>Крупа</v>
      </c>
      <c r="J720" s="17">
        <f>AVERAGEIF(Продажи[Категория],Продажи[[#This Row],[Категория]],Продажи[цена за шт в рублях])</f>
        <v>255.11627906976744</v>
      </c>
      <c r="K720" s="16">
        <f>Продажи[[#This Row],[цена за шт в рублях]]/Продажи[[#This Row],[Средняя цена в категории за шт]]-1</f>
        <v>0.41896080218778486</v>
      </c>
      <c r="L720" t="str">
        <f>VLOOKUP(Продажи[[#This Row],[id товара]],Товары[],3,0)</f>
        <v>Ярмарка</v>
      </c>
      <c r="M720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720" s="16">
        <f>Продажи[[#This Row],[цена за шт в рублях]]/Продажи[[#This Row],[Средняя цена в категории за шт по поставщику]]-1</f>
        <v>0.43598990263252801</v>
      </c>
      <c r="O720" s="48">
        <f>VLOOKUP(Продажи[[#This Row],[id клиента]],клиенты!$A$2:$E$435,5,0)</f>
        <v>44869</v>
      </c>
      <c r="P720">
        <f>Продажи[[#This Row],[дата создания чека]]-Продажи[[#This Row],[Дата регистрации]]</f>
        <v>156</v>
      </c>
      <c r="Q720" t="str">
        <f>VLOOKUP(Продажи[[#This Row],[id клиента]],клиенты!$A$2:$G$435,7,0)</f>
        <v>Украина</v>
      </c>
      <c r="R720">
        <f>IF(COUNTIF($H$2:H720, H720)=1, 1, 0)</f>
        <v>0</v>
      </c>
      <c r="S720" t="str">
        <f>VLOOKUP(Продажи[[#This Row],[id клиента]],клиенты!$A$2:$D$435,4,0)</f>
        <v>нет</v>
      </c>
      <c r="T720" s="54">
        <f>VLOOKUP(Продажи[[#This Row],[id клиента]],клиенты!$A$2:$I$435,9,0)</f>
        <v>5.1252566735112932</v>
      </c>
    </row>
    <row r="721" spans="1:20" x14ac:dyDescent="0.25">
      <c r="A721">
        <v>720</v>
      </c>
      <c r="B721">
        <v>426</v>
      </c>
      <c r="C721">
        <v>394</v>
      </c>
      <c r="D721">
        <v>5</v>
      </c>
      <c r="E721" s="35">
        <v>9850</v>
      </c>
      <c r="F721" s="48">
        <v>45349</v>
      </c>
      <c r="G721" t="s">
        <v>23</v>
      </c>
      <c r="H721">
        <v>386</v>
      </c>
      <c r="I721" t="str">
        <f>VLOOKUP(Продажи[[#This Row],[id товара]],Товары[],2,0)</f>
        <v>Печенье</v>
      </c>
      <c r="J721" s="17">
        <f>AVERAGEIF(Продажи[Категория],Продажи[[#This Row],[Категория]],Продажи[цена за шт в рублях])</f>
        <v>283.468085106383</v>
      </c>
      <c r="K721" s="16">
        <f>Продажи[[#This Row],[цена за шт в рублях]]/Продажи[[#This Row],[Средняя цена в категории за шт]]-1</f>
        <v>0.38992719357502059</v>
      </c>
      <c r="L721" t="str">
        <f>VLOOKUP(Продажи[[#This Row],[id товара]],Товары[],3,0)</f>
        <v>Посиделкино</v>
      </c>
      <c r="M721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721" s="16">
        <f>Продажи[[#This Row],[цена за шт в рублях]]/Продажи[[#This Row],[Средняя цена в категории за шт по поставщику]]-1</f>
        <v>0.22498586772187679</v>
      </c>
      <c r="O721" s="48">
        <f>VLOOKUP(Продажи[[#This Row],[id клиента]],клиенты!$A$2:$E$435,5,0)</f>
        <v>44734</v>
      </c>
      <c r="P721">
        <f>Продажи[[#This Row],[дата создания чека]]-Продажи[[#This Row],[Дата регистрации]]</f>
        <v>615</v>
      </c>
      <c r="Q721" t="str">
        <f>VLOOKUP(Продажи[[#This Row],[id клиента]],клиенты!$A$2:$G$435,7,0)</f>
        <v>Узбекистан</v>
      </c>
      <c r="R721">
        <f>IF(COUNTIF($H$2:H721, H721)=1, 1, 0)</f>
        <v>0</v>
      </c>
      <c r="S721" t="str">
        <f>VLOOKUP(Продажи[[#This Row],[id клиента]],клиенты!$A$2:$D$435,4,0)</f>
        <v>да</v>
      </c>
      <c r="T721" s="54">
        <f>VLOOKUP(Продажи[[#This Row],[id клиента]],клиенты!$A$2:$I$435,9,0)</f>
        <v>20.205338809034906</v>
      </c>
    </row>
    <row r="722" spans="1:20" x14ac:dyDescent="0.25">
      <c r="A722">
        <v>721</v>
      </c>
      <c r="B722">
        <v>378</v>
      </c>
      <c r="C722">
        <v>203</v>
      </c>
      <c r="D722">
        <v>4</v>
      </c>
      <c r="E722" s="35">
        <v>4060</v>
      </c>
      <c r="F722" s="48">
        <v>45244</v>
      </c>
      <c r="G722" t="s">
        <v>16</v>
      </c>
      <c r="H722">
        <v>238</v>
      </c>
      <c r="I722" t="str">
        <f>VLOOKUP(Продажи[[#This Row],[id товара]],Товары[],2,0)</f>
        <v>Сок</v>
      </c>
      <c r="J722" s="17">
        <f>AVERAGEIF(Продажи[Категория],Продажи[[#This Row],[Категория]],Продажи[цена за шт в рублях])</f>
        <v>268.60344827586209</v>
      </c>
      <c r="K722" s="16">
        <f>Продажи[[#This Row],[цена за шт в рублях]]/Продажи[[#This Row],[Средняя цена в категории за шт]]-1</f>
        <v>-0.24423903973297389</v>
      </c>
      <c r="L722" t="str">
        <f>VLOOKUP(Продажи[[#This Row],[id товара]],Товары[],3,0)</f>
        <v>Фруктовый сад</v>
      </c>
      <c r="M722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722" s="16">
        <f>Продажи[[#This Row],[цена за шт в рублях]]/Продажи[[#This Row],[Средняя цена в категории за шт по поставщику]]-1</f>
        <v>-0.28006206361520558</v>
      </c>
      <c r="O722" s="48">
        <f>VLOOKUP(Продажи[[#This Row],[id клиента]],клиенты!$A$2:$E$435,5,0)</f>
        <v>44909</v>
      </c>
      <c r="P722">
        <f>Продажи[[#This Row],[дата создания чека]]-Продажи[[#This Row],[Дата регистрации]]</f>
        <v>335</v>
      </c>
      <c r="Q722" t="str">
        <f>VLOOKUP(Продажи[[#This Row],[id клиента]],клиенты!$A$2:$G$435,7,0)</f>
        <v>Украина</v>
      </c>
      <c r="R722">
        <f>IF(COUNTIF($H$2:H722, H722)=1, 1, 0)</f>
        <v>1</v>
      </c>
      <c r="S722" t="str">
        <f>VLOOKUP(Продажи[[#This Row],[id клиента]],клиенты!$A$2:$D$435,4,0)</f>
        <v>да</v>
      </c>
      <c r="T722" s="54">
        <f>VLOOKUP(Продажи[[#This Row],[id клиента]],клиенты!$A$2:$I$435,9,0)</f>
        <v>11.006160164271048</v>
      </c>
    </row>
    <row r="723" spans="1:20" x14ac:dyDescent="0.25">
      <c r="A723">
        <v>722</v>
      </c>
      <c r="B723">
        <v>134</v>
      </c>
      <c r="C723">
        <v>450</v>
      </c>
      <c r="D723">
        <v>5</v>
      </c>
      <c r="E723" s="35">
        <v>11250</v>
      </c>
      <c r="F723" s="48">
        <v>45061</v>
      </c>
      <c r="G723" t="s">
        <v>8</v>
      </c>
      <c r="H723">
        <v>480</v>
      </c>
      <c r="I723" t="str">
        <f>VLOOKUP(Продажи[[#This Row],[id товара]],Товары[],2,0)</f>
        <v>Рыба</v>
      </c>
      <c r="J723" s="17">
        <f>AVERAGEIF(Продажи[Категория],Продажи[[#This Row],[Категория]],Продажи[цена за шт в рублях])</f>
        <v>258.5128205128205</v>
      </c>
      <c r="K723" s="16">
        <f>Продажи[[#This Row],[цена за шт в рублях]]/Продажи[[#This Row],[Средняя цена в категории за шт]]-1</f>
        <v>0.74072604641936124</v>
      </c>
      <c r="L723" t="str">
        <f>VLOOKUP(Продажи[[#This Row],[id товара]],Товары[],3,0)</f>
        <v>Меридиан</v>
      </c>
      <c r="M723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723" s="16">
        <f>Продажи[[#This Row],[цена за шт в рублях]]/Продажи[[#This Row],[Средняя цена в категории за шт по поставщику]]-1</f>
        <v>0.72647257955314837</v>
      </c>
      <c r="O723" s="48">
        <f>VLOOKUP(Продажи[[#This Row],[id клиента]],клиенты!$A$2:$E$435,5,0)</f>
        <v>44568</v>
      </c>
      <c r="P723">
        <f>Продажи[[#This Row],[дата создания чека]]-Продажи[[#This Row],[Дата регистрации]]</f>
        <v>493</v>
      </c>
      <c r="Q723" t="str">
        <f>VLOOKUP(Продажи[[#This Row],[id клиента]],клиенты!$A$2:$G$435,7,0)</f>
        <v>Узбекистан</v>
      </c>
      <c r="R723">
        <f>IF(COUNTIF($H$2:H723, H723)=1, 1, 0)</f>
        <v>0</v>
      </c>
      <c r="S723" t="str">
        <f>VLOOKUP(Продажи[[#This Row],[id клиента]],клиенты!$A$2:$D$435,4,0)</f>
        <v>да</v>
      </c>
      <c r="T723" s="54">
        <f>VLOOKUP(Продажи[[#This Row],[id клиента]],клиенты!$A$2:$I$435,9,0)</f>
        <v>27.860369609856264</v>
      </c>
    </row>
    <row r="724" spans="1:20" x14ac:dyDescent="0.25">
      <c r="A724">
        <v>723</v>
      </c>
      <c r="B724">
        <v>485</v>
      </c>
      <c r="C724">
        <v>323</v>
      </c>
      <c r="D724">
        <v>1</v>
      </c>
      <c r="E724" s="35">
        <v>1615</v>
      </c>
      <c r="F724" s="48">
        <v>45144</v>
      </c>
      <c r="G724" t="s">
        <v>25</v>
      </c>
      <c r="H724">
        <v>157</v>
      </c>
      <c r="I724" t="str">
        <f>VLOOKUP(Продажи[[#This Row],[id товара]],Товары[],2,0)</f>
        <v>Макароны</v>
      </c>
      <c r="J724" s="17">
        <f>AVERAGEIF(Продажи[Категория],Продажи[[#This Row],[Категория]],Продажи[цена за шт в рублях])</f>
        <v>265.47674418604652</v>
      </c>
      <c r="K724" s="16">
        <f>Продажи[[#This Row],[цена за шт в рублях]]/Продажи[[#This Row],[Средняя цена в категории за шт]]-1</f>
        <v>0.2166790766939688</v>
      </c>
      <c r="L724" t="str">
        <f>VLOOKUP(Продажи[[#This Row],[id товара]],Товары[],3,0)</f>
        <v>Борилла</v>
      </c>
      <c r="M724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724" s="16">
        <f>Продажи[[#This Row],[цена за шт в рублях]]/Продажи[[#This Row],[Средняя цена в категории за шт по поставщику]]-1</f>
        <v>0.36704611792177455</v>
      </c>
      <c r="O724" s="48">
        <f>VLOOKUP(Продажи[[#This Row],[id клиента]],клиенты!$A$2:$E$435,5,0)</f>
        <v>44783</v>
      </c>
      <c r="P724">
        <f>Продажи[[#This Row],[дата создания чека]]-Продажи[[#This Row],[Дата регистрации]]</f>
        <v>361</v>
      </c>
      <c r="Q724" t="str">
        <f>VLOOKUP(Продажи[[#This Row],[id клиента]],клиенты!$A$2:$G$435,7,0)</f>
        <v>Россия</v>
      </c>
      <c r="R724">
        <f>IF(COUNTIF($H$2:H724, H724)=1, 1, 0)</f>
        <v>0</v>
      </c>
      <c r="S724" t="str">
        <f>VLOOKUP(Продажи[[#This Row],[id клиента]],клиенты!$A$2:$D$435,4,0)</f>
        <v>нет</v>
      </c>
      <c r="T724" s="54">
        <f>VLOOKUP(Продажи[[#This Row],[id клиента]],клиенты!$A$2:$I$435,9,0)</f>
        <v>11.860369609856264</v>
      </c>
    </row>
    <row r="725" spans="1:20" x14ac:dyDescent="0.25">
      <c r="A725">
        <v>724</v>
      </c>
      <c r="B725">
        <v>400</v>
      </c>
      <c r="C725">
        <v>358</v>
      </c>
      <c r="D725">
        <v>4</v>
      </c>
      <c r="E725" s="35">
        <v>7160</v>
      </c>
      <c r="F725" s="48">
        <v>45103</v>
      </c>
      <c r="G725" t="s">
        <v>10</v>
      </c>
      <c r="H725">
        <v>9</v>
      </c>
      <c r="I725" t="str">
        <f>VLOOKUP(Продажи[[#This Row],[id товара]],Товары[],2,0)</f>
        <v>Молоко</v>
      </c>
      <c r="J725" s="17">
        <f>AVERAGEIF(Продажи[Категория],Продажи[[#This Row],[Категория]],Продажи[цена за шт в рублях])</f>
        <v>294.95238095238096</v>
      </c>
      <c r="K725" s="16">
        <f>Продажи[[#This Row],[цена за шт в рублях]]/Продажи[[#This Row],[Средняя цена в категории за шт]]-1</f>
        <v>0.21375524701323867</v>
      </c>
      <c r="L725" t="str">
        <f>VLOOKUP(Продажи[[#This Row],[id товара]],Товары[],3,0)</f>
        <v>Беллакт</v>
      </c>
      <c r="M725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725" s="16">
        <f>Продажи[[#This Row],[цена за шт в рублях]]/Продажи[[#This Row],[Средняя цена в категории за шт по поставщику]]-1</f>
        <v>0.10992108229988728</v>
      </c>
      <c r="O725" s="48">
        <f>VLOOKUP(Продажи[[#This Row],[id клиента]],клиенты!$A$2:$E$435,5,0)</f>
        <v>44900</v>
      </c>
      <c r="P725">
        <f>Продажи[[#This Row],[дата создания чека]]-Продажи[[#This Row],[Дата регистрации]]</f>
        <v>203</v>
      </c>
      <c r="Q725" t="str">
        <f>VLOOKUP(Продажи[[#This Row],[id клиента]],клиенты!$A$2:$G$435,7,0)</f>
        <v>Таджикистан</v>
      </c>
      <c r="R725">
        <f>IF(COUNTIF($H$2:H725, H725)=1, 1, 0)</f>
        <v>0</v>
      </c>
      <c r="S725" t="str">
        <f>VLOOKUP(Продажи[[#This Row],[id клиента]],клиенты!$A$2:$D$435,4,0)</f>
        <v>да</v>
      </c>
      <c r="T725" s="54">
        <f>VLOOKUP(Продажи[[#This Row],[id клиента]],клиенты!$A$2:$I$435,9,0)</f>
        <v>14.390143737166325</v>
      </c>
    </row>
    <row r="726" spans="1:20" x14ac:dyDescent="0.25">
      <c r="A726">
        <v>725</v>
      </c>
      <c r="B726">
        <v>28</v>
      </c>
      <c r="C726">
        <v>459</v>
      </c>
      <c r="D726">
        <v>1</v>
      </c>
      <c r="E726" s="35">
        <v>2295</v>
      </c>
      <c r="F726" s="48">
        <v>45377</v>
      </c>
      <c r="G726" t="s">
        <v>8</v>
      </c>
      <c r="H726">
        <v>63</v>
      </c>
      <c r="I726" t="str">
        <f>VLOOKUP(Продажи[[#This Row],[id товара]],Товары[],2,0)</f>
        <v>Крупа</v>
      </c>
      <c r="J726" s="17">
        <f>AVERAGEIF(Продажи[Категория],Продажи[[#This Row],[Категория]],Продажи[цена за шт в рублях])</f>
        <v>255.11627906976744</v>
      </c>
      <c r="K726" s="16">
        <f>Продажи[[#This Row],[цена за шт в рублях]]/Продажи[[#This Row],[Средняя цена в категории за шт]]-1</f>
        <v>0.79917958067456696</v>
      </c>
      <c r="L726" t="str">
        <f>VLOOKUP(Продажи[[#This Row],[id товара]],Товары[],3,0)</f>
        <v>Националь</v>
      </c>
      <c r="M726" s="32">
        <f>AVERAGEIFS(Продажи[цена за шт в рублях],Продажи[Категория],Продажи[[#This Row],[Категория]],Продажи[Поставщик],Продажи[[#This Row],[Поставщик]])</f>
        <v>274.28571428571428</v>
      </c>
      <c r="N726" s="16">
        <f>Продажи[[#This Row],[цена за шт в рублях]]/Продажи[[#This Row],[Средняя цена в категории за шт по поставщику]]-1</f>
        <v>0.67343750000000013</v>
      </c>
      <c r="O726" s="48">
        <f>VLOOKUP(Продажи[[#This Row],[id клиента]],клиенты!$A$2:$E$435,5,0)</f>
        <v>44684</v>
      </c>
      <c r="P726">
        <f>Продажи[[#This Row],[дата создания чека]]-Продажи[[#This Row],[Дата регистрации]]</f>
        <v>693</v>
      </c>
      <c r="Q726" t="str">
        <f>VLOOKUP(Продажи[[#This Row],[id клиента]],клиенты!$A$2:$G$435,7,0)</f>
        <v>Украина</v>
      </c>
      <c r="R726">
        <f>IF(COUNTIF($H$2:H726, H726)=1, 1, 0)</f>
        <v>0</v>
      </c>
      <c r="S726" t="str">
        <f>VLOOKUP(Продажи[[#This Row],[id клиента]],клиенты!$A$2:$D$435,4,0)</f>
        <v>да</v>
      </c>
      <c r="T726" s="54">
        <f>VLOOKUP(Продажи[[#This Row],[id клиента]],клиенты!$A$2:$I$435,9,0)</f>
        <v>23.819301848049282</v>
      </c>
    </row>
    <row r="727" spans="1:20" x14ac:dyDescent="0.25">
      <c r="A727">
        <v>726</v>
      </c>
      <c r="B727">
        <v>195</v>
      </c>
      <c r="C727">
        <v>497</v>
      </c>
      <c r="D727">
        <v>5</v>
      </c>
      <c r="E727" s="35">
        <v>12425</v>
      </c>
      <c r="F727" s="48">
        <v>45136</v>
      </c>
      <c r="G727" t="s">
        <v>24</v>
      </c>
      <c r="H727">
        <v>105</v>
      </c>
      <c r="I727" t="str">
        <f>VLOOKUP(Продажи[[#This Row],[id товара]],Товары[],2,0)</f>
        <v>Хлеб</v>
      </c>
      <c r="J727" s="17">
        <f>AVERAGEIF(Продажи[Категория],Продажи[[#This Row],[Категория]],Продажи[цена за шт в рублях])</f>
        <v>300.31818181818181</v>
      </c>
      <c r="K727" s="16">
        <f>Продажи[[#This Row],[цена за шт в рублях]]/Продажи[[#This Row],[Средняя цена в категории за шт]]-1</f>
        <v>0.65491145754502811</v>
      </c>
      <c r="L727" t="str">
        <f>VLOOKUP(Продажи[[#This Row],[id товара]],Товары[],3,0)</f>
        <v>Каравай</v>
      </c>
      <c r="M727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727" s="16">
        <f>Продажи[[#This Row],[цена за шт в рублях]]/Продажи[[#This Row],[Средняя цена в категории за шт по поставщику]]-1</f>
        <v>0.50075490689481628</v>
      </c>
      <c r="O727" s="48">
        <f>VLOOKUP(Продажи[[#This Row],[id клиента]],клиенты!$A$2:$E$435,5,0)</f>
        <v>44918</v>
      </c>
      <c r="P727">
        <f>Продажи[[#This Row],[дата создания чека]]-Продажи[[#This Row],[Дата регистрации]]</f>
        <v>218</v>
      </c>
      <c r="Q727" t="str">
        <f>VLOOKUP(Продажи[[#This Row],[id клиента]],клиенты!$A$2:$G$435,7,0)</f>
        <v>Узбекистан</v>
      </c>
      <c r="R727">
        <f>IF(COUNTIF($H$2:H727, H727)=1, 1, 0)</f>
        <v>1</v>
      </c>
      <c r="S727" t="str">
        <f>VLOOKUP(Продажи[[#This Row],[id клиента]],клиенты!$A$2:$D$435,4,0)</f>
        <v>да</v>
      </c>
      <c r="T727" s="54">
        <f>VLOOKUP(Продажи[[#This Row],[id клиента]],клиенты!$A$2:$I$435,9,0)</f>
        <v>9.3634496919917858</v>
      </c>
    </row>
    <row r="728" spans="1:20" x14ac:dyDescent="0.25">
      <c r="A728">
        <v>727</v>
      </c>
      <c r="B728">
        <v>398</v>
      </c>
      <c r="C728">
        <v>361</v>
      </c>
      <c r="D728">
        <v>1</v>
      </c>
      <c r="E728" s="35">
        <v>1805</v>
      </c>
      <c r="F728" s="48">
        <v>45336</v>
      </c>
      <c r="G728" t="s">
        <v>15</v>
      </c>
      <c r="H728">
        <v>40</v>
      </c>
      <c r="I728" t="str">
        <f>VLOOKUP(Продажи[[#This Row],[id товара]],Товары[],2,0)</f>
        <v>Сок</v>
      </c>
      <c r="J728" s="17">
        <f>AVERAGEIF(Продажи[Категория],Продажи[[#This Row],[Категория]],Продажи[цена за шт в рублях])</f>
        <v>268.60344827586209</v>
      </c>
      <c r="K728" s="16">
        <f>Продажи[[#This Row],[цена за шт в рублях]]/Продажи[[#This Row],[Средняя цена в категории за шт]]-1</f>
        <v>0.34398870274086901</v>
      </c>
      <c r="L728" t="str">
        <f>VLOOKUP(Продажи[[#This Row],[id товара]],Товары[],3,0)</f>
        <v>Фруктовый сад</v>
      </c>
      <c r="M728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728" s="16">
        <f>Продажи[[#This Row],[цена за шт в рублях]]/Продажи[[#This Row],[Средняя цена в категории за шт по поставщику]]-1</f>
        <v>0.28028371938379704</v>
      </c>
      <c r="O728" s="48">
        <f>VLOOKUP(Продажи[[#This Row],[id клиента]],клиенты!$A$2:$E$435,5,0)</f>
        <v>44855</v>
      </c>
      <c r="P728">
        <f>Продажи[[#This Row],[дата создания чека]]-Продажи[[#This Row],[Дата регистрации]]</f>
        <v>481</v>
      </c>
      <c r="Q728" t="str">
        <f>VLOOKUP(Продажи[[#This Row],[id клиента]],клиенты!$A$2:$G$435,7,0)</f>
        <v>Россия</v>
      </c>
      <c r="R728">
        <f>IF(COUNTIF($H$2:H728, H728)=1, 1, 0)</f>
        <v>0</v>
      </c>
      <c r="S728" t="str">
        <f>VLOOKUP(Продажи[[#This Row],[id клиента]],клиенты!$A$2:$D$435,4,0)</f>
        <v>нет</v>
      </c>
      <c r="T728" s="54">
        <f>VLOOKUP(Продажи[[#This Row],[id клиента]],клиенты!$A$2:$I$435,9,0)</f>
        <v>18.924024640657084</v>
      </c>
    </row>
    <row r="729" spans="1:20" x14ac:dyDescent="0.25">
      <c r="A729">
        <v>728</v>
      </c>
      <c r="B729">
        <v>77</v>
      </c>
      <c r="C729">
        <v>160</v>
      </c>
      <c r="D729">
        <v>2</v>
      </c>
      <c r="E729" s="35">
        <v>1600</v>
      </c>
      <c r="F729" s="48">
        <v>45222</v>
      </c>
      <c r="G729" t="s">
        <v>19</v>
      </c>
      <c r="H729">
        <v>260</v>
      </c>
      <c r="I729" t="str">
        <f>VLOOKUP(Продажи[[#This Row],[id товара]],Товары[],2,0)</f>
        <v>Макароны</v>
      </c>
      <c r="J729" s="17">
        <f>AVERAGEIF(Продажи[Категория],Продажи[[#This Row],[Категория]],Продажи[цена за шт в рублях])</f>
        <v>265.47674418604652</v>
      </c>
      <c r="K729" s="16">
        <f>Продажи[[#This Row],[цена за шт в рублях]]/Продажи[[#This Row],[Средняя цена в категории за шт]]-1</f>
        <v>-0.39731067408348297</v>
      </c>
      <c r="L729" t="str">
        <f>VLOOKUP(Продажи[[#This Row],[id товара]],Товары[],3,0)</f>
        <v>Паста Зара</v>
      </c>
      <c r="M729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729" s="16">
        <f>Продажи[[#This Row],[цена за шт в рублях]]/Продажи[[#This Row],[Средняя цена в категории за шт по поставщику]]-1</f>
        <v>-0.42170557780599782</v>
      </c>
      <c r="O729" s="48">
        <f>VLOOKUP(Продажи[[#This Row],[id клиента]],клиенты!$A$2:$E$435,5,0)</f>
        <v>44729</v>
      </c>
      <c r="P729">
        <f>Продажи[[#This Row],[дата создания чека]]-Продажи[[#This Row],[Дата регистрации]]</f>
        <v>493</v>
      </c>
      <c r="Q729" t="str">
        <f>VLOOKUP(Продажи[[#This Row],[id клиента]],клиенты!$A$2:$G$435,7,0)</f>
        <v>Украина</v>
      </c>
      <c r="R729">
        <f>IF(COUNTIF($H$2:H729, H729)=1, 1, 0)</f>
        <v>1</v>
      </c>
      <c r="S729" t="str">
        <f>VLOOKUP(Продажи[[#This Row],[id клиента]],клиенты!$A$2:$D$435,4,0)</f>
        <v>да</v>
      </c>
      <c r="T729" s="54">
        <f>VLOOKUP(Продажи[[#This Row],[id клиента]],клиенты!$A$2:$I$435,9,0)</f>
        <v>16.197125256673512</v>
      </c>
    </row>
    <row r="730" spans="1:20" x14ac:dyDescent="0.25">
      <c r="A730">
        <v>729</v>
      </c>
      <c r="B730">
        <v>128</v>
      </c>
      <c r="C730">
        <v>419</v>
      </c>
      <c r="D730">
        <v>5</v>
      </c>
      <c r="E730" s="35">
        <v>10475</v>
      </c>
      <c r="F730" s="48">
        <v>44943</v>
      </c>
      <c r="G730" t="s">
        <v>12</v>
      </c>
      <c r="H730">
        <v>220</v>
      </c>
      <c r="I730" t="str">
        <f>VLOOKUP(Продажи[[#This Row],[id товара]],Товары[],2,0)</f>
        <v>Мясо</v>
      </c>
      <c r="J730" s="17">
        <f>AVERAGEIF(Продажи[Категория],Продажи[[#This Row],[Категория]],Продажи[цена за шт в рублях])</f>
        <v>271.74545454545455</v>
      </c>
      <c r="K730" s="16">
        <f>Продажи[[#This Row],[цена за шт в рублях]]/Продажи[[#This Row],[Средняя цена в категории за шт]]-1</f>
        <v>0.54188411615147869</v>
      </c>
      <c r="L730" t="str">
        <f>VLOOKUP(Продажи[[#This Row],[id товара]],Товары[],3,0)</f>
        <v>Мираторг</v>
      </c>
      <c r="M730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730" s="16">
        <f>Продажи[[#This Row],[цена за шт в рублях]]/Продажи[[#This Row],[Средняя цена в категории за шт по поставщику]]-1</f>
        <v>0.32350618583837853</v>
      </c>
      <c r="O730" s="48">
        <f>VLOOKUP(Продажи[[#This Row],[id клиента]],клиенты!$A$2:$E$435,5,0)</f>
        <v>44570</v>
      </c>
      <c r="P730">
        <f>Продажи[[#This Row],[дата создания чека]]-Продажи[[#This Row],[Дата регистрации]]</f>
        <v>373</v>
      </c>
      <c r="Q730" t="str">
        <f>VLOOKUP(Продажи[[#This Row],[id клиента]],клиенты!$A$2:$G$435,7,0)</f>
        <v>Украина</v>
      </c>
      <c r="R730">
        <f>IF(COUNTIF($H$2:H730, H730)=1, 1, 0)</f>
        <v>0</v>
      </c>
      <c r="S730" t="str">
        <f>VLOOKUP(Продажи[[#This Row],[id клиента]],клиенты!$A$2:$D$435,4,0)</f>
        <v>нет</v>
      </c>
      <c r="T730" s="54">
        <f>VLOOKUP(Продажи[[#This Row],[id клиента]],клиенты!$A$2:$I$435,9,0)</f>
        <v>16.689938398357288</v>
      </c>
    </row>
    <row r="731" spans="1:20" x14ac:dyDescent="0.25">
      <c r="A731">
        <v>730</v>
      </c>
      <c r="B731">
        <v>328</v>
      </c>
      <c r="C731">
        <v>429</v>
      </c>
      <c r="D731">
        <v>4</v>
      </c>
      <c r="E731" s="35">
        <v>8580</v>
      </c>
      <c r="F731" s="48">
        <v>45245</v>
      </c>
      <c r="G731" t="s">
        <v>15</v>
      </c>
      <c r="H731">
        <v>88</v>
      </c>
      <c r="I731" t="str">
        <f>VLOOKUP(Продажи[[#This Row],[id товара]],Товары[],2,0)</f>
        <v>Чипсы</v>
      </c>
      <c r="J731" s="17">
        <f>AVERAGEIF(Продажи[Категория],Продажи[[#This Row],[Категория]],Продажи[цена за шт в рублях])</f>
        <v>273.72549019607845</v>
      </c>
      <c r="K731" s="16">
        <f>Продажи[[#This Row],[цена за шт в рублях]]/Продажи[[#This Row],[Средняя цена в категории за шт]]-1</f>
        <v>0.56726361031518602</v>
      </c>
      <c r="L731" t="str">
        <f>VLOOKUP(Продажи[[#This Row],[id товара]],Товары[],3,0)</f>
        <v>Русская картошка</v>
      </c>
      <c r="M731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731" s="16">
        <f>Продажи[[#This Row],[цена за шт в рублях]]/Продажи[[#This Row],[Средняя цена в категории за шт по поставщику]]-1</f>
        <v>0.77394900068917982</v>
      </c>
      <c r="O731" s="48">
        <f>VLOOKUP(Продажи[[#This Row],[id клиента]],клиенты!$A$2:$E$435,5,0)</f>
        <v>44630</v>
      </c>
      <c r="P731">
        <f>Продажи[[#This Row],[дата создания чека]]-Продажи[[#This Row],[Дата регистрации]]</f>
        <v>615</v>
      </c>
      <c r="Q731" t="str">
        <f>VLOOKUP(Продажи[[#This Row],[id клиента]],клиенты!$A$2:$G$435,7,0)</f>
        <v>Украина</v>
      </c>
      <c r="R731">
        <f>IF(COUNTIF($H$2:H731, H731)=1, 1, 0)</f>
        <v>0</v>
      </c>
      <c r="S731" t="str">
        <f>VLOOKUP(Продажи[[#This Row],[id клиента]],клиенты!$A$2:$D$435,4,0)</f>
        <v>да</v>
      </c>
      <c r="T731" s="54">
        <f>VLOOKUP(Продажи[[#This Row],[id клиента]],клиенты!$A$2:$I$435,9,0)</f>
        <v>24.706365503080082</v>
      </c>
    </row>
    <row r="732" spans="1:20" x14ac:dyDescent="0.25">
      <c r="A732">
        <v>731</v>
      </c>
      <c r="B732">
        <v>455</v>
      </c>
      <c r="C732">
        <v>72</v>
      </c>
      <c r="D732">
        <v>2</v>
      </c>
      <c r="E732" s="35">
        <v>720</v>
      </c>
      <c r="F732" s="48">
        <v>45102</v>
      </c>
      <c r="G732" t="s">
        <v>13</v>
      </c>
      <c r="H732">
        <v>66</v>
      </c>
      <c r="I732" t="str">
        <f>VLOOKUP(Продажи[[#This Row],[id товара]],Товары[],2,0)</f>
        <v>Соль</v>
      </c>
      <c r="J732" s="17">
        <f>AVERAGEIF(Продажи[Категория],Продажи[[#This Row],[Категория]],Продажи[цена за шт в рублях])</f>
        <v>264.8679245283019</v>
      </c>
      <c r="K732" s="16">
        <f>Продажи[[#This Row],[цена за шт в рублях]]/Продажи[[#This Row],[Средняя цена в категории за шт]]-1</f>
        <v>-0.72816640547086475</v>
      </c>
      <c r="L732" t="str">
        <f>VLOOKUP(Продажи[[#This Row],[id товара]],Товары[],3,0)</f>
        <v>Славянская</v>
      </c>
      <c r="M732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732" s="16">
        <f>Продажи[[#This Row],[цена за шт в рублях]]/Продажи[[#This Row],[Средняя цена в категории за шт по поставщику]]-1</f>
        <v>-0.69609567358424196</v>
      </c>
      <c r="O732" s="48">
        <f>VLOOKUP(Продажи[[#This Row],[id клиента]],клиенты!$A$2:$E$435,5,0)</f>
        <v>44777</v>
      </c>
      <c r="P732">
        <f>Продажи[[#This Row],[дата создания чека]]-Продажи[[#This Row],[Дата регистрации]]</f>
        <v>325</v>
      </c>
      <c r="Q732" t="str">
        <f>VLOOKUP(Продажи[[#This Row],[id клиента]],клиенты!$A$2:$G$435,7,0)</f>
        <v>Россия</v>
      </c>
      <c r="R732">
        <f>IF(COUNTIF($H$2:H732, H732)=1, 1, 0)</f>
        <v>0</v>
      </c>
      <c r="S732" t="str">
        <f>VLOOKUP(Продажи[[#This Row],[id клиента]],клиенты!$A$2:$D$435,4,0)</f>
        <v>нет</v>
      </c>
      <c r="T732" s="54">
        <f>VLOOKUP(Продажи[[#This Row],[id клиента]],клиенты!$A$2:$I$435,9,0)</f>
        <v>10.677618069815194</v>
      </c>
    </row>
    <row r="733" spans="1:20" x14ac:dyDescent="0.25">
      <c r="A733">
        <v>732</v>
      </c>
      <c r="B733">
        <v>371</v>
      </c>
      <c r="C733">
        <v>97</v>
      </c>
      <c r="D733">
        <v>3</v>
      </c>
      <c r="E733" s="35">
        <v>1455</v>
      </c>
      <c r="F733" s="48">
        <v>45134</v>
      </c>
      <c r="G733" t="s">
        <v>9</v>
      </c>
      <c r="H733">
        <v>15</v>
      </c>
      <c r="I733" t="str">
        <f>VLOOKUP(Продажи[[#This Row],[id товара]],Товары[],2,0)</f>
        <v>Сахар</v>
      </c>
      <c r="J733" s="17">
        <f>AVERAGEIF(Продажи[Категория],Продажи[[#This Row],[Категория]],Продажи[цена за шт в рублях])</f>
        <v>252.76271186440678</v>
      </c>
      <c r="K733" s="16">
        <f>Продажи[[#This Row],[цена за шт в рублях]]/Продажи[[#This Row],[Средняя цена в категории за шт]]-1</f>
        <v>-0.6162408636759874</v>
      </c>
      <c r="L733" t="str">
        <f>VLOOKUP(Продажи[[#This Row],[id товара]],Товары[],3,0)</f>
        <v>Русский сахар</v>
      </c>
      <c r="M733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733" s="16">
        <f>Продажи[[#This Row],[цена за шт в рублях]]/Продажи[[#This Row],[Средняя цена в категории за шт по поставщику]]-1</f>
        <v>-0.66940657578187657</v>
      </c>
      <c r="O733" s="48">
        <f>VLOOKUP(Продажи[[#This Row],[id клиента]],клиенты!$A$2:$E$435,5,0)</f>
        <v>44711</v>
      </c>
      <c r="P733">
        <f>Продажи[[#This Row],[дата создания чека]]-Продажи[[#This Row],[Дата регистрации]]</f>
        <v>423</v>
      </c>
      <c r="Q733" t="str">
        <f>VLOOKUP(Продажи[[#This Row],[id клиента]],клиенты!$A$2:$G$435,7,0)</f>
        <v>Украина</v>
      </c>
      <c r="R733">
        <f>IF(COUNTIF($H$2:H733, H733)=1, 1, 0)</f>
        <v>0</v>
      </c>
      <c r="S733" t="str">
        <f>VLOOKUP(Продажи[[#This Row],[id клиента]],клиенты!$A$2:$D$435,4,0)</f>
        <v>нет</v>
      </c>
      <c r="T733" s="54">
        <f>VLOOKUP(Продажи[[#This Row],[id клиента]],клиенты!$A$2:$I$435,9,0)</f>
        <v>13.897330595482547</v>
      </c>
    </row>
    <row r="734" spans="1:20" x14ac:dyDescent="0.25">
      <c r="A734">
        <v>733</v>
      </c>
      <c r="B734">
        <v>486</v>
      </c>
      <c r="C734">
        <v>57</v>
      </c>
      <c r="D734">
        <v>2</v>
      </c>
      <c r="E734" s="35">
        <v>570</v>
      </c>
      <c r="F734" s="48">
        <v>45198</v>
      </c>
      <c r="G734" t="s">
        <v>8</v>
      </c>
      <c r="H734">
        <v>485</v>
      </c>
      <c r="I734" t="str">
        <f>VLOOKUP(Продажи[[#This Row],[id товара]],Товары[],2,0)</f>
        <v>Соль</v>
      </c>
      <c r="J734" s="17">
        <f>AVERAGEIF(Продажи[Категория],Продажи[[#This Row],[Категория]],Продажи[цена за шт в рублях])</f>
        <v>264.8679245283019</v>
      </c>
      <c r="K734" s="16">
        <f>Продажи[[#This Row],[цена за шт в рублях]]/Продажи[[#This Row],[Средняя цена в категории за шт]]-1</f>
        <v>-0.78479840433110137</v>
      </c>
      <c r="L734" t="str">
        <f>VLOOKUP(Продажи[[#This Row],[id товара]],Товары[],3,0)</f>
        <v>Илецкая</v>
      </c>
      <c r="M734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734" s="16">
        <f>Продажи[[#This Row],[цена за шт в рублях]]/Продажи[[#This Row],[Средняя цена в категории за шт по поставщику]]-1</f>
        <v>-0.76067179846046185</v>
      </c>
      <c r="O734" s="48">
        <f>VLOOKUP(Продажи[[#This Row],[id клиента]],клиенты!$A$2:$E$435,5,0)</f>
        <v>44723</v>
      </c>
      <c r="P734">
        <f>Продажи[[#This Row],[дата создания чека]]-Продажи[[#This Row],[Дата регистрации]]</f>
        <v>475</v>
      </c>
      <c r="Q734" t="str">
        <f>VLOOKUP(Продажи[[#This Row],[id клиента]],клиенты!$A$2:$G$435,7,0)</f>
        <v>Россия</v>
      </c>
      <c r="R734">
        <f>IF(COUNTIF($H$2:H734, H734)=1, 1, 0)</f>
        <v>0</v>
      </c>
      <c r="S734" t="str">
        <f>VLOOKUP(Продажи[[#This Row],[id клиента]],клиенты!$A$2:$D$435,4,0)</f>
        <v>нет</v>
      </c>
      <c r="T734" s="54">
        <f>VLOOKUP(Продажи[[#This Row],[id клиента]],клиенты!$A$2:$I$435,9,0)</f>
        <v>17.872689938398356</v>
      </c>
    </row>
    <row r="735" spans="1:20" x14ac:dyDescent="0.25">
      <c r="A735">
        <v>734</v>
      </c>
      <c r="B735">
        <v>359</v>
      </c>
      <c r="C735">
        <v>126</v>
      </c>
      <c r="D735">
        <v>4</v>
      </c>
      <c r="E735" s="35">
        <v>2520</v>
      </c>
      <c r="F735" s="48">
        <v>45065</v>
      </c>
      <c r="G735" t="s">
        <v>15</v>
      </c>
      <c r="H735">
        <v>394</v>
      </c>
      <c r="I735" t="str">
        <f>VLOOKUP(Продажи[[#This Row],[id товара]],Товары[],2,0)</f>
        <v>Мясо</v>
      </c>
      <c r="J735" s="17">
        <f>AVERAGEIF(Продажи[Категория],Продажи[[#This Row],[Категория]],Продажи[цена за шт в рублях])</f>
        <v>271.74545454545455</v>
      </c>
      <c r="K735" s="16">
        <f>Продажи[[#This Row],[цена за шт в рублях]]/Продажи[[#This Row],[Средняя цена в категории за шт]]-1</f>
        <v>-0.53633079084704938</v>
      </c>
      <c r="L735" t="str">
        <f>VLOOKUP(Продажи[[#This Row],[id товара]],Товары[],3,0)</f>
        <v>Мираторг</v>
      </c>
      <c r="M735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735" s="16">
        <f>Продажи[[#This Row],[цена за шт в рублях]]/Продажи[[#This Row],[Средняя цена в категории за шт по поставщику]]-1</f>
        <v>-0.60200052645433</v>
      </c>
      <c r="O735" s="48">
        <f>VLOOKUP(Продажи[[#This Row],[id клиента]],клиенты!$A$2:$E$435,5,0)</f>
        <v>44708</v>
      </c>
      <c r="P735">
        <f>Продажи[[#This Row],[дата создания чека]]-Продажи[[#This Row],[Дата регистрации]]</f>
        <v>357</v>
      </c>
      <c r="Q735" t="str">
        <f>VLOOKUP(Продажи[[#This Row],[id клиента]],клиенты!$A$2:$G$435,7,0)</f>
        <v>Россия</v>
      </c>
      <c r="R735">
        <f>IF(COUNTIF($H$2:H735, H735)=1, 1, 0)</f>
        <v>1</v>
      </c>
      <c r="S735" t="str">
        <f>VLOOKUP(Продажи[[#This Row],[id клиента]],клиенты!$A$2:$D$435,4,0)</f>
        <v>да</v>
      </c>
      <c r="T735" s="54">
        <f>VLOOKUP(Продажи[[#This Row],[id клиента]],клиенты!$A$2:$I$435,9,0)</f>
        <v>22.965092402464066</v>
      </c>
    </row>
    <row r="736" spans="1:20" x14ac:dyDescent="0.25">
      <c r="A736">
        <v>735</v>
      </c>
      <c r="B736">
        <v>267</v>
      </c>
      <c r="C736">
        <v>54</v>
      </c>
      <c r="D736">
        <v>2</v>
      </c>
      <c r="E736" s="35">
        <v>540</v>
      </c>
      <c r="F736" s="48">
        <v>45251</v>
      </c>
      <c r="G736" t="s">
        <v>23</v>
      </c>
      <c r="H736">
        <v>290</v>
      </c>
      <c r="I736" t="str">
        <f>VLOOKUP(Продажи[[#This Row],[id товара]],Товары[],2,0)</f>
        <v>Овощи</v>
      </c>
      <c r="J736" s="17">
        <f>AVERAGEIF(Продажи[Категория],Продажи[[#This Row],[Категория]],Продажи[цена за шт в рублях])</f>
        <v>250.48780487804879</v>
      </c>
      <c r="K736" s="16">
        <f>Продажи[[#This Row],[цена за шт в рублях]]/Продажи[[#This Row],[Средняя цена в категории за шт]]-1</f>
        <v>-0.78442064264849076</v>
      </c>
      <c r="L736" t="str">
        <f>VLOOKUP(Продажи[[#This Row],[id товара]],Товары[],3,0)</f>
        <v>Семко</v>
      </c>
      <c r="M736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736" s="16">
        <f>Продажи[[#This Row],[цена за шт в рублях]]/Продажи[[#This Row],[Средняя цена в категории за шт по поставщику]]-1</f>
        <v>-0.74038461538461542</v>
      </c>
      <c r="O736" s="48">
        <f>VLOOKUP(Продажи[[#This Row],[id клиента]],клиенты!$A$2:$E$435,5,0)</f>
        <v>44777</v>
      </c>
      <c r="P736">
        <f>Продажи[[#This Row],[дата создания чека]]-Продажи[[#This Row],[Дата регистрации]]</f>
        <v>474</v>
      </c>
      <c r="Q736" t="str">
        <f>VLOOKUP(Продажи[[#This Row],[id клиента]],клиенты!$A$2:$G$435,7,0)</f>
        <v>Россия</v>
      </c>
      <c r="R736">
        <f>IF(COUNTIF($H$2:H736, H736)=1, 1, 0)</f>
        <v>0</v>
      </c>
      <c r="S736" t="str">
        <f>VLOOKUP(Продажи[[#This Row],[id клиента]],клиенты!$A$2:$D$435,4,0)</f>
        <v>да</v>
      </c>
      <c r="T736" s="54">
        <f>VLOOKUP(Продажи[[#This Row],[id клиента]],клиенты!$A$2:$I$435,9,0)</f>
        <v>19.449691991786448</v>
      </c>
    </row>
    <row r="737" spans="1:20" x14ac:dyDescent="0.25">
      <c r="A737">
        <v>736</v>
      </c>
      <c r="B737">
        <v>52</v>
      </c>
      <c r="C737">
        <v>150</v>
      </c>
      <c r="D737">
        <v>4</v>
      </c>
      <c r="E737" s="35">
        <v>3000</v>
      </c>
      <c r="F737" s="48">
        <v>45303</v>
      </c>
      <c r="G737" t="s">
        <v>11</v>
      </c>
      <c r="H737">
        <v>279</v>
      </c>
      <c r="I737" t="str">
        <f>VLOOKUP(Продажи[[#This Row],[id товара]],Товары[],2,0)</f>
        <v>Соль</v>
      </c>
      <c r="J737" s="17">
        <f>AVERAGEIF(Продажи[Категория],Продажи[[#This Row],[Категория]],Продажи[цена за шт в рублях])</f>
        <v>264.8679245283019</v>
      </c>
      <c r="K737" s="16">
        <f>Продажи[[#This Row],[цена за шт в рублях]]/Продажи[[#This Row],[Средняя цена в категории за шт]]-1</f>
        <v>-0.43368001139763501</v>
      </c>
      <c r="L737" t="str">
        <f>VLOOKUP(Продажи[[#This Row],[id товара]],Товары[],3,0)</f>
        <v>Илецкая</v>
      </c>
      <c r="M737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737" s="16">
        <f>Продажи[[#This Row],[цена за шт в рублях]]/Продажи[[#This Row],[Средняя цена в категории за шт по поставщику]]-1</f>
        <v>-0.37018894331700491</v>
      </c>
      <c r="O737" s="48">
        <f>VLOOKUP(Продажи[[#This Row],[id клиента]],клиенты!$A$2:$E$435,5,0)</f>
        <v>44786</v>
      </c>
      <c r="P737">
        <f>Продажи[[#This Row],[дата создания чека]]-Продажи[[#This Row],[Дата регистрации]]</f>
        <v>517</v>
      </c>
      <c r="Q737" t="str">
        <f>VLOOKUP(Продажи[[#This Row],[id клиента]],клиенты!$A$2:$G$435,7,0)</f>
        <v>Узбекистан</v>
      </c>
      <c r="R737">
        <f>IF(COUNTIF($H$2:H737, H737)=1, 1, 0)</f>
        <v>0</v>
      </c>
      <c r="S737" t="str">
        <f>VLOOKUP(Продажи[[#This Row],[id клиента]],клиенты!$A$2:$D$435,4,0)</f>
        <v>да</v>
      </c>
      <c r="T737" s="54">
        <f>VLOOKUP(Продажи[[#This Row],[id клиента]],клиенты!$A$2:$I$435,9,0)</f>
        <v>16.985626283367555</v>
      </c>
    </row>
    <row r="738" spans="1:20" x14ac:dyDescent="0.25">
      <c r="A738">
        <v>737</v>
      </c>
      <c r="B738">
        <v>187</v>
      </c>
      <c r="C738">
        <v>233</v>
      </c>
      <c r="D738">
        <v>4</v>
      </c>
      <c r="E738" s="35">
        <v>4660</v>
      </c>
      <c r="F738" s="48">
        <v>45086</v>
      </c>
      <c r="G738" t="s">
        <v>17</v>
      </c>
      <c r="H738">
        <v>245</v>
      </c>
      <c r="I738" t="str">
        <f>VLOOKUP(Продажи[[#This Row],[id товара]],Товары[],2,0)</f>
        <v>Макароны</v>
      </c>
      <c r="J738" s="17">
        <f>AVERAGEIF(Продажи[Категория],Продажи[[#This Row],[Категория]],Продажи[цена за шт в рублях])</f>
        <v>265.47674418604652</v>
      </c>
      <c r="K738" s="16">
        <f>Продажи[[#This Row],[цена за шт в рублях]]/Продажи[[#This Row],[Средняя цена в категории за шт]]-1</f>
        <v>-0.12233366913407206</v>
      </c>
      <c r="L738" t="str">
        <f>VLOOKUP(Продажи[[#This Row],[id товара]],Товары[],3,0)</f>
        <v>Паста Зара</v>
      </c>
      <c r="M73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738" s="16">
        <f>Продажи[[#This Row],[цена за шт в рублях]]/Продажи[[#This Row],[Средняя цена в категории за шт по поставщику]]-1</f>
        <v>-0.15785874767998442</v>
      </c>
      <c r="O738" s="48">
        <f>VLOOKUP(Продажи[[#This Row],[id клиента]],клиенты!$A$2:$E$435,5,0)</f>
        <v>44695</v>
      </c>
      <c r="P738">
        <f>Продажи[[#This Row],[дата создания чека]]-Продажи[[#This Row],[Дата регистрации]]</f>
        <v>391</v>
      </c>
      <c r="Q738" t="str">
        <f>VLOOKUP(Продажи[[#This Row],[id клиента]],клиенты!$A$2:$G$435,7,0)</f>
        <v>Узбекистан</v>
      </c>
      <c r="R738">
        <f>IF(COUNTIF($H$2:H738, H738)=1, 1, 0)</f>
        <v>0</v>
      </c>
      <c r="S738" t="str">
        <f>VLOOKUP(Продажи[[#This Row],[id клиента]],клиенты!$A$2:$D$435,4,0)</f>
        <v>нет</v>
      </c>
      <c r="T738" s="54">
        <f>VLOOKUP(Продажи[[#This Row],[id клиента]],клиенты!$A$2:$I$435,9,0)</f>
        <v>14.685831622176591</v>
      </c>
    </row>
    <row r="739" spans="1:20" x14ac:dyDescent="0.25">
      <c r="A739">
        <v>738</v>
      </c>
      <c r="B739">
        <v>118</v>
      </c>
      <c r="C739">
        <v>156</v>
      </c>
      <c r="D739">
        <v>5</v>
      </c>
      <c r="E739" s="35">
        <v>3900</v>
      </c>
      <c r="F739" s="48">
        <v>45303</v>
      </c>
      <c r="G739" t="s">
        <v>21</v>
      </c>
      <c r="H739">
        <v>261</v>
      </c>
      <c r="I739" t="str">
        <f>VLOOKUP(Продажи[[#This Row],[id товара]],Товары[],2,0)</f>
        <v>Сахар</v>
      </c>
      <c r="J739" s="17">
        <f>AVERAGEIF(Продажи[Категория],Продажи[[#This Row],[Категория]],Продажи[цена за шт в рублях])</f>
        <v>252.76271186440678</v>
      </c>
      <c r="K739" s="16">
        <f>Продажи[[#This Row],[цена за шт в рублях]]/Продажи[[#This Row],[Средняя цена в категории за шт]]-1</f>
        <v>-0.38282035807684567</v>
      </c>
      <c r="L739" t="str">
        <f>VLOOKUP(Продажи[[#This Row],[id товара]],Товары[],3,0)</f>
        <v>Продимекс</v>
      </c>
      <c r="M739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739" s="16">
        <f>Продажи[[#This Row],[цена за шт в рублях]]/Продажи[[#This Row],[Средняя цена в категории за шт по поставщику]]-1</f>
        <v>-0.35135135135135132</v>
      </c>
      <c r="O739" s="48">
        <f>VLOOKUP(Продажи[[#This Row],[id клиента]],клиенты!$A$2:$E$435,5,0)</f>
        <v>44848</v>
      </c>
      <c r="P739">
        <f>Продажи[[#This Row],[дата создания чека]]-Продажи[[#This Row],[Дата регистрации]]</f>
        <v>455</v>
      </c>
      <c r="Q739" t="str">
        <f>VLOOKUP(Продажи[[#This Row],[id клиента]],клиенты!$A$2:$G$435,7,0)</f>
        <v>Россия</v>
      </c>
      <c r="R739">
        <f>IF(COUNTIF($H$2:H739, H739)=1, 1, 0)</f>
        <v>0</v>
      </c>
      <c r="S739" t="str">
        <f>VLOOKUP(Продажи[[#This Row],[id клиента]],клиенты!$A$2:$D$435,4,0)</f>
        <v>да</v>
      </c>
      <c r="T739" s="54">
        <f>VLOOKUP(Продажи[[#This Row],[id клиента]],клиенты!$A$2:$I$435,9,0)</f>
        <v>15.31006160164271</v>
      </c>
    </row>
    <row r="740" spans="1:20" x14ac:dyDescent="0.25">
      <c r="A740">
        <v>739</v>
      </c>
      <c r="B740">
        <v>218</v>
      </c>
      <c r="C740">
        <v>383</v>
      </c>
      <c r="D740">
        <v>2</v>
      </c>
      <c r="E740" s="35">
        <v>3830</v>
      </c>
      <c r="F740" s="48">
        <v>45338</v>
      </c>
      <c r="G740" t="s">
        <v>9</v>
      </c>
      <c r="H740">
        <v>9</v>
      </c>
      <c r="I740" t="str">
        <f>VLOOKUP(Продажи[[#This Row],[id товара]],Товары[],2,0)</f>
        <v>Колбаса</v>
      </c>
      <c r="J740" s="17">
        <f>AVERAGEIF(Продажи[Категория],Продажи[[#This Row],[Категория]],Продажи[цена за шт в рублях])</f>
        <v>286.92307692307691</v>
      </c>
      <c r="K740" s="16">
        <f>Продажи[[#This Row],[цена за шт в рублях]]/Продажи[[#This Row],[Средняя цена в категории за шт]]-1</f>
        <v>0.33485254691689015</v>
      </c>
      <c r="L740" t="str">
        <f>VLOOKUP(Продажи[[#This Row],[id товара]],Товары[],3,0)</f>
        <v>Дымов</v>
      </c>
      <c r="M740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740" s="16">
        <f>Продажи[[#This Row],[цена за шт в рублях]]/Продажи[[#This Row],[Средняя цена в категории за шт по поставщику]]-1</f>
        <v>0.22494669509594867</v>
      </c>
      <c r="O740" s="48">
        <f>VLOOKUP(Продажи[[#This Row],[id клиента]],клиенты!$A$2:$E$435,5,0)</f>
        <v>44900</v>
      </c>
      <c r="P740">
        <f>Продажи[[#This Row],[дата создания чека]]-Продажи[[#This Row],[Дата регистрации]]</f>
        <v>438</v>
      </c>
      <c r="Q740" t="str">
        <f>VLOOKUP(Продажи[[#This Row],[id клиента]],клиенты!$A$2:$G$435,7,0)</f>
        <v>Таджикистан</v>
      </c>
      <c r="R740">
        <f>IF(COUNTIF($H$2:H740, H740)=1, 1, 0)</f>
        <v>0</v>
      </c>
      <c r="S740" t="str">
        <f>VLOOKUP(Продажи[[#This Row],[id клиента]],клиенты!$A$2:$D$435,4,0)</f>
        <v>да</v>
      </c>
      <c r="T740" s="54">
        <f>VLOOKUP(Продажи[[#This Row],[id клиента]],клиенты!$A$2:$I$435,9,0)</f>
        <v>14.390143737166325</v>
      </c>
    </row>
    <row r="741" spans="1:20" x14ac:dyDescent="0.25">
      <c r="A741">
        <v>740</v>
      </c>
      <c r="B741">
        <v>46</v>
      </c>
      <c r="C741">
        <v>370</v>
      </c>
      <c r="D741">
        <v>5</v>
      </c>
      <c r="E741" s="35">
        <v>9250</v>
      </c>
      <c r="F741" s="48">
        <v>45034</v>
      </c>
      <c r="G741" t="s">
        <v>25</v>
      </c>
      <c r="H741">
        <v>103</v>
      </c>
      <c r="I741" t="str">
        <f>VLOOKUP(Продажи[[#This Row],[id товара]],Товары[],2,0)</f>
        <v>Йогурт</v>
      </c>
      <c r="J741" s="17">
        <f>AVERAGEIF(Продажи[Категория],Продажи[[#This Row],[Категория]],Продажи[цена за шт в рублях])</f>
        <v>263.25423728813558</v>
      </c>
      <c r="K741" s="16">
        <f>Продажи[[#This Row],[цена за шт в рублях]]/Продажи[[#This Row],[Средняя цена в категории за шт]]-1</f>
        <v>0.40548544939479791</v>
      </c>
      <c r="L741" t="str">
        <f>VLOOKUP(Продажи[[#This Row],[id товара]],Товары[],3,0)</f>
        <v>Активиа</v>
      </c>
      <c r="M741" s="32">
        <f>AVERAGEIFS(Продажи[цена за шт в рублях],Продажи[Категория],Продажи[[#This Row],[Категория]],Продажи[Поставщик],Продажи[[#This Row],[Поставщик]])</f>
        <v>293.66666666666669</v>
      </c>
      <c r="N741" s="16">
        <f>Продажи[[#This Row],[цена за шт в рублях]]/Продажи[[#This Row],[Средняя цена в категории за шт по поставщику]]-1</f>
        <v>0.25993189557321217</v>
      </c>
      <c r="O741" s="48">
        <f>VLOOKUP(Продажи[[#This Row],[id клиента]],клиенты!$A$2:$E$435,5,0)</f>
        <v>44787</v>
      </c>
      <c r="P741">
        <f>Продажи[[#This Row],[дата создания чека]]-Продажи[[#This Row],[Дата регистрации]]</f>
        <v>247</v>
      </c>
      <c r="Q741" t="str">
        <f>VLOOKUP(Продажи[[#This Row],[id клиента]],клиенты!$A$2:$G$435,7,0)</f>
        <v>Узбекистан</v>
      </c>
      <c r="R741">
        <f>IF(COUNTIF($H$2:H741, H741)=1, 1, 0)</f>
        <v>0</v>
      </c>
      <c r="S741" t="str">
        <f>VLOOKUP(Продажи[[#This Row],[id клиента]],клиенты!$A$2:$D$435,4,0)</f>
        <v>да</v>
      </c>
      <c r="T741" s="54">
        <f>VLOOKUP(Продажи[[#This Row],[id клиента]],клиенты!$A$2:$I$435,9,0)</f>
        <v>13.503080082135524</v>
      </c>
    </row>
    <row r="742" spans="1:20" x14ac:dyDescent="0.25">
      <c r="A742">
        <v>741</v>
      </c>
      <c r="B742">
        <v>263</v>
      </c>
      <c r="C742">
        <v>173</v>
      </c>
      <c r="D742">
        <v>3</v>
      </c>
      <c r="E742" s="35">
        <v>2595</v>
      </c>
      <c r="F742" s="48">
        <v>45390</v>
      </c>
      <c r="G742" t="s">
        <v>22</v>
      </c>
      <c r="H742">
        <v>142</v>
      </c>
      <c r="I742" t="str">
        <f>VLOOKUP(Продажи[[#This Row],[id товара]],Товары[],2,0)</f>
        <v>Йогурт</v>
      </c>
      <c r="J742" s="17">
        <f>AVERAGEIF(Продажи[Категория],Продажи[[#This Row],[Категория]],Продажи[цена за шт в рублях])</f>
        <v>263.25423728813558</v>
      </c>
      <c r="K742" s="16">
        <f>Продажи[[#This Row],[цена за шт в рублях]]/Продажи[[#This Row],[Средняя цена в категории за шт]]-1</f>
        <v>-0.34284058717486476</v>
      </c>
      <c r="L742" t="str">
        <f>VLOOKUP(Продажи[[#This Row],[id товара]],Товары[],3,0)</f>
        <v>Активиа</v>
      </c>
      <c r="M742" s="32">
        <f>AVERAGEIFS(Продажи[цена за шт в рублях],Продажи[Категория],Продажи[[#This Row],[Категория]],Продажи[Поставщик],Продажи[[#This Row],[Поставщик]])</f>
        <v>293.66666666666669</v>
      </c>
      <c r="N742" s="16">
        <f>Продажи[[#This Row],[цена за шт в рублях]]/Продажи[[#This Row],[Средняя цена в категории за шт по поставщику]]-1</f>
        <v>-0.41089670828603864</v>
      </c>
      <c r="O742" s="48">
        <f>VLOOKUP(Продажи[[#This Row],[id клиента]],клиенты!$A$2:$E$435,5,0)</f>
        <v>44683</v>
      </c>
      <c r="P742">
        <f>Продажи[[#This Row],[дата создания чека]]-Продажи[[#This Row],[Дата регистрации]]</f>
        <v>707</v>
      </c>
      <c r="Q742" t="str">
        <f>VLOOKUP(Продажи[[#This Row],[id клиента]],клиенты!$A$2:$G$435,7,0)</f>
        <v>Россия</v>
      </c>
      <c r="R742">
        <f>IF(COUNTIF($H$2:H742, H742)=1, 1, 0)</f>
        <v>0</v>
      </c>
      <c r="S742" t="str">
        <f>VLOOKUP(Продажи[[#This Row],[id клиента]],клиенты!$A$2:$D$435,4,0)</f>
        <v>нет</v>
      </c>
      <c r="T742" s="54">
        <f>VLOOKUP(Продажи[[#This Row],[id клиента]],клиенты!$A$2:$I$435,9,0)</f>
        <v>24.312114989733061</v>
      </c>
    </row>
    <row r="743" spans="1:20" x14ac:dyDescent="0.25">
      <c r="A743">
        <v>742</v>
      </c>
      <c r="B743">
        <v>201</v>
      </c>
      <c r="C743">
        <v>113</v>
      </c>
      <c r="D743">
        <v>5</v>
      </c>
      <c r="E743" s="35">
        <v>2825</v>
      </c>
      <c r="F743" s="48">
        <v>44959</v>
      </c>
      <c r="G743" t="s">
        <v>21</v>
      </c>
      <c r="H743">
        <v>470</v>
      </c>
      <c r="I743" t="str">
        <f>VLOOKUP(Продажи[[#This Row],[id товара]],Товары[],2,0)</f>
        <v>Печенье</v>
      </c>
      <c r="J743" s="17">
        <f>AVERAGEIF(Продажи[Категория],Продажи[[#This Row],[Категория]],Продажи[цена за шт в рублях])</f>
        <v>283.468085106383</v>
      </c>
      <c r="K743" s="16">
        <f>Продажи[[#This Row],[цена за шт в рублях]]/Продажи[[#This Row],[Средняя цена в категории за шт]]-1</f>
        <v>-0.60136605869548898</v>
      </c>
      <c r="L743" t="str">
        <f>VLOOKUP(Продажи[[#This Row],[id товара]],Товары[],3,0)</f>
        <v>Белогорье</v>
      </c>
      <c r="M743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743" s="16">
        <f>Продажи[[#This Row],[цена за шт в рублях]]/Продажи[[#This Row],[Средняя цена в категории за шт по поставщику]]-1</f>
        <v>-0.5470941883767535</v>
      </c>
      <c r="O743" s="48">
        <f>VLOOKUP(Продажи[[#This Row],[id клиента]],клиенты!$A$2:$E$435,5,0)</f>
        <v>44690</v>
      </c>
      <c r="P743">
        <f>Продажи[[#This Row],[дата создания чека]]-Продажи[[#This Row],[Дата регистрации]]</f>
        <v>269</v>
      </c>
      <c r="Q743" t="str">
        <f>VLOOKUP(Продажи[[#This Row],[id клиента]],клиенты!$A$2:$G$435,7,0)</f>
        <v>Таджикистан</v>
      </c>
      <c r="R743">
        <f>IF(COUNTIF($H$2:H743, H743)=1, 1, 0)</f>
        <v>0</v>
      </c>
      <c r="S743" t="str">
        <f>VLOOKUP(Продажи[[#This Row],[id клиента]],клиенты!$A$2:$D$435,4,0)</f>
        <v>да</v>
      </c>
      <c r="T743" s="54">
        <f>VLOOKUP(Продажи[[#This Row],[id клиента]],клиенты!$A$2:$I$435,9,0)</f>
        <v>24.147843942505133</v>
      </c>
    </row>
    <row r="744" spans="1:20" x14ac:dyDescent="0.25">
      <c r="A744">
        <v>743</v>
      </c>
      <c r="B744">
        <v>434</v>
      </c>
      <c r="C744">
        <v>366</v>
      </c>
      <c r="D744">
        <v>4</v>
      </c>
      <c r="E744" s="35">
        <v>7320</v>
      </c>
      <c r="F744" s="48">
        <v>45107</v>
      </c>
      <c r="G744" t="s">
        <v>13</v>
      </c>
      <c r="H744">
        <v>490</v>
      </c>
      <c r="I744" t="str">
        <f>VLOOKUP(Продажи[[#This Row],[id товара]],Товары[],2,0)</f>
        <v>Сыр</v>
      </c>
      <c r="J744" s="17">
        <f>AVERAGEIF(Продажи[Категория],Продажи[[#This Row],[Категория]],Продажи[цена за шт в рублях])</f>
        <v>262.63492063492066</v>
      </c>
      <c r="K744" s="16">
        <f>Продажи[[#This Row],[цена за шт в рублях]]/Продажи[[#This Row],[Средняя цена в категории за шт]]-1</f>
        <v>0.39356944276562289</v>
      </c>
      <c r="L744" t="str">
        <f>VLOOKUP(Продажи[[#This Row],[id товара]],Товары[],3,0)</f>
        <v>Сырная долина</v>
      </c>
      <c r="M744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744" s="16">
        <f>Продажи[[#This Row],[цена за шт в рублях]]/Продажи[[#This Row],[Средняя цена в категории за шт по поставщику]]-1</f>
        <v>0.35055350553505527</v>
      </c>
      <c r="O744" s="48">
        <f>VLOOKUP(Продажи[[#This Row],[id клиента]],клиенты!$A$2:$E$435,5,0)</f>
        <v>44603</v>
      </c>
      <c r="P744">
        <f>Продажи[[#This Row],[дата создания чека]]-Продажи[[#This Row],[Дата регистрации]]</f>
        <v>504</v>
      </c>
      <c r="Q744" t="str">
        <f>VLOOKUP(Продажи[[#This Row],[id клиента]],клиенты!$A$2:$G$435,7,0)</f>
        <v>Россия</v>
      </c>
      <c r="R744">
        <f>IF(COUNTIF($H$2:H744, H744)=1, 1, 0)</f>
        <v>0</v>
      </c>
      <c r="S744" t="str">
        <f>VLOOKUP(Продажи[[#This Row],[id клиента]],клиенты!$A$2:$D$435,4,0)</f>
        <v>нет</v>
      </c>
      <c r="T744" s="54">
        <f>VLOOKUP(Продажи[[#This Row],[id клиента]],клиенты!$A$2:$I$435,9,0)</f>
        <v>25.232032854209447</v>
      </c>
    </row>
    <row r="745" spans="1:20" x14ac:dyDescent="0.25">
      <c r="A745">
        <v>744</v>
      </c>
      <c r="B745">
        <v>99</v>
      </c>
      <c r="C745">
        <v>92</v>
      </c>
      <c r="D745">
        <v>4</v>
      </c>
      <c r="E745" s="35">
        <v>1840</v>
      </c>
      <c r="F745" s="48">
        <v>45073</v>
      </c>
      <c r="G745" t="s">
        <v>14</v>
      </c>
      <c r="H745">
        <v>255</v>
      </c>
      <c r="I745" t="str">
        <f>VLOOKUP(Продажи[[#This Row],[id товара]],Товары[],2,0)</f>
        <v>Овощи</v>
      </c>
      <c r="J745" s="17">
        <f>AVERAGEIF(Продажи[Категория],Продажи[[#This Row],[Категория]],Продажи[цена за шт в рублях])</f>
        <v>250.48780487804879</v>
      </c>
      <c r="K745" s="16">
        <f>Продажи[[#This Row],[цена за шт в рублях]]/Продажи[[#This Row],[Средняя цена в категории за шт]]-1</f>
        <v>-0.63271665043816938</v>
      </c>
      <c r="L745" t="str">
        <f>VLOOKUP(Продажи[[#This Row],[id товара]],Товары[],3,0)</f>
        <v>Семко</v>
      </c>
      <c r="M745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745" s="16">
        <f>Продажи[[#This Row],[цена за шт в рублях]]/Продажи[[#This Row],[Средняя цена в категории за шт по поставщику]]-1</f>
        <v>-0.55769230769230771</v>
      </c>
      <c r="O745" s="48">
        <f>VLOOKUP(Продажи[[#This Row],[id клиента]],клиенты!$A$2:$E$435,5,0)</f>
        <v>44793</v>
      </c>
      <c r="P745">
        <f>Продажи[[#This Row],[дата создания чека]]-Продажи[[#This Row],[Дата регистрации]]</f>
        <v>280</v>
      </c>
      <c r="Q745" t="str">
        <f>VLOOKUP(Продажи[[#This Row],[id клиента]],клиенты!$A$2:$G$435,7,0)</f>
        <v>Украина</v>
      </c>
      <c r="R745">
        <f>IF(COUNTIF($H$2:H745, H745)=1, 1, 0)</f>
        <v>0</v>
      </c>
      <c r="S745" t="str">
        <f>VLOOKUP(Продажи[[#This Row],[id клиента]],клиенты!$A$2:$D$435,4,0)</f>
        <v>да</v>
      </c>
      <c r="T745" s="54">
        <f>VLOOKUP(Продажи[[#This Row],[id клиента]],клиенты!$A$2:$I$435,9,0)</f>
        <v>19.219712525667351</v>
      </c>
    </row>
    <row r="746" spans="1:20" x14ac:dyDescent="0.25">
      <c r="A746">
        <v>745</v>
      </c>
      <c r="B746">
        <v>357</v>
      </c>
      <c r="C746">
        <v>290</v>
      </c>
      <c r="D746">
        <v>4</v>
      </c>
      <c r="E746" s="35">
        <v>5800</v>
      </c>
      <c r="F746" s="48">
        <v>45077</v>
      </c>
      <c r="G746" t="s">
        <v>13</v>
      </c>
      <c r="H746">
        <v>422</v>
      </c>
      <c r="I746" t="str">
        <f>VLOOKUP(Продажи[[#This Row],[id товара]],Товары[],2,0)</f>
        <v>Мясо</v>
      </c>
      <c r="J746" s="17">
        <f>AVERAGEIF(Продажи[Категория],Продажи[[#This Row],[Категория]],Продажи[цена за шт в рублях])</f>
        <v>271.74545454545455</v>
      </c>
      <c r="K746" s="16">
        <f>Продажи[[#This Row],[цена за шт в рублях]]/Продажи[[#This Row],[Средняя цена в категории за шт]]-1</f>
        <v>6.7175163923457681E-2</v>
      </c>
      <c r="L746" t="str">
        <f>VLOOKUP(Продажи[[#This Row],[id товара]],Товары[],3,0)</f>
        <v>Снежана</v>
      </c>
      <c r="M746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746" s="16">
        <f>Продажи[[#This Row],[цена за шт в рублях]]/Продажи[[#This Row],[Средняя цена в категории за шт по поставщику]]-1</f>
        <v>6.4794816414686762E-2</v>
      </c>
      <c r="O746" s="48">
        <f>VLOOKUP(Продажи[[#This Row],[id клиента]],клиенты!$A$2:$E$435,5,0)</f>
        <v>44784</v>
      </c>
      <c r="P746">
        <f>Продажи[[#This Row],[дата создания чека]]-Продажи[[#This Row],[Дата регистрации]]</f>
        <v>293</v>
      </c>
      <c r="Q746" t="str">
        <f>VLOOKUP(Продажи[[#This Row],[id клиента]],клиенты!$A$2:$G$435,7,0)</f>
        <v>Украина</v>
      </c>
      <c r="R746">
        <f>IF(COUNTIF($H$2:H746, H746)=1, 1, 0)</f>
        <v>0</v>
      </c>
      <c r="S746" t="str">
        <f>VLOOKUP(Продажи[[#This Row],[id клиента]],клиенты!$A$2:$D$435,4,0)</f>
        <v>нет</v>
      </c>
      <c r="T746" s="54">
        <f>VLOOKUP(Продажи[[#This Row],[id клиента]],клиенты!$A$2:$I$435,9,0)</f>
        <v>12.813141683778234</v>
      </c>
    </row>
    <row r="747" spans="1:20" x14ac:dyDescent="0.25">
      <c r="A747">
        <v>746</v>
      </c>
      <c r="B747">
        <v>337</v>
      </c>
      <c r="C747">
        <v>453</v>
      </c>
      <c r="D747">
        <v>4</v>
      </c>
      <c r="E747" s="35">
        <v>9060</v>
      </c>
      <c r="F747" s="48">
        <v>45415</v>
      </c>
      <c r="G747" t="s">
        <v>26</v>
      </c>
      <c r="H747">
        <v>115</v>
      </c>
      <c r="I747" t="str">
        <f>VLOOKUP(Продажи[[#This Row],[id товара]],Товары[],2,0)</f>
        <v>Макароны</v>
      </c>
      <c r="J747" s="17">
        <f>AVERAGEIF(Продажи[Категория],Продажи[[#This Row],[Категория]],Продажи[цена за шт в рублях])</f>
        <v>265.47674418604652</v>
      </c>
      <c r="K747" s="16">
        <f>Продажи[[#This Row],[цена за шт в рублях]]/Продажи[[#This Row],[Средняя цена в категории за шт]]-1</f>
        <v>0.70636415400113872</v>
      </c>
      <c r="L747" t="str">
        <f>VLOOKUP(Продажи[[#This Row],[id товара]],Товары[],3,0)</f>
        <v>Паста Зара</v>
      </c>
      <c r="M747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747" s="16">
        <f>Продажи[[#This Row],[цена за шт в рублях]]/Продажи[[#This Row],[Средняя цена в категории за шт по поставщику]]-1</f>
        <v>0.63729608283676864</v>
      </c>
      <c r="O747" s="48">
        <f>VLOOKUP(Продажи[[#This Row],[id клиента]],клиенты!$A$2:$E$435,5,0)</f>
        <v>44832</v>
      </c>
      <c r="P747">
        <f>Продажи[[#This Row],[дата создания чека]]-Продажи[[#This Row],[Дата регистрации]]</f>
        <v>583</v>
      </c>
      <c r="Q747" t="str">
        <f>VLOOKUP(Продажи[[#This Row],[id клиента]],клиенты!$A$2:$G$435,7,0)</f>
        <v>Беларусь</v>
      </c>
      <c r="R747">
        <f>IF(COUNTIF($H$2:H747, H747)=1, 1, 0)</f>
        <v>0</v>
      </c>
      <c r="S747" t="str">
        <f>VLOOKUP(Продажи[[#This Row],[id клиента]],клиенты!$A$2:$D$435,4,0)</f>
        <v>да</v>
      </c>
      <c r="T747" s="54">
        <f>VLOOKUP(Продажи[[#This Row],[id клиента]],клиенты!$A$2:$I$435,9,0)</f>
        <v>19.154004106776181</v>
      </c>
    </row>
    <row r="748" spans="1:20" x14ac:dyDescent="0.25">
      <c r="A748">
        <v>747</v>
      </c>
      <c r="B748">
        <v>230</v>
      </c>
      <c r="C748">
        <v>104</v>
      </c>
      <c r="D748">
        <v>4</v>
      </c>
      <c r="E748" s="35">
        <v>2080</v>
      </c>
      <c r="F748" s="48">
        <v>44965</v>
      </c>
      <c r="G748" t="s">
        <v>12</v>
      </c>
      <c r="H748">
        <v>163</v>
      </c>
      <c r="I748" t="str">
        <f>VLOOKUP(Продажи[[#This Row],[id товара]],Товары[],2,0)</f>
        <v>Сок</v>
      </c>
      <c r="J748" s="17">
        <f>AVERAGEIF(Продажи[Категория],Продажи[[#This Row],[Категория]],Продажи[цена за шт в рублях])</f>
        <v>268.60344827586209</v>
      </c>
      <c r="K748" s="16">
        <f>Продажи[[#This Row],[цена за шт в рублях]]/Продажи[[#This Row],[Средняя цена в категории за шт]]-1</f>
        <v>-0.61281211887797682</v>
      </c>
      <c r="L748" t="str">
        <f>VLOOKUP(Продажи[[#This Row],[id товара]],Товары[],3,0)</f>
        <v>Фруктовый сад</v>
      </c>
      <c r="M748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748" s="16">
        <f>Продажи[[#This Row],[цена за шт в рублях]]/Продажи[[#This Row],[Средняя цена в категории за шт по поставщику]]-1</f>
        <v>-0.63116480106394768</v>
      </c>
      <c r="O748" s="48">
        <f>VLOOKUP(Продажи[[#This Row],[id клиента]],клиенты!$A$2:$E$435,5,0)</f>
        <v>44571</v>
      </c>
      <c r="P748">
        <f>Продажи[[#This Row],[дата создания чека]]-Продажи[[#This Row],[Дата регистрации]]</f>
        <v>394</v>
      </c>
      <c r="Q748" t="str">
        <f>VLOOKUP(Продажи[[#This Row],[id клиента]],клиенты!$A$2:$G$435,7,0)</f>
        <v>Узбекистан</v>
      </c>
      <c r="R748">
        <f>IF(COUNTIF($H$2:H748, H748)=1, 1, 0)</f>
        <v>0</v>
      </c>
      <c r="S748" t="str">
        <f>VLOOKUP(Продажи[[#This Row],[id клиента]],клиенты!$A$2:$D$435,4,0)</f>
        <v>да</v>
      </c>
      <c r="T748" s="54">
        <f>VLOOKUP(Продажи[[#This Row],[id клиента]],клиенты!$A$2:$I$435,9,0)</f>
        <v>23.720739219712527</v>
      </c>
    </row>
    <row r="749" spans="1:20" x14ac:dyDescent="0.25">
      <c r="A749">
        <v>748</v>
      </c>
      <c r="B749">
        <v>293</v>
      </c>
      <c r="C749">
        <v>57</v>
      </c>
      <c r="D749">
        <v>5</v>
      </c>
      <c r="E749" s="35">
        <v>1425</v>
      </c>
      <c r="F749" s="48">
        <v>45004</v>
      </c>
      <c r="G749" t="s">
        <v>26</v>
      </c>
      <c r="H749">
        <v>248</v>
      </c>
      <c r="I749" t="str">
        <f>VLOOKUP(Продажи[[#This Row],[id товара]],Товары[],2,0)</f>
        <v>Конфеты</v>
      </c>
      <c r="J749" s="17">
        <f>AVERAGEIF(Продажи[Категория],Продажи[[#This Row],[Категория]],Продажи[цена за шт в рублях])</f>
        <v>267.85483870967744</v>
      </c>
      <c r="K749" s="16">
        <f>Продажи[[#This Row],[цена за шт в рублях]]/Продажи[[#This Row],[Средняя цена в категории за шт]]-1</f>
        <v>-0.78719816944661891</v>
      </c>
      <c r="L749" t="str">
        <f>VLOOKUP(Продажи[[#This Row],[id товара]],Товары[],3,0)</f>
        <v>Бабаевский</v>
      </c>
      <c r="M749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749" s="16">
        <f>Продажи[[#This Row],[цена за шт в рублях]]/Продажи[[#This Row],[Средняя цена в категории за шт по поставщику]]-1</f>
        <v>-0.7722361994968181</v>
      </c>
      <c r="O749" s="48">
        <f>VLOOKUP(Продажи[[#This Row],[id клиента]],клиенты!$A$2:$E$435,5,0)</f>
        <v>44694</v>
      </c>
      <c r="P749">
        <f>Продажи[[#This Row],[дата создания чека]]-Продажи[[#This Row],[Дата регистрации]]</f>
        <v>310</v>
      </c>
      <c r="Q749" t="str">
        <f>VLOOKUP(Продажи[[#This Row],[id клиента]],клиенты!$A$2:$G$435,7,0)</f>
        <v>Россия</v>
      </c>
      <c r="R749">
        <f>IF(COUNTIF($H$2:H749, H749)=1, 1, 0)</f>
        <v>1</v>
      </c>
      <c r="S749" t="str">
        <f>VLOOKUP(Продажи[[#This Row],[id клиента]],клиенты!$A$2:$D$435,4,0)</f>
        <v>нет</v>
      </c>
      <c r="T749" s="54">
        <f>VLOOKUP(Продажи[[#This Row],[id клиента]],клиенты!$A$2:$I$435,9,0)</f>
        <v>10.184804928131417</v>
      </c>
    </row>
    <row r="750" spans="1:20" x14ac:dyDescent="0.25">
      <c r="A750">
        <v>749</v>
      </c>
      <c r="B750">
        <v>254</v>
      </c>
      <c r="C750">
        <v>326</v>
      </c>
      <c r="D750">
        <v>1</v>
      </c>
      <c r="E750" s="35">
        <v>1630</v>
      </c>
      <c r="F750" s="48">
        <v>45372</v>
      </c>
      <c r="G750" t="s">
        <v>10</v>
      </c>
      <c r="H750">
        <v>201</v>
      </c>
      <c r="I750" t="str">
        <f>VLOOKUP(Продажи[[#This Row],[id товара]],Товары[],2,0)</f>
        <v>Соль</v>
      </c>
      <c r="J750" s="17">
        <f>AVERAGEIF(Продажи[Категория],Продажи[[#This Row],[Категория]],Продажи[цена за шт в рублях])</f>
        <v>264.8679245283019</v>
      </c>
      <c r="K750" s="16">
        <f>Продажи[[#This Row],[цена за шт в рублях]]/Продажи[[#This Row],[Средняя цена в категории за шт]]-1</f>
        <v>0.23080210856247318</v>
      </c>
      <c r="L750" t="str">
        <f>VLOOKUP(Продажи[[#This Row],[id товара]],Товары[],3,0)</f>
        <v>Илецкая</v>
      </c>
      <c r="M750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750" s="16">
        <f>Продажи[[#This Row],[цена за шт в рублях]]/Продажи[[#This Row],[Средняя цена в категории за шт по поставщику]]-1</f>
        <v>0.36878936319104283</v>
      </c>
      <c r="O750" s="48">
        <f>VLOOKUP(Продажи[[#This Row],[id клиента]],клиенты!$A$2:$E$435,5,0)</f>
        <v>44843</v>
      </c>
      <c r="P750">
        <f>Продажи[[#This Row],[дата создания чека]]-Продажи[[#This Row],[Дата регистрации]]</f>
        <v>529</v>
      </c>
      <c r="Q750" t="str">
        <f>VLOOKUP(Продажи[[#This Row],[id клиента]],клиенты!$A$2:$G$435,7,0)</f>
        <v>Таджикистан</v>
      </c>
      <c r="R750">
        <f>IF(COUNTIF($H$2:H750, H750)=1, 1, 0)</f>
        <v>0</v>
      </c>
      <c r="S750" t="str">
        <f>VLOOKUP(Продажи[[#This Row],[id клиента]],клиенты!$A$2:$D$435,4,0)</f>
        <v>да</v>
      </c>
      <c r="T750" s="54">
        <f>VLOOKUP(Продажи[[#This Row],[id клиента]],клиенты!$A$2:$I$435,9,0)</f>
        <v>17.37987679671458</v>
      </c>
    </row>
    <row r="751" spans="1:20" x14ac:dyDescent="0.25">
      <c r="A751">
        <v>750</v>
      </c>
      <c r="B751">
        <v>248</v>
      </c>
      <c r="C751">
        <v>176</v>
      </c>
      <c r="D751">
        <v>5</v>
      </c>
      <c r="E751" s="35">
        <v>4400</v>
      </c>
      <c r="F751" s="48">
        <v>44946</v>
      </c>
      <c r="G751" t="s">
        <v>16</v>
      </c>
      <c r="H751">
        <v>434</v>
      </c>
      <c r="I751" t="str">
        <f>VLOOKUP(Продажи[[#This Row],[id товара]],Товары[],2,0)</f>
        <v>Конфеты</v>
      </c>
      <c r="J751" s="17">
        <f>AVERAGEIF(Продажи[Категория],Продажи[[#This Row],[Категория]],Продажи[цена за шт в рублях])</f>
        <v>267.85483870967744</v>
      </c>
      <c r="K751" s="16">
        <f>Продажи[[#This Row],[цена за шт в рублях]]/Продажи[[#This Row],[Средняя цена в категории за шт]]-1</f>
        <v>-0.34292768109833205</v>
      </c>
      <c r="L751" t="str">
        <f>VLOOKUP(Продажи[[#This Row],[id товара]],Товары[],3,0)</f>
        <v>Красный Октябрь</v>
      </c>
      <c r="M751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751" s="16">
        <f>Продажи[[#This Row],[цена за шт в рублях]]/Продажи[[#This Row],[Средняя цена в категории за шт по поставщику]]-1</f>
        <v>-0.35678391959798994</v>
      </c>
      <c r="O751" s="48">
        <f>VLOOKUP(Продажи[[#This Row],[id клиента]],клиенты!$A$2:$E$435,5,0)</f>
        <v>44730</v>
      </c>
      <c r="P751">
        <f>Продажи[[#This Row],[дата создания чека]]-Продажи[[#This Row],[Дата регистрации]]</f>
        <v>216</v>
      </c>
      <c r="Q751" t="str">
        <f>VLOOKUP(Продажи[[#This Row],[id клиента]],клиенты!$A$2:$G$435,7,0)</f>
        <v>Украина</v>
      </c>
      <c r="R751">
        <f>IF(COUNTIF($H$2:H751, H751)=1, 1, 0)</f>
        <v>0</v>
      </c>
      <c r="S751" t="str">
        <f>VLOOKUP(Продажи[[#This Row],[id клиента]],клиенты!$A$2:$D$435,4,0)</f>
        <v>нет</v>
      </c>
      <c r="T751" s="54">
        <f>VLOOKUP(Продажи[[#This Row],[id клиента]],клиенты!$A$2:$I$435,9,0)</f>
        <v>22.406570841889117</v>
      </c>
    </row>
    <row r="752" spans="1:20" x14ac:dyDescent="0.25">
      <c r="A752">
        <v>751</v>
      </c>
      <c r="B752">
        <v>156</v>
      </c>
      <c r="C752">
        <v>490</v>
      </c>
      <c r="D752">
        <v>1</v>
      </c>
      <c r="E752" s="35">
        <v>2450</v>
      </c>
      <c r="F752" s="48">
        <v>45237</v>
      </c>
      <c r="G752" t="s">
        <v>17</v>
      </c>
      <c r="H752">
        <v>140</v>
      </c>
      <c r="I752" t="str">
        <f>VLOOKUP(Продажи[[#This Row],[id товара]],Товары[],2,0)</f>
        <v>Фрукты</v>
      </c>
      <c r="J752" s="17">
        <f>AVERAGEIF(Продажи[Категория],Продажи[[#This Row],[Категория]],Продажи[цена за шт в рублях])</f>
        <v>274.16279069767444</v>
      </c>
      <c r="K752" s="16">
        <f>Продажи[[#This Row],[цена за шт в рублях]]/Продажи[[#This Row],[Средняя цена в категории за шт]]-1</f>
        <v>0.78725930952582912</v>
      </c>
      <c r="L752" t="str">
        <f>VLOOKUP(Продажи[[#This Row],[id товара]],Товары[],3,0)</f>
        <v>Фрукты-Ягоды</v>
      </c>
      <c r="M752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752" s="16">
        <f>Продажи[[#This Row],[цена за шт в рублях]]/Продажи[[#This Row],[Средняя цена в категории за шт по поставщику]]-1</f>
        <v>0.74584323040380029</v>
      </c>
      <c r="O752" s="48">
        <f>VLOOKUP(Продажи[[#This Row],[id клиента]],клиенты!$A$2:$E$435,5,0)</f>
        <v>44627</v>
      </c>
      <c r="P752">
        <f>Продажи[[#This Row],[дата создания чека]]-Продажи[[#This Row],[Дата регистрации]]</f>
        <v>610</v>
      </c>
      <c r="Q752" t="str">
        <f>VLOOKUP(Продажи[[#This Row],[id клиента]],клиенты!$A$2:$G$435,7,0)</f>
        <v>Россия</v>
      </c>
      <c r="R752">
        <f>IF(COUNTIF($H$2:H752, H752)=1, 1, 0)</f>
        <v>0</v>
      </c>
      <c r="S752" t="str">
        <f>VLOOKUP(Продажи[[#This Row],[id клиента]],клиенты!$A$2:$D$435,4,0)</f>
        <v>да</v>
      </c>
      <c r="T752" s="54">
        <f>VLOOKUP(Продажи[[#This Row],[id клиента]],клиенты!$A$2:$I$435,9,0)</f>
        <v>24.147843942505133</v>
      </c>
    </row>
    <row r="753" spans="1:20" x14ac:dyDescent="0.25">
      <c r="A753">
        <v>752</v>
      </c>
      <c r="B753">
        <v>370</v>
      </c>
      <c r="C753">
        <v>95</v>
      </c>
      <c r="D753">
        <v>5</v>
      </c>
      <c r="E753" s="35">
        <v>2375</v>
      </c>
      <c r="F753" s="48">
        <v>45202</v>
      </c>
      <c r="G753" t="s">
        <v>13</v>
      </c>
      <c r="H753">
        <v>250</v>
      </c>
      <c r="I753" t="str">
        <f>VLOOKUP(Продажи[[#This Row],[id товара]],Товары[],2,0)</f>
        <v>Сок</v>
      </c>
      <c r="J753" s="17">
        <f>AVERAGEIF(Продажи[Категория],Продажи[[#This Row],[Категория]],Продажи[цена за шт в рублях])</f>
        <v>268.60344827586209</v>
      </c>
      <c r="K753" s="16">
        <f>Продажи[[#This Row],[цена за шт в рублях]]/Продажи[[#This Row],[Средняя цена в категории за шт]]-1</f>
        <v>-0.64631876243661335</v>
      </c>
      <c r="L753" t="str">
        <f>VLOOKUP(Продажи[[#This Row],[id товара]],Товары[],3,0)</f>
        <v>Фруктовый сад</v>
      </c>
      <c r="M753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753" s="16">
        <f>Продажи[[#This Row],[цена за шт в рублях]]/Продажи[[#This Row],[Средняя цена в категории за шт по поставщику]]-1</f>
        <v>-0.66308323174110606</v>
      </c>
      <c r="O753" s="48">
        <f>VLOOKUP(Продажи[[#This Row],[id клиента]],клиенты!$A$2:$E$435,5,0)</f>
        <v>44856</v>
      </c>
      <c r="P753">
        <f>Продажи[[#This Row],[дата создания чека]]-Продажи[[#This Row],[Дата регистрации]]</f>
        <v>346</v>
      </c>
      <c r="Q753" t="str">
        <f>VLOOKUP(Продажи[[#This Row],[id клиента]],клиенты!$A$2:$G$435,7,0)</f>
        <v>Россия</v>
      </c>
      <c r="R753">
        <f>IF(COUNTIF($H$2:H753, H753)=1, 1, 0)</f>
        <v>0</v>
      </c>
      <c r="S753" t="str">
        <f>VLOOKUP(Продажи[[#This Row],[id клиента]],клиенты!$A$2:$D$435,4,0)</f>
        <v>да</v>
      </c>
      <c r="T753" s="54">
        <f>VLOOKUP(Продажи[[#This Row],[id клиента]],клиенты!$A$2:$I$435,9,0)</f>
        <v>11.367556468172484</v>
      </c>
    </row>
    <row r="754" spans="1:20" x14ac:dyDescent="0.25">
      <c r="A754">
        <v>753</v>
      </c>
      <c r="B754">
        <v>61</v>
      </c>
      <c r="C754">
        <v>183</v>
      </c>
      <c r="D754">
        <v>5</v>
      </c>
      <c r="E754" s="35">
        <v>4575</v>
      </c>
      <c r="F754" s="48">
        <v>45062</v>
      </c>
      <c r="G754" t="s">
        <v>17</v>
      </c>
      <c r="H754">
        <v>191</v>
      </c>
      <c r="I754" t="str">
        <f>VLOOKUP(Продажи[[#This Row],[id товара]],Товары[],2,0)</f>
        <v>Йогурт</v>
      </c>
      <c r="J754" s="17">
        <f>AVERAGEIF(Продажи[Категория],Продажи[[#This Row],[Категория]],Продажи[цена за шт в рублях])</f>
        <v>263.25423728813558</v>
      </c>
      <c r="K754" s="16">
        <f>Продажи[[#This Row],[цена за шт в рублях]]/Продажи[[#This Row],[Средняя цена в категории за шт]]-1</f>
        <v>-0.30485449394797837</v>
      </c>
      <c r="L754" t="str">
        <f>VLOOKUP(Продажи[[#This Row],[id товара]],Товары[],3,0)</f>
        <v>Эрманн</v>
      </c>
      <c r="M754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754" s="16">
        <f>Продажи[[#This Row],[цена за шт в рублях]]/Продажи[[#This Row],[Средняя цена в категории за шт по поставщику]]-1</f>
        <v>-0.26358148893360156</v>
      </c>
      <c r="O754" s="48">
        <f>VLOOKUP(Продажи[[#This Row],[id клиента]],клиенты!$A$2:$E$435,5,0)</f>
        <v>44866</v>
      </c>
      <c r="P754">
        <f>Продажи[[#This Row],[дата создания чека]]-Продажи[[#This Row],[Дата регистрации]]</f>
        <v>196</v>
      </c>
      <c r="Q754" t="str">
        <f>VLOOKUP(Продажи[[#This Row],[id клиента]],клиенты!$A$2:$G$435,7,0)</f>
        <v>Украина</v>
      </c>
      <c r="R754">
        <f>IF(COUNTIF($H$2:H754, H754)=1, 1, 0)</f>
        <v>0</v>
      </c>
      <c r="S754" t="str">
        <f>VLOOKUP(Продажи[[#This Row],[id клиента]],клиенты!$A$2:$D$435,4,0)</f>
        <v>да</v>
      </c>
      <c r="T754" s="54">
        <f>VLOOKUP(Продажи[[#This Row],[id клиента]],клиенты!$A$2:$I$435,9,0)</f>
        <v>16.755646817248461</v>
      </c>
    </row>
    <row r="755" spans="1:20" x14ac:dyDescent="0.25">
      <c r="A755">
        <v>754</v>
      </c>
      <c r="B755">
        <v>246</v>
      </c>
      <c r="C755">
        <v>302</v>
      </c>
      <c r="D755">
        <v>5</v>
      </c>
      <c r="E755" s="35">
        <v>7550</v>
      </c>
      <c r="F755" s="48">
        <v>45407</v>
      </c>
      <c r="G755" t="s">
        <v>13</v>
      </c>
      <c r="H755">
        <v>336</v>
      </c>
      <c r="I755" t="str">
        <f>VLOOKUP(Продажи[[#This Row],[id товара]],Товары[],2,0)</f>
        <v>Сыр</v>
      </c>
      <c r="J755" s="17">
        <f>AVERAGEIF(Продажи[Категория],Продажи[[#This Row],[Категория]],Продажи[цена за шт в рублях])</f>
        <v>262.63492063492066</v>
      </c>
      <c r="K755" s="16">
        <f>Продажи[[#This Row],[цена за шт в рублях]]/Продажи[[#This Row],[Средняя цена в категории за шт]]-1</f>
        <v>0.14988516862081469</v>
      </c>
      <c r="L755" t="str">
        <f>VLOOKUP(Продажи[[#This Row],[id товара]],Товары[],3,0)</f>
        <v>President</v>
      </c>
      <c r="M755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755" s="16">
        <f>Продажи[[#This Row],[цена за шт в рублях]]/Продажи[[#This Row],[Средняя цена в категории за шт по поставщику]]-1</f>
        <v>0.26506865254828949</v>
      </c>
      <c r="O755" s="48">
        <f>VLOOKUP(Продажи[[#This Row],[id клиента]],клиенты!$A$2:$E$435,5,0)</f>
        <v>44856</v>
      </c>
      <c r="P755">
        <f>Продажи[[#This Row],[дата создания чека]]-Продажи[[#This Row],[Дата регистрации]]</f>
        <v>551</v>
      </c>
      <c r="Q755" t="str">
        <f>VLOOKUP(Продажи[[#This Row],[id клиента]],клиенты!$A$2:$G$435,7,0)</f>
        <v>Узбекистан</v>
      </c>
      <c r="R755">
        <f>IF(COUNTIF($H$2:H755, H755)=1, 1, 0)</f>
        <v>0</v>
      </c>
      <c r="S755" t="str">
        <f>VLOOKUP(Продажи[[#This Row],[id клиента]],клиенты!$A$2:$D$435,4,0)</f>
        <v>нет</v>
      </c>
      <c r="T755" s="54">
        <f>VLOOKUP(Продажи[[#This Row],[id клиента]],клиенты!$A$2:$I$435,9,0)</f>
        <v>18.102669404517453</v>
      </c>
    </row>
    <row r="756" spans="1:20" x14ac:dyDescent="0.25">
      <c r="A756">
        <v>755</v>
      </c>
      <c r="B756">
        <v>322</v>
      </c>
      <c r="C756">
        <v>417</v>
      </c>
      <c r="D756">
        <v>2</v>
      </c>
      <c r="E756" s="35">
        <v>4170</v>
      </c>
      <c r="F756" s="48">
        <v>45376</v>
      </c>
      <c r="G756" t="s">
        <v>24</v>
      </c>
      <c r="H756">
        <v>3</v>
      </c>
      <c r="I756" t="str">
        <f>VLOOKUP(Продажи[[#This Row],[id товара]],Товары[],2,0)</f>
        <v>Крупа</v>
      </c>
      <c r="J756" s="17">
        <f>AVERAGEIF(Продажи[Категория],Продажи[[#This Row],[Категория]],Продажи[цена за шт в рублях])</f>
        <v>255.11627906976744</v>
      </c>
      <c r="K756" s="16">
        <f>Продажи[[#This Row],[цена за шт в рублях]]/Продажи[[#This Row],[Средняя цена в категории за шт]]-1</f>
        <v>0.6345487693710119</v>
      </c>
      <c r="L756" t="str">
        <f>VLOOKUP(Продажи[[#This Row],[id товара]],Товары[],3,0)</f>
        <v>Увелка</v>
      </c>
      <c r="M756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756" s="16">
        <f>Продажи[[#This Row],[цена за шт в рублях]]/Продажи[[#This Row],[Средняя цена в категории за шт по поставщику]]-1</f>
        <v>0.65530929540191862</v>
      </c>
      <c r="O756" s="48">
        <f>VLOOKUP(Продажи[[#This Row],[id клиента]],клиенты!$A$2:$E$435,5,0)</f>
        <v>44666</v>
      </c>
      <c r="P756">
        <f>Продажи[[#This Row],[дата создания чека]]-Продажи[[#This Row],[Дата регистрации]]</f>
        <v>710</v>
      </c>
      <c r="Q756" t="str">
        <f>VLOOKUP(Продажи[[#This Row],[id клиента]],клиенты!$A$2:$G$435,7,0)</f>
        <v>Украина</v>
      </c>
      <c r="R756">
        <f>IF(COUNTIF($H$2:H756, H756)=1, 1, 0)</f>
        <v>1</v>
      </c>
      <c r="S756" t="str">
        <f>VLOOKUP(Продажи[[#This Row],[id клиента]],клиенты!$A$2:$D$435,4,0)</f>
        <v>нет</v>
      </c>
      <c r="T756" s="54">
        <f>VLOOKUP(Продажи[[#This Row],[id клиента]],клиенты!$A$2:$I$435,9,0)</f>
        <v>23.326488706365502</v>
      </c>
    </row>
    <row r="757" spans="1:20" x14ac:dyDescent="0.25">
      <c r="A757">
        <v>756</v>
      </c>
      <c r="B757">
        <v>51</v>
      </c>
      <c r="C757">
        <v>439</v>
      </c>
      <c r="D757">
        <v>5</v>
      </c>
      <c r="E757" s="35">
        <v>10975</v>
      </c>
      <c r="F757" s="48">
        <v>45353</v>
      </c>
      <c r="G757" t="s">
        <v>17</v>
      </c>
      <c r="H757">
        <v>435</v>
      </c>
      <c r="I757" t="str">
        <f>VLOOKUP(Продажи[[#This Row],[id товара]],Товары[],2,0)</f>
        <v>Колбаса</v>
      </c>
      <c r="J757" s="17">
        <f>AVERAGEIF(Продажи[Категория],Продажи[[#This Row],[Категория]],Продажи[цена за шт в рублях])</f>
        <v>286.92307692307691</v>
      </c>
      <c r="K757" s="16">
        <f>Продажи[[#This Row],[цена за шт в рублях]]/Продажи[[#This Row],[Средняя цена в категории за шт]]-1</f>
        <v>0.53002680965147464</v>
      </c>
      <c r="L757" t="str">
        <f>VLOOKUP(Продажи[[#This Row],[id товара]],Товары[],3,0)</f>
        <v>Дымов</v>
      </c>
      <c r="M757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757" s="16">
        <f>Продажи[[#This Row],[цена за шт в рублях]]/Продажи[[#This Row],[Средняя цена в категории за шт по поставщику]]-1</f>
        <v>0.40405117270788904</v>
      </c>
      <c r="O757" s="48">
        <f>VLOOKUP(Продажи[[#This Row],[id клиента]],клиенты!$A$2:$E$435,5,0)</f>
        <v>44618</v>
      </c>
      <c r="P757">
        <f>Продажи[[#This Row],[дата создания чека]]-Продажи[[#This Row],[Дата регистрации]]</f>
        <v>735</v>
      </c>
      <c r="Q757" t="str">
        <f>VLOOKUP(Продажи[[#This Row],[id клиента]],клиенты!$A$2:$G$435,7,0)</f>
        <v>Узбекистан</v>
      </c>
      <c r="R757">
        <f>IF(COUNTIF($H$2:H757, H757)=1, 1, 0)</f>
        <v>1</v>
      </c>
      <c r="S757" t="str">
        <f>VLOOKUP(Продажи[[#This Row],[id клиента]],клиенты!$A$2:$D$435,4,0)</f>
        <v>нет</v>
      </c>
      <c r="T757" s="54">
        <f>VLOOKUP(Продажи[[#This Row],[id клиента]],клиенты!$A$2:$I$435,9,0)</f>
        <v>24.147843942505133</v>
      </c>
    </row>
    <row r="758" spans="1:20" x14ac:dyDescent="0.25">
      <c r="A758">
        <v>757</v>
      </c>
      <c r="B758">
        <v>189</v>
      </c>
      <c r="C758">
        <v>136</v>
      </c>
      <c r="D758">
        <v>5</v>
      </c>
      <c r="E758" s="35">
        <v>3400</v>
      </c>
      <c r="F758" s="48">
        <v>45232</v>
      </c>
      <c r="G758" t="s">
        <v>26</v>
      </c>
      <c r="H758">
        <v>80</v>
      </c>
      <c r="I758" t="str">
        <f>VLOOKUP(Продажи[[#This Row],[id товара]],Товары[],2,0)</f>
        <v>Хлеб</v>
      </c>
      <c r="J758" s="17">
        <f>AVERAGEIF(Продажи[Категория],Продажи[[#This Row],[Категория]],Продажи[цена за шт в рублях])</f>
        <v>300.31818181818181</v>
      </c>
      <c r="K758" s="16">
        <f>Продажи[[#This Row],[цена за шт в рублях]]/Продажи[[#This Row],[Средняя цена в категории за шт]]-1</f>
        <v>-0.54714696533979112</v>
      </c>
      <c r="L758" t="str">
        <f>VLOOKUP(Продажи[[#This Row],[id товара]],Товары[],3,0)</f>
        <v>Дарница</v>
      </c>
      <c r="M758" s="32">
        <f>AVERAGEIFS(Продажи[цена за шт в рублях],Продажи[Категория],Продажи[[#This Row],[Категория]],Продажи[Поставщик],Продажи[[#This Row],[Поставщик]])</f>
        <v>264</v>
      </c>
      <c r="N758" s="16">
        <f>Продажи[[#This Row],[цена за шт в рублях]]/Продажи[[#This Row],[Средняя цена в категории за шт по поставщику]]-1</f>
        <v>-0.48484848484848486</v>
      </c>
      <c r="O758" s="48">
        <f>VLOOKUP(Продажи[[#This Row],[id клиента]],клиенты!$A$2:$E$435,5,0)</f>
        <v>44623</v>
      </c>
      <c r="P758">
        <f>Продажи[[#This Row],[дата создания чека]]-Продажи[[#This Row],[Дата регистрации]]</f>
        <v>609</v>
      </c>
      <c r="Q758" t="str">
        <f>VLOOKUP(Продажи[[#This Row],[id клиента]],клиенты!$A$2:$G$435,7,0)</f>
        <v>Беларусь</v>
      </c>
      <c r="R758">
        <f>IF(COUNTIF($H$2:H758, H758)=1, 1, 0)</f>
        <v>0</v>
      </c>
      <c r="S758" t="str">
        <f>VLOOKUP(Продажи[[#This Row],[id клиента]],клиенты!$A$2:$D$435,4,0)</f>
        <v>нет</v>
      </c>
      <c r="T758" s="54">
        <f>VLOOKUP(Продажи[[#This Row],[id клиента]],клиенты!$A$2:$I$435,9,0)</f>
        <v>25.790554414784395</v>
      </c>
    </row>
    <row r="759" spans="1:20" x14ac:dyDescent="0.25">
      <c r="A759">
        <v>758</v>
      </c>
      <c r="B759">
        <v>67</v>
      </c>
      <c r="C759">
        <v>274</v>
      </c>
      <c r="D759">
        <v>4</v>
      </c>
      <c r="E759" s="35">
        <v>5480</v>
      </c>
      <c r="F759" s="48">
        <v>45298</v>
      </c>
      <c r="G759" t="s">
        <v>10</v>
      </c>
      <c r="H759">
        <v>262</v>
      </c>
      <c r="I759" t="str">
        <f>VLOOKUP(Продажи[[#This Row],[id товара]],Товары[],2,0)</f>
        <v>Йогурт</v>
      </c>
      <c r="J759" s="17">
        <f>AVERAGEIF(Продажи[Категория],Продажи[[#This Row],[Категория]],Продажи[цена за шт в рублях])</f>
        <v>263.25423728813558</v>
      </c>
      <c r="K759" s="16">
        <f>Продажи[[#This Row],[цена за шт в рублях]]/Продажи[[#This Row],[Средняя цена в категории за шт]]-1</f>
        <v>4.0818954416688147E-2</v>
      </c>
      <c r="L759" t="str">
        <f>VLOOKUP(Продажи[[#This Row],[id товара]],Товары[],3,0)</f>
        <v>Чудо</v>
      </c>
      <c r="M759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759" s="16">
        <f>Продажи[[#This Row],[цена за шт в рублях]]/Продажи[[#This Row],[Средняя цена в категории за шт по поставщику]]-1</f>
        <v>-4.5628700801114697E-2</v>
      </c>
      <c r="O759" s="48">
        <f>VLOOKUP(Продажи[[#This Row],[id клиента]],клиенты!$A$2:$E$435,5,0)</f>
        <v>44778</v>
      </c>
      <c r="P759">
        <f>Продажи[[#This Row],[дата создания чека]]-Продажи[[#This Row],[Дата регистрации]]</f>
        <v>520</v>
      </c>
      <c r="Q759" t="str">
        <f>VLOOKUP(Продажи[[#This Row],[id клиента]],клиенты!$A$2:$G$435,7,0)</f>
        <v>Таджикистан</v>
      </c>
      <c r="R759">
        <f>IF(COUNTIF($H$2:H759, H759)=1, 1, 0)</f>
        <v>1</v>
      </c>
      <c r="S759" t="str">
        <f>VLOOKUP(Продажи[[#This Row],[id клиента]],клиенты!$A$2:$D$435,4,0)</f>
        <v>да</v>
      </c>
      <c r="T759" s="54">
        <f>VLOOKUP(Продажи[[#This Row],[id клиента]],клиенты!$A$2:$I$435,9,0)</f>
        <v>20.566735112936346</v>
      </c>
    </row>
    <row r="760" spans="1:20" x14ac:dyDescent="0.25">
      <c r="A760">
        <v>759</v>
      </c>
      <c r="B760">
        <v>301</v>
      </c>
      <c r="C760">
        <v>189</v>
      </c>
      <c r="D760">
        <v>3</v>
      </c>
      <c r="E760" s="35">
        <v>2835</v>
      </c>
      <c r="F760" s="48">
        <v>45144</v>
      </c>
      <c r="G760" t="s">
        <v>23</v>
      </c>
      <c r="H760">
        <v>43</v>
      </c>
      <c r="I760" t="str">
        <f>VLOOKUP(Продажи[[#This Row],[id товара]],Товары[],2,0)</f>
        <v>Фрукты</v>
      </c>
      <c r="J760" s="17">
        <f>AVERAGEIF(Продажи[Категория],Продажи[[#This Row],[Категория]],Продажи[цена за шт в рублях])</f>
        <v>274.16279069767444</v>
      </c>
      <c r="K760" s="16">
        <f>Продажи[[#This Row],[цена за шт в рублях]]/Продажи[[#This Row],[Средняя цена в категории за шт]]-1</f>
        <v>-0.31062855204003736</v>
      </c>
      <c r="L760" t="str">
        <f>VLOOKUP(Продажи[[#This Row],[id товара]],Товары[],3,0)</f>
        <v>Экзотик</v>
      </c>
      <c r="M760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760" s="16">
        <f>Продажи[[#This Row],[цена за шт в рублях]]/Продажи[[#This Row],[Средняя цена в категории за шт по поставщику]]-1</f>
        <v>-0.25498891352549891</v>
      </c>
      <c r="O760" s="48">
        <f>VLOOKUP(Продажи[[#This Row],[id клиента]],клиенты!$A$2:$E$435,5,0)</f>
        <v>44912</v>
      </c>
      <c r="P760">
        <f>Продажи[[#This Row],[дата создания чека]]-Продажи[[#This Row],[Дата регистрации]]</f>
        <v>232</v>
      </c>
      <c r="Q760" t="str">
        <f>VLOOKUP(Продажи[[#This Row],[id клиента]],клиенты!$A$2:$G$435,7,0)</f>
        <v>Россия</v>
      </c>
      <c r="R760">
        <f>IF(COUNTIF($H$2:H760, H760)=1, 1, 0)</f>
        <v>0</v>
      </c>
      <c r="S760" t="str">
        <f>VLOOKUP(Продажи[[#This Row],[id клиента]],клиенты!$A$2:$D$435,4,0)</f>
        <v>да</v>
      </c>
      <c r="T760" s="54">
        <f>VLOOKUP(Продажи[[#This Row],[id клиента]],клиенты!$A$2:$I$435,9,0)</f>
        <v>16.854209445585216</v>
      </c>
    </row>
    <row r="761" spans="1:20" x14ac:dyDescent="0.25">
      <c r="A761">
        <v>760</v>
      </c>
      <c r="B761">
        <v>463</v>
      </c>
      <c r="C761">
        <v>77</v>
      </c>
      <c r="D761">
        <v>4</v>
      </c>
      <c r="E761" s="35">
        <v>1540</v>
      </c>
      <c r="F761" s="48">
        <v>45293</v>
      </c>
      <c r="G761" t="s">
        <v>21</v>
      </c>
      <c r="H761">
        <v>163</v>
      </c>
      <c r="I761" t="str">
        <f>VLOOKUP(Продажи[[#This Row],[id товара]],Товары[],2,0)</f>
        <v>Кофе</v>
      </c>
      <c r="J761" s="17">
        <f>AVERAGEIF(Продажи[Категория],Продажи[[#This Row],[Категория]],Продажи[цена за шт в рублях])</f>
        <v>249.02380952380952</v>
      </c>
      <c r="K761" s="16">
        <f>Продажи[[#This Row],[цена за шт в рублях]]/Продажи[[#This Row],[Средняя цена в категории за шт]]-1</f>
        <v>-0.69079261879720821</v>
      </c>
      <c r="L761" t="str">
        <f>VLOOKUP(Продажи[[#This Row],[id товара]],Товары[],3,0)</f>
        <v>Черная Карта</v>
      </c>
      <c r="M761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761" s="16">
        <f>Продажи[[#This Row],[цена за шт в рублях]]/Продажи[[#This Row],[Средняя цена в категории за шт по поставщику]]-1</f>
        <v>-0.65346534653465338</v>
      </c>
      <c r="O761" s="48">
        <f>VLOOKUP(Продажи[[#This Row],[id клиента]],клиенты!$A$2:$E$435,5,0)</f>
        <v>44571</v>
      </c>
      <c r="P761">
        <f>Продажи[[#This Row],[дата создания чека]]-Продажи[[#This Row],[Дата регистрации]]</f>
        <v>722</v>
      </c>
      <c r="Q761" t="str">
        <f>VLOOKUP(Продажи[[#This Row],[id клиента]],клиенты!$A$2:$G$435,7,0)</f>
        <v>Узбекистан</v>
      </c>
      <c r="R761">
        <f>IF(COUNTIF($H$2:H761, H761)=1, 1, 0)</f>
        <v>0</v>
      </c>
      <c r="S761" t="str">
        <f>VLOOKUP(Продажи[[#This Row],[id клиента]],клиенты!$A$2:$D$435,4,0)</f>
        <v>да</v>
      </c>
      <c r="T761" s="54">
        <f>VLOOKUP(Продажи[[#This Row],[id клиента]],клиенты!$A$2:$I$435,9,0)</f>
        <v>23.720739219712527</v>
      </c>
    </row>
    <row r="762" spans="1:20" x14ac:dyDescent="0.25">
      <c r="A762">
        <v>761</v>
      </c>
      <c r="B762">
        <v>151</v>
      </c>
      <c r="C762">
        <v>239</v>
      </c>
      <c r="D762">
        <v>2</v>
      </c>
      <c r="E762" s="35">
        <v>2390</v>
      </c>
      <c r="F762" s="48">
        <v>45056</v>
      </c>
      <c r="G762" t="s">
        <v>14</v>
      </c>
      <c r="H762">
        <v>386</v>
      </c>
      <c r="I762" t="str">
        <f>VLOOKUP(Продажи[[#This Row],[id товара]],Товары[],2,0)</f>
        <v>Молоко</v>
      </c>
      <c r="J762" s="17">
        <f>AVERAGEIF(Продажи[Категория],Продажи[[#This Row],[Категория]],Продажи[цена за шт в рублях])</f>
        <v>294.95238095238096</v>
      </c>
      <c r="K762" s="16">
        <f>Продажи[[#This Row],[цена за шт в рублях]]/Продажи[[#This Row],[Средняя цена в категории за шт]]-1</f>
        <v>-0.18969970939618985</v>
      </c>
      <c r="L762" t="str">
        <f>VLOOKUP(Продажи[[#This Row],[id товара]],Товары[],3,0)</f>
        <v>Беллакт</v>
      </c>
      <c r="M762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762" s="16">
        <f>Продажи[[#This Row],[цена за шт в рублях]]/Продажи[[#This Row],[Средняя цена в категории за шт по поставщику]]-1</f>
        <v>-0.25901916572717032</v>
      </c>
      <c r="O762" s="48">
        <f>VLOOKUP(Продажи[[#This Row],[id клиента]],клиенты!$A$2:$E$435,5,0)</f>
        <v>44734</v>
      </c>
      <c r="P762">
        <f>Продажи[[#This Row],[дата создания чека]]-Продажи[[#This Row],[Дата регистрации]]</f>
        <v>322</v>
      </c>
      <c r="Q762" t="str">
        <f>VLOOKUP(Продажи[[#This Row],[id клиента]],клиенты!$A$2:$G$435,7,0)</f>
        <v>Узбекистан</v>
      </c>
      <c r="R762">
        <f>IF(COUNTIF($H$2:H762, H762)=1, 1, 0)</f>
        <v>0</v>
      </c>
      <c r="S762" t="str">
        <f>VLOOKUP(Продажи[[#This Row],[id клиента]],клиенты!$A$2:$D$435,4,0)</f>
        <v>да</v>
      </c>
      <c r="T762" s="54">
        <f>VLOOKUP(Продажи[[#This Row],[id клиента]],клиенты!$A$2:$I$435,9,0)</f>
        <v>20.205338809034906</v>
      </c>
    </row>
    <row r="763" spans="1:20" x14ac:dyDescent="0.25">
      <c r="A763">
        <v>762</v>
      </c>
      <c r="B763">
        <v>398</v>
      </c>
      <c r="C763">
        <v>464</v>
      </c>
      <c r="D763">
        <v>5</v>
      </c>
      <c r="E763" s="35">
        <v>11600</v>
      </c>
      <c r="F763" s="48">
        <v>45040</v>
      </c>
      <c r="G763" t="s">
        <v>11</v>
      </c>
      <c r="H763">
        <v>342</v>
      </c>
      <c r="I763" t="str">
        <f>VLOOKUP(Продажи[[#This Row],[id товара]],Товары[],2,0)</f>
        <v>Сок</v>
      </c>
      <c r="J763" s="17">
        <f>AVERAGEIF(Продажи[Категория],Продажи[[#This Row],[Категория]],Продажи[цена за шт в рублях])</f>
        <v>268.60344827586209</v>
      </c>
      <c r="K763" s="16">
        <f>Продажи[[#This Row],[цена за шт в рублях]]/Продажи[[#This Row],[Средняя цена в категории за шт]]-1</f>
        <v>0.72745362346748821</v>
      </c>
      <c r="L763" t="str">
        <f>VLOOKUP(Продажи[[#This Row],[id товара]],Товары[],3,0)</f>
        <v>Фруктовый сад</v>
      </c>
      <c r="M763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763" s="16">
        <f>Продажи[[#This Row],[цена за шт в рублях]]/Продажи[[#This Row],[Средняя цена в категории за шт по поставщику]]-1</f>
        <v>0.64557242602238718</v>
      </c>
      <c r="O763" s="48">
        <f>VLOOKUP(Продажи[[#This Row],[id клиента]],клиенты!$A$2:$E$435,5,0)</f>
        <v>44570</v>
      </c>
      <c r="P763">
        <f>Продажи[[#This Row],[дата создания чека]]-Продажи[[#This Row],[Дата регистрации]]</f>
        <v>470</v>
      </c>
      <c r="Q763" t="str">
        <f>VLOOKUP(Продажи[[#This Row],[id клиента]],клиенты!$A$2:$G$435,7,0)</f>
        <v>Таджикистан</v>
      </c>
      <c r="R763">
        <f>IF(COUNTIF($H$2:H763, H763)=1, 1, 0)</f>
        <v>0</v>
      </c>
      <c r="S763" t="str">
        <f>VLOOKUP(Продажи[[#This Row],[id клиента]],клиенты!$A$2:$D$435,4,0)</f>
        <v>да</v>
      </c>
      <c r="T763" s="54">
        <f>VLOOKUP(Продажи[[#This Row],[id клиента]],клиенты!$A$2:$I$435,9,0)</f>
        <v>27.400410677618069</v>
      </c>
    </row>
    <row r="764" spans="1:20" x14ac:dyDescent="0.25">
      <c r="A764">
        <v>763</v>
      </c>
      <c r="B764">
        <v>483</v>
      </c>
      <c r="C764">
        <v>140</v>
      </c>
      <c r="D764">
        <v>5</v>
      </c>
      <c r="E764" s="35">
        <v>3500</v>
      </c>
      <c r="F764" s="48">
        <v>45244</v>
      </c>
      <c r="G764" t="s">
        <v>11</v>
      </c>
      <c r="H764">
        <v>7</v>
      </c>
      <c r="I764" t="str">
        <f>VLOOKUP(Продажи[[#This Row],[id товара]],Товары[],2,0)</f>
        <v>Колбаса</v>
      </c>
      <c r="J764" s="17">
        <f>AVERAGEIF(Продажи[Категория],Продажи[[#This Row],[Категория]],Продажи[цена за шт в рублях])</f>
        <v>286.92307692307691</v>
      </c>
      <c r="K764" s="16">
        <f>Продажи[[#This Row],[цена за шт в рублях]]/Продажи[[#This Row],[Средняя цена в категории за шт]]-1</f>
        <v>-0.51206434316353877</v>
      </c>
      <c r="L764" t="str">
        <f>VLOOKUP(Продажи[[#This Row],[id товара]],Товары[],3,0)</f>
        <v>Дымов</v>
      </c>
      <c r="M764" s="32">
        <f>AVERAGEIFS(Продажи[цена за шт в рублях],Продажи[Категория],Продажи[[#This Row],[Категория]],Продажи[Поставщик],Продажи[[#This Row],[Поставщик]])</f>
        <v>312.66666666666669</v>
      </c>
      <c r="N764" s="16">
        <f>Продажи[[#This Row],[цена за шт в рублях]]/Продажи[[#This Row],[Средняя цена в категории за шт по поставщику]]-1</f>
        <v>-0.55223880597014929</v>
      </c>
      <c r="O764" s="48">
        <f>VLOOKUP(Продажи[[#This Row],[id клиента]],клиенты!$A$2:$E$435,5,0)</f>
        <v>44893</v>
      </c>
      <c r="P764">
        <f>Продажи[[#This Row],[дата создания чека]]-Продажи[[#This Row],[Дата регистрации]]</f>
        <v>351</v>
      </c>
      <c r="Q764" t="str">
        <f>VLOOKUP(Продажи[[#This Row],[id клиента]],клиенты!$A$2:$G$435,7,0)</f>
        <v>Россия</v>
      </c>
      <c r="R764">
        <f>IF(COUNTIF($H$2:H764, H764)=1, 1, 0)</f>
        <v>0</v>
      </c>
      <c r="S764" t="str">
        <f>VLOOKUP(Продажи[[#This Row],[id клиента]],клиенты!$A$2:$D$435,4,0)</f>
        <v>да</v>
      </c>
      <c r="T764" s="54">
        <f>VLOOKUP(Продажи[[#This Row],[id клиента]],клиенты!$A$2:$I$435,9,0)</f>
        <v>11.53182751540041</v>
      </c>
    </row>
    <row r="765" spans="1:20" x14ac:dyDescent="0.25">
      <c r="A765">
        <v>764</v>
      </c>
      <c r="B765">
        <v>86</v>
      </c>
      <c r="C765">
        <v>353</v>
      </c>
      <c r="D765">
        <v>2</v>
      </c>
      <c r="E765" s="35">
        <v>3530</v>
      </c>
      <c r="F765" s="48">
        <v>45333</v>
      </c>
      <c r="G765" t="s">
        <v>27</v>
      </c>
      <c r="H765">
        <v>264</v>
      </c>
      <c r="I765" t="str">
        <f>VLOOKUP(Продажи[[#This Row],[id товара]],Товары[],2,0)</f>
        <v>Сахар</v>
      </c>
      <c r="J765" s="17">
        <f>AVERAGEIF(Продажи[Категория],Продажи[[#This Row],[Категория]],Продажи[цена за шт в рублях])</f>
        <v>252.76271186440678</v>
      </c>
      <c r="K765" s="16">
        <f>Продажи[[#This Row],[цена за шт в рублях]]/Продажи[[#This Row],[Средняя цена в категории за шт]]-1</f>
        <v>0.39656675383893236</v>
      </c>
      <c r="L765" t="str">
        <f>VLOOKUP(Продажи[[#This Row],[id товара]],Товары[],3,0)</f>
        <v>Русский сахар</v>
      </c>
      <c r="M765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765" s="16">
        <f>Продажи[[#This Row],[цена за шт в рублях]]/Продажи[[#This Row],[Средняя цена в категории за шт по поставщику]]-1</f>
        <v>0.20308740978348028</v>
      </c>
      <c r="O765" s="48">
        <f>VLOOKUP(Продажи[[#This Row],[id клиента]],клиенты!$A$2:$E$435,5,0)</f>
        <v>44907</v>
      </c>
      <c r="P765">
        <f>Продажи[[#This Row],[дата создания чека]]-Продажи[[#This Row],[Дата регистрации]]</f>
        <v>426</v>
      </c>
      <c r="Q765" t="str">
        <f>VLOOKUP(Продажи[[#This Row],[id клиента]],клиенты!$A$2:$G$435,7,0)</f>
        <v>Беларусь</v>
      </c>
      <c r="R765">
        <f>IF(COUNTIF($H$2:H765, H765)=1, 1, 0)</f>
        <v>1</v>
      </c>
      <c r="S765" t="str">
        <f>VLOOKUP(Продажи[[#This Row],[id клиента]],клиенты!$A$2:$D$435,4,0)</f>
        <v>нет</v>
      </c>
      <c r="T765" s="54">
        <f>VLOOKUP(Продажи[[#This Row],[id клиента]],клиенты!$A$2:$I$435,9,0)</f>
        <v>15.868583162217659</v>
      </c>
    </row>
    <row r="766" spans="1:20" x14ac:dyDescent="0.25">
      <c r="A766">
        <v>765</v>
      </c>
      <c r="B766">
        <v>158</v>
      </c>
      <c r="C766">
        <v>318</v>
      </c>
      <c r="D766">
        <v>5</v>
      </c>
      <c r="E766" s="35">
        <v>7950</v>
      </c>
      <c r="F766" s="48">
        <v>44958</v>
      </c>
      <c r="G766" t="s">
        <v>15</v>
      </c>
      <c r="H766">
        <v>99</v>
      </c>
      <c r="I766" t="str">
        <f>VLOOKUP(Продажи[[#This Row],[id товара]],Товары[],2,0)</f>
        <v>Сахар</v>
      </c>
      <c r="J766" s="17">
        <f>AVERAGEIF(Продажи[Категория],Продажи[[#This Row],[Категория]],Продажи[цена за шт в рублях])</f>
        <v>252.76271186440678</v>
      </c>
      <c r="K766" s="16">
        <f>Продажи[[#This Row],[цена за шт в рублях]]/Продажи[[#This Row],[Средняя цена в категории за шт]]-1</f>
        <v>0.25809696238181457</v>
      </c>
      <c r="L766" t="str">
        <f>VLOOKUP(Продажи[[#This Row],[id товара]],Товары[],3,0)</f>
        <v>Сладов</v>
      </c>
      <c r="M766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766" s="16">
        <f>Продажи[[#This Row],[цена за шт в рублях]]/Продажи[[#This Row],[Средняя цена в категории за шт по поставщику]]-1</f>
        <v>0.32352941176470584</v>
      </c>
      <c r="O766" s="48">
        <f>VLOOKUP(Продажи[[#This Row],[id клиента]],клиенты!$A$2:$E$435,5,0)</f>
        <v>44886</v>
      </c>
      <c r="P766">
        <f>Продажи[[#This Row],[дата создания чека]]-Продажи[[#This Row],[Дата регистрации]]</f>
        <v>72</v>
      </c>
      <c r="Q766" t="str">
        <f>VLOOKUP(Продажи[[#This Row],[id клиента]],клиенты!$A$2:$G$435,7,0)</f>
        <v>Россия</v>
      </c>
      <c r="R766">
        <f>IF(COUNTIF($H$2:H766, H766)=1, 1, 0)</f>
        <v>1</v>
      </c>
      <c r="S766" t="str">
        <f>VLOOKUP(Продажи[[#This Row],[id клиента]],клиенты!$A$2:$D$435,4,0)</f>
        <v>нет</v>
      </c>
      <c r="T766" s="54">
        <f>VLOOKUP(Продажи[[#This Row],[id клиента]],клиенты!$A$2:$I$435,9,0)</f>
        <v>2.3655030800821355</v>
      </c>
    </row>
    <row r="767" spans="1:20" x14ac:dyDescent="0.25">
      <c r="A767">
        <v>766</v>
      </c>
      <c r="B767">
        <v>199</v>
      </c>
      <c r="C767">
        <v>80</v>
      </c>
      <c r="D767">
        <v>5</v>
      </c>
      <c r="E767" s="35">
        <v>2000</v>
      </c>
      <c r="F767" s="48">
        <v>45408</v>
      </c>
      <c r="G767" t="s">
        <v>17</v>
      </c>
      <c r="H767">
        <v>404</v>
      </c>
      <c r="I767" t="str">
        <f>VLOOKUP(Продажи[[#This Row],[id товара]],Товары[],2,0)</f>
        <v>Макароны</v>
      </c>
      <c r="J767" s="17">
        <f>AVERAGEIF(Продажи[Категория],Продажи[[#This Row],[Категория]],Продажи[цена за шт в рублях])</f>
        <v>265.47674418604652</v>
      </c>
      <c r="K767" s="16">
        <f>Продажи[[#This Row],[цена за шт в рублях]]/Продажи[[#This Row],[Средняя цена в категории за шт]]-1</f>
        <v>-0.69865533704174143</v>
      </c>
      <c r="L767" t="str">
        <f>VLOOKUP(Продажи[[#This Row],[id товара]],Товары[],3,0)</f>
        <v>Борилла</v>
      </c>
      <c r="M767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767" s="16">
        <f>Продажи[[#This Row],[цена за шт в рублях]]/Продажи[[#This Row],[Средняя цена в категории за шт по поставщику]]-1</f>
        <v>-0.66141272621132519</v>
      </c>
      <c r="O767" s="48">
        <f>VLOOKUP(Продажи[[#This Row],[id клиента]],клиенты!$A$2:$E$435,5,0)</f>
        <v>44913</v>
      </c>
      <c r="P767">
        <f>Продажи[[#This Row],[дата создания чека]]-Продажи[[#This Row],[Дата регистрации]]</f>
        <v>495</v>
      </c>
      <c r="Q767" t="str">
        <f>VLOOKUP(Продажи[[#This Row],[id клиента]],клиенты!$A$2:$G$435,7,0)</f>
        <v>Украина</v>
      </c>
      <c r="R767">
        <f>IF(COUNTIF($H$2:H767, H767)=1, 1, 0)</f>
        <v>1</v>
      </c>
      <c r="S767" t="str">
        <f>VLOOKUP(Продажи[[#This Row],[id клиента]],клиенты!$A$2:$D$435,4,0)</f>
        <v>нет</v>
      </c>
      <c r="T767" s="54">
        <f>VLOOKUP(Продажи[[#This Row],[id клиента]],клиенты!$A$2:$I$435,9,0)</f>
        <v>16.262833675564682</v>
      </c>
    </row>
    <row r="768" spans="1:20" x14ac:dyDescent="0.25">
      <c r="A768">
        <v>767</v>
      </c>
      <c r="B768">
        <v>259</v>
      </c>
      <c r="C768">
        <v>90</v>
      </c>
      <c r="D768">
        <v>4</v>
      </c>
      <c r="E768" s="35">
        <v>1800</v>
      </c>
      <c r="F768" s="48">
        <v>45058</v>
      </c>
      <c r="G768" t="s">
        <v>12</v>
      </c>
      <c r="H768">
        <v>79</v>
      </c>
      <c r="I768" t="str">
        <f>VLOOKUP(Продажи[[#This Row],[id товара]],Товары[],2,0)</f>
        <v>Йогурт</v>
      </c>
      <c r="J768" s="17">
        <f>AVERAGEIF(Продажи[Категория],Продажи[[#This Row],[Категория]],Продажи[цена за шт в рублях])</f>
        <v>263.25423728813558</v>
      </c>
      <c r="K768" s="16">
        <f>Продажи[[#This Row],[цена за шт в рублях]]/Продажи[[#This Row],[Средняя цена в категории за шт]]-1</f>
        <v>-0.65812516095802209</v>
      </c>
      <c r="L768" t="str">
        <f>VLOOKUP(Продажи[[#This Row],[id товара]],Товары[],3,0)</f>
        <v>Ростагроэкспорт</v>
      </c>
      <c r="M768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768" s="16">
        <f>Продажи[[#This Row],[цена за шт в рублях]]/Продажи[[#This Row],[Средняя цена в категории за шт по поставщику]]-1</f>
        <v>-0.65086861190757295</v>
      </c>
      <c r="O768" s="48">
        <f>VLOOKUP(Продажи[[#This Row],[id клиента]],клиенты!$A$2:$E$435,5,0)</f>
        <v>44716</v>
      </c>
      <c r="P768">
        <f>Продажи[[#This Row],[дата создания чека]]-Продажи[[#This Row],[Дата регистрации]]</f>
        <v>342</v>
      </c>
      <c r="Q768" t="str">
        <f>VLOOKUP(Продажи[[#This Row],[id клиента]],клиенты!$A$2:$G$435,7,0)</f>
        <v>Таджикистан</v>
      </c>
      <c r="R768">
        <f>IF(COUNTIF($H$2:H768, H768)=1, 1, 0)</f>
        <v>0</v>
      </c>
      <c r="S768" t="str">
        <f>VLOOKUP(Продажи[[#This Row],[id клиента]],клиенты!$A$2:$D$435,4,0)</f>
        <v>нет</v>
      </c>
      <c r="T768" s="54">
        <f>VLOOKUP(Продажи[[#This Row],[id клиента]],клиенты!$A$2:$I$435,9,0)</f>
        <v>19.613963039014372</v>
      </c>
    </row>
    <row r="769" spans="1:20" x14ac:dyDescent="0.25">
      <c r="A769">
        <v>768</v>
      </c>
      <c r="B769">
        <v>468</v>
      </c>
      <c r="C769">
        <v>167</v>
      </c>
      <c r="D769">
        <v>4</v>
      </c>
      <c r="E769" s="35">
        <v>3340</v>
      </c>
      <c r="F769" s="48">
        <v>45211</v>
      </c>
      <c r="G769" t="s">
        <v>27</v>
      </c>
      <c r="H769">
        <v>377</v>
      </c>
      <c r="I769" t="str">
        <f>VLOOKUP(Продажи[[#This Row],[id товара]],Товары[],2,0)</f>
        <v>Йогурт</v>
      </c>
      <c r="J769" s="17">
        <f>AVERAGEIF(Продажи[Категория],Продажи[[#This Row],[Категория]],Продажи[цена за шт в рублях])</f>
        <v>263.25423728813558</v>
      </c>
      <c r="K769" s="16">
        <f>Продажи[[#This Row],[цена за шт в рублях]]/Продажи[[#This Row],[Средняя цена в категории за шт]]-1</f>
        <v>-0.36563224311099662</v>
      </c>
      <c r="L769" t="str">
        <f>VLOOKUP(Продажи[[#This Row],[id товара]],Товары[],3,0)</f>
        <v>Чудо</v>
      </c>
      <c r="M769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769" s="16">
        <f>Продажи[[#This Row],[цена за шт в рублях]]/Продажи[[#This Row],[Средняя цена в категории за шт по поставщику]]-1</f>
        <v>-0.41832114245907359</v>
      </c>
      <c r="O769" s="48">
        <f>VLOOKUP(Продажи[[#This Row],[id клиента]],клиенты!$A$2:$E$435,5,0)</f>
        <v>44794</v>
      </c>
      <c r="P769">
        <f>Продажи[[#This Row],[дата создания чека]]-Продажи[[#This Row],[Дата регистрации]]</f>
        <v>417</v>
      </c>
      <c r="Q769" t="str">
        <f>VLOOKUP(Продажи[[#This Row],[id клиента]],клиенты!$A$2:$G$435,7,0)</f>
        <v>Узбекистан</v>
      </c>
      <c r="R769">
        <f>IF(COUNTIF($H$2:H769, H769)=1, 1, 0)</f>
        <v>0</v>
      </c>
      <c r="S769" t="str">
        <f>VLOOKUP(Продажи[[#This Row],[id клиента]],клиенты!$A$2:$D$435,4,0)</f>
        <v>нет</v>
      </c>
      <c r="T769" s="54">
        <f>VLOOKUP(Продажи[[#This Row],[id клиента]],клиенты!$A$2:$I$435,9,0)</f>
        <v>15.474332648870636</v>
      </c>
    </row>
    <row r="770" spans="1:20" x14ac:dyDescent="0.25">
      <c r="A770">
        <v>769</v>
      </c>
      <c r="B770">
        <v>4</v>
      </c>
      <c r="C770">
        <v>478</v>
      </c>
      <c r="D770">
        <v>4</v>
      </c>
      <c r="E770" s="35">
        <v>9560</v>
      </c>
      <c r="F770" s="48">
        <v>45156</v>
      </c>
      <c r="G770" t="s">
        <v>21</v>
      </c>
      <c r="H770">
        <v>146</v>
      </c>
      <c r="I770" t="str">
        <f>VLOOKUP(Продажи[[#This Row],[id товара]],Товары[],2,0)</f>
        <v>Рис</v>
      </c>
      <c r="J770" s="17">
        <f>AVERAGEIF(Продажи[Категория],Продажи[[#This Row],[Категория]],Продажи[цена за шт в рублях])</f>
        <v>258.375</v>
      </c>
      <c r="K770" s="16">
        <f>Продажи[[#This Row],[цена за шт в рублях]]/Продажи[[#This Row],[Средняя цена в категории за шт]]-1</f>
        <v>0.85002418964683124</v>
      </c>
      <c r="L770" t="str">
        <f>VLOOKUP(Продажи[[#This Row],[id товара]],Товары[],3,0)</f>
        <v>Белый Злат</v>
      </c>
      <c r="M770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770" s="16">
        <f>Продажи[[#This Row],[цена за шт в рублях]]/Продажи[[#This Row],[Средняя цена в категории за шт по поставщику]]-1</f>
        <v>0.7723009814612869</v>
      </c>
      <c r="O770" s="48">
        <f>VLOOKUP(Продажи[[#This Row],[id клиента]],клиенты!$A$2:$E$435,5,0)</f>
        <v>44617</v>
      </c>
      <c r="P770">
        <f>Продажи[[#This Row],[дата создания чека]]-Продажи[[#This Row],[Дата регистрации]]</f>
        <v>539</v>
      </c>
      <c r="Q770" t="str">
        <f>VLOOKUP(Продажи[[#This Row],[id клиента]],клиенты!$A$2:$G$435,7,0)</f>
        <v>Беларусь</v>
      </c>
      <c r="R770">
        <f>IF(COUNTIF($H$2:H770, H770)=1, 1, 0)</f>
        <v>1</v>
      </c>
      <c r="S770" t="str">
        <f>VLOOKUP(Продажи[[#This Row],[id клиента]],клиенты!$A$2:$D$435,4,0)</f>
        <v>нет</v>
      </c>
      <c r="T770" s="54">
        <f>VLOOKUP(Продажи[[#This Row],[id клиента]],клиенты!$A$2:$I$435,9,0)</f>
        <v>17.708418891170432</v>
      </c>
    </row>
    <row r="771" spans="1:20" x14ac:dyDescent="0.25">
      <c r="A771">
        <v>770</v>
      </c>
      <c r="B771">
        <v>155</v>
      </c>
      <c r="C771">
        <v>310</v>
      </c>
      <c r="D771">
        <v>4</v>
      </c>
      <c r="E771" s="35">
        <v>6200</v>
      </c>
      <c r="F771" s="48">
        <v>44930</v>
      </c>
      <c r="G771" t="s">
        <v>19</v>
      </c>
      <c r="H771">
        <v>346</v>
      </c>
      <c r="I771" t="str">
        <f>VLOOKUP(Продажи[[#This Row],[id товара]],Товары[],2,0)</f>
        <v>Йогурт</v>
      </c>
      <c r="J771" s="17">
        <f>AVERAGEIF(Продажи[Категория],Продажи[[#This Row],[Категория]],Продажи[цена за шт в рублях])</f>
        <v>263.25423728813558</v>
      </c>
      <c r="K771" s="16">
        <f>Продажи[[#This Row],[цена за шт в рублях]]/Продажи[[#This Row],[Средняя цена в категории за шт]]-1</f>
        <v>0.17756889003347931</v>
      </c>
      <c r="L771" t="str">
        <f>VLOOKUP(Продажи[[#This Row],[id товара]],Товары[],3,0)</f>
        <v>Эрманн</v>
      </c>
      <c r="M771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771" s="16">
        <f>Продажи[[#This Row],[цена за шт в рублях]]/Продажи[[#This Row],[Средняя цена в категории за шт по поставщику]]-1</f>
        <v>0.2474849094567404</v>
      </c>
      <c r="O771" s="48">
        <f>VLOOKUP(Продажи[[#This Row],[id клиента]],клиенты!$A$2:$E$435,5,0)</f>
        <v>44636</v>
      </c>
      <c r="P771">
        <f>Продажи[[#This Row],[дата создания чека]]-Продажи[[#This Row],[Дата регистрации]]</f>
        <v>294</v>
      </c>
      <c r="Q771" t="str">
        <f>VLOOKUP(Продажи[[#This Row],[id клиента]],клиенты!$A$2:$G$435,7,0)</f>
        <v>Россия</v>
      </c>
      <c r="R771">
        <f>IF(COUNTIF($H$2:H771, H771)=1, 1, 0)</f>
        <v>0</v>
      </c>
      <c r="S771" t="str">
        <f>VLOOKUP(Продажи[[#This Row],[id клиента]],клиенты!$A$2:$D$435,4,0)</f>
        <v>да</v>
      </c>
      <c r="T771" s="54">
        <f>VLOOKUP(Продажи[[#This Row],[id клиента]],клиенты!$A$2:$I$435,9,0)</f>
        <v>22.11088295687885</v>
      </c>
    </row>
    <row r="772" spans="1:20" x14ac:dyDescent="0.25">
      <c r="A772">
        <v>771</v>
      </c>
      <c r="B772">
        <v>413</v>
      </c>
      <c r="C772">
        <v>210</v>
      </c>
      <c r="D772">
        <v>5</v>
      </c>
      <c r="E772" s="35">
        <v>5250</v>
      </c>
      <c r="F772" s="48">
        <v>45422</v>
      </c>
      <c r="G772" t="s">
        <v>19</v>
      </c>
      <c r="H772">
        <v>436</v>
      </c>
      <c r="I772" t="str">
        <f>VLOOKUP(Продажи[[#This Row],[id товара]],Товары[],2,0)</f>
        <v>Кофе</v>
      </c>
      <c r="J772" s="17">
        <f>AVERAGEIF(Продажи[Категория],Продажи[[#This Row],[Категория]],Продажи[цена за шт в рублях])</f>
        <v>249.02380952380952</v>
      </c>
      <c r="K772" s="16">
        <f>Продажи[[#This Row],[цена за шт в рублях]]/Продажи[[#This Row],[Средняя цена в категории за шт]]-1</f>
        <v>-0.15670714217420401</v>
      </c>
      <c r="L772" t="str">
        <f>VLOOKUP(Продажи[[#This Row],[id товара]],Товары[],3,0)</f>
        <v>Jacobs</v>
      </c>
      <c r="M772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772" s="16">
        <f>Продажи[[#This Row],[цена за шт в рублях]]/Продажи[[#This Row],[Средняя цена в категории за шт по поставщику]]-1</f>
        <v>-0.23971036585365857</v>
      </c>
      <c r="O772" s="48">
        <f>VLOOKUP(Продажи[[#This Row],[id клиента]],клиенты!$A$2:$E$435,5,0)</f>
        <v>44683</v>
      </c>
      <c r="P772">
        <f>Продажи[[#This Row],[дата создания чека]]-Продажи[[#This Row],[Дата регистрации]]</f>
        <v>739</v>
      </c>
      <c r="Q772" t="str">
        <f>VLOOKUP(Продажи[[#This Row],[id клиента]],клиенты!$A$2:$G$435,7,0)</f>
        <v>Россия</v>
      </c>
      <c r="R772">
        <f>IF(COUNTIF($H$2:H772, H772)=1, 1, 0)</f>
        <v>0</v>
      </c>
      <c r="S772" t="str">
        <f>VLOOKUP(Продажи[[#This Row],[id клиента]],клиенты!$A$2:$D$435,4,0)</f>
        <v>нет</v>
      </c>
      <c r="T772" s="54">
        <f>VLOOKUP(Продажи[[#This Row],[id клиента]],клиенты!$A$2:$I$435,9,0)</f>
        <v>24.279260780287473</v>
      </c>
    </row>
    <row r="773" spans="1:20" x14ac:dyDescent="0.25">
      <c r="A773">
        <v>772</v>
      </c>
      <c r="B773">
        <v>200</v>
      </c>
      <c r="C773">
        <v>67</v>
      </c>
      <c r="D773">
        <v>1</v>
      </c>
      <c r="E773" s="35">
        <v>335</v>
      </c>
      <c r="F773" s="48">
        <v>45163</v>
      </c>
      <c r="G773" t="s">
        <v>14</v>
      </c>
      <c r="H773">
        <v>103</v>
      </c>
      <c r="I773" t="str">
        <f>VLOOKUP(Продажи[[#This Row],[id товара]],Товары[],2,0)</f>
        <v>Чипсы</v>
      </c>
      <c r="J773" s="17">
        <f>AVERAGEIF(Продажи[Категория],Продажи[[#This Row],[Категория]],Продажи[цена за шт в рублях])</f>
        <v>273.72549019607845</v>
      </c>
      <c r="K773" s="16">
        <f>Продажи[[#This Row],[цена за шт в рублях]]/Продажи[[#This Row],[Средняя цена в категории за шт]]-1</f>
        <v>-0.75522922636103151</v>
      </c>
      <c r="L773" t="str">
        <f>VLOOKUP(Продажи[[#This Row],[id товара]],Товары[],3,0)</f>
        <v>Estrella</v>
      </c>
      <c r="M773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773" s="16">
        <f>Продажи[[#This Row],[цена за шт в рублях]]/Продажи[[#This Row],[Средняя цена в категории за шт по поставщику]]-1</f>
        <v>-0.74837828610447255</v>
      </c>
      <c r="O773" s="48">
        <f>VLOOKUP(Продажи[[#This Row],[id клиента]],клиенты!$A$2:$E$435,5,0)</f>
        <v>44787</v>
      </c>
      <c r="P773">
        <f>Продажи[[#This Row],[дата создания чека]]-Продажи[[#This Row],[Дата регистрации]]</f>
        <v>376</v>
      </c>
      <c r="Q773" t="str">
        <f>VLOOKUP(Продажи[[#This Row],[id клиента]],клиенты!$A$2:$G$435,7,0)</f>
        <v>Узбекистан</v>
      </c>
      <c r="R773">
        <f>IF(COUNTIF($H$2:H773, H773)=1, 1, 0)</f>
        <v>0</v>
      </c>
      <c r="S773" t="str">
        <f>VLOOKUP(Продажи[[#This Row],[id клиента]],клиенты!$A$2:$D$435,4,0)</f>
        <v>да</v>
      </c>
      <c r="T773" s="54">
        <f>VLOOKUP(Продажи[[#This Row],[id клиента]],клиенты!$A$2:$I$435,9,0)</f>
        <v>13.503080082135524</v>
      </c>
    </row>
    <row r="774" spans="1:20" x14ac:dyDescent="0.25">
      <c r="A774">
        <v>773</v>
      </c>
      <c r="B774">
        <v>295</v>
      </c>
      <c r="C774">
        <v>294</v>
      </c>
      <c r="D774">
        <v>5</v>
      </c>
      <c r="E774" s="35">
        <v>7350</v>
      </c>
      <c r="F774" s="48">
        <v>45147</v>
      </c>
      <c r="G774" t="s">
        <v>26</v>
      </c>
      <c r="H774">
        <v>493</v>
      </c>
      <c r="I774" t="str">
        <f>VLOOKUP(Продажи[[#This Row],[id товара]],Товары[],2,0)</f>
        <v>Печенье</v>
      </c>
      <c r="J774" s="17">
        <f>AVERAGEIF(Продажи[Категория],Продажи[[#This Row],[Категория]],Продажи[цена за шт в рублях])</f>
        <v>283.468085106383</v>
      </c>
      <c r="K774" s="16">
        <f>Продажи[[#This Row],[цена за шт в рублях]]/Продажи[[#This Row],[Средняя цена в категории за шт]]-1</f>
        <v>3.715379419049758E-2</v>
      </c>
      <c r="L774" t="str">
        <f>VLOOKUP(Продажи[[#This Row],[id товара]],Товары[],3,0)</f>
        <v>Белогорье</v>
      </c>
      <c r="M774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774" s="16">
        <f>Продажи[[#This Row],[цена за шт в рублях]]/Продажи[[#This Row],[Средняя цена в категории за шт по поставщику]]-1</f>
        <v>0.17835671342685377</v>
      </c>
      <c r="O774" s="48">
        <f>VLOOKUP(Продажи[[#This Row],[id клиента]],клиенты!$A$2:$E$435,5,0)</f>
        <v>44855</v>
      </c>
      <c r="P774">
        <f>Продажи[[#This Row],[дата создания чека]]-Продажи[[#This Row],[Дата регистрации]]</f>
        <v>292</v>
      </c>
      <c r="Q774" t="str">
        <f>VLOOKUP(Продажи[[#This Row],[id клиента]],клиенты!$A$2:$G$435,7,0)</f>
        <v>Украина</v>
      </c>
      <c r="R774">
        <f>IF(COUNTIF($H$2:H774, H774)=1, 1, 0)</f>
        <v>0</v>
      </c>
      <c r="S774" t="str">
        <f>VLOOKUP(Продажи[[#This Row],[id клиента]],клиенты!$A$2:$D$435,4,0)</f>
        <v>да</v>
      </c>
      <c r="T774" s="54">
        <f>VLOOKUP(Продажи[[#This Row],[id клиента]],клиенты!$A$2:$I$435,9,0)</f>
        <v>14.882956878850102</v>
      </c>
    </row>
    <row r="775" spans="1:20" x14ac:dyDescent="0.25">
      <c r="A775">
        <v>774</v>
      </c>
      <c r="B775">
        <v>39</v>
      </c>
      <c r="C775">
        <v>404</v>
      </c>
      <c r="D775">
        <v>2</v>
      </c>
      <c r="E775" s="35">
        <v>4040</v>
      </c>
      <c r="F775" s="48">
        <v>45175</v>
      </c>
      <c r="G775" t="s">
        <v>15</v>
      </c>
      <c r="H775">
        <v>252</v>
      </c>
      <c r="I775" t="str">
        <f>VLOOKUP(Продажи[[#This Row],[id товара]],Товары[],2,0)</f>
        <v>Сыр</v>
      </c>
      <c r="J775" s="17">
        <f>AVERAGEIF(Продажи[Категория],Продажи[[#This Row],[Категория]],Продажи[цена за шт в рублях])</f>
        <v>262.63492063492066</v>
      </c>
      <c r="K775" s="16">
        <f>Продажи[[#This Row],[цена за шт в рублях]]/Продажи[[#This Row],[Средняя цена в категории за шт]]-1</f>
        <v>0.53825698053910287</v>
      </c>
      <c r="L775" t="str">
        <f>VLOOKUP(Продажи[[#This Row],[id товара]],Товары[],3,0)</f>
        <v>Сырная долина</v>
      </c>
      <c r="M775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775" s="16">
        <f>Продажи[[#This Row],[цена за шт в рублях]]/Продажи[[#This Row],[Средняя цена в категории за шт по поставщику]]-1</f>
        <v>0.4907749077490775</v>
      </c>
      <c r="O775" s="48">
        <f>VLOOKUP(Продажи[[#This Row],[id клиента]],клиенты!$A$2:$E$435,5,0)</f>
        <v>44643</v>
      </c>
      <c r="P775">
        <f>Продажи[[#This Row],[дата создания чека]]-Продажи[[#This Row],[Дата регистрации]]</f>
        <v>532</v>
      </c>
      <c r="Q775" t="str">
        <f>VLOOKUP(Продажи[[#This Row],[id клиента]],клиенты!$A$2:$G$435,7,0)</f>
        <v>Россия</v>
      </c>
      <c r="R775">
        <f>IF(COUNTIF($H$2:H775, H775)=1, 1, 0)</f>
        <v>0</v>
      </c>
      <c r="S775" t="str">
        <f>VLOOKUP(Продажи[[#This Row],[id клиента]],клиенты!$A$2:$D$435,4,0)</f>
        <v>нет</v>
      </c>
      <c r="T775" s="54">
        <f>VLOOKUP(Продажи[[#This Row],[id клиента]],клиенты!$A$2:$I$435,9,0)</f>
        <v>23.687885010266939</v>
      </c>
    </row>
    <row r="776" spans="1:20" x14ac:dyDescent="0.25">
      <c r="A776">
        <v>775</v>
      </c>
      <c r="B776">
        <v>228</v>
      </c>
      <c r="C776">
        <v>98</v>
      </c>
      <c r="D776">
        <v>2</v>
      </c>
      <c r="E776" s="35">
        <v>980</v>
      </c>
      <c r="F776" s="48">
        <v>45344</v>
      </c>
      <c r="G776" t="s">
        <v>12</v>
      </c>
      <c r="H776">
        <v>338</v>
      </c>
      <c r="I776" t="str">
        <f>VLOOKUP(Продажи[[#This Row],[id товара]],Товары[],2,0)</f>
        <v>Рис</v>
      </c>
      <c r="J776" s="17">
        <f>AVERAGEIF(Продажи[Категория],Продажи[[#This Row],[Категория]],Продажи[цена за шт в рублях])</f>
        <v>258.375</v>
      </c>
      <c r="K776" s="16">
        <f>Продажи[[#This Row],[цена за шт в рублях]]/Продажи[[#This Row],[Средняя цена в категории за шт]]-1</f>
        <v>-0.62070633768746974</v>
      </c>
      <c r="L776" t="str">
        <f>VLOOKUP(Продажи[[#This Row],[id товара]],Товары[],3,0)</f>
        <v>Мистраль</v>
      </c>
      <c r="M776" s="32">
        <f>AVERAGEIFS(Продажи[цена за шт в рублях],Продажи[Категория],Продажи[[#This Row],[Категория]],Продажи[Поставщик],Продажи[[#This Row],[Поставщик]])</f>
        <v>181.57142857142858</v>
      </c>
      <c r="N776" s="16">
        <f>Продажи[[#This Row],[цена за шт в рублях]]/Продажи[[#This Row],[Средняя цена в категории за шт по поставщику]]-1</f>
        <v>-0.46026750590086551</v>
      </c>
      <c r="O776" s="48">
        <f>VLOOKUP(Продажи[[#This Row],[id клиента]],клиенты!$A$2:$E$435,5,0)</f>
        <v>44577</v>
      </c>
      <c r="P776">
        <f>Продажи[[#This Row],[дата создания чека]]-Продажи[[#This Row],[Дата регистрации]]</f>
        <v>767</v>
      </c>
      <c r="Q776" t="str">
        <f>VLOOKUP(Продажи[[#This Row],[id клиента]],клиенты!$A$2:$G$435,7,0)</f>
        <v>Таджикистан</v>
      </c>
      <c r="R776">
        <f>IF(COUNTIF($H$2:H776, H776)=1, 1, 0)</f>
        <v>1</v>
      </c>
      <c r="S776" t="str">
        <f>VLOOKUP(Продажи[[#This Row],[id клиента]],клиенты!$A$2:$D$435,4,0)</f>
        <v>нет</v>
      </c>
      <c r="T776" s="54">
        <f>VLOOKUP(Продажи[[#This Row],[id клиента]],клиенты!$A$2:$I$435,9,0)</f>
        <v>25.199178644763862</v>
      </c>
    </row>
    <row r="777" spans="1:20" x14ac:dyDescent="0.25">
      <c r="A777">
        <v>776</v>
      </c>
      <c r="B777">
        <v>37</v>
      </c>
      <c r="C777">
        <v>139</v>
      </c>
      <c r="D777">
        <v>3</v>
      </c>
      <c r="E777" s="35">
        <v>2085</v>
      </c>
      <c r="F777" s="48">
        <v>45014</v>
      </c>
      <c r="G777" t="s">
        <v>17</v>
      </c>
      <c r="H777">
        <v>397</v>
      </c>
      <c r="I777" t="str">
        <f>VLOOKUP(Продажи[[#This Row],[id товара]],Товары[],2,0)</f>
        <v>Соль</v>
      </c>
      <c r="J777" s="17">
        <f>AVERAGEIF(Продажи[Категория],Продажи[[#This Row],[Категория]],Продажи[цена за шт в рублях])</f>
        <v>264.8679245283019</v>
      </c>
      <c r="K777" s="16">
        <f>Продажи[[#This Row],[цена за шт в рублях]]/Продажи[[#This Row],[Средняя цена в категории за шт]]-1</f>
        <v>-0.47521014389514182</v>
      </c>
      <c r="L777" t="str">
        <f>VLOOKUP(Продажи[[#This Row],[id товара]],Товары[],3,0)</f>
        <v>Илецкая</v>
      </c>
      <c r="M777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777" s="16">
        <f>Продажи[[#This Row],[цена за шт в рублях]]/Продажи[[#This Row],[Средняя цена в категории за шт по поставщику]]-1</f>
        <v>-0.41637508747375784</v>
      </c>
      <c r="O777" s="48">
        <f>VLOOKUP(Продажи[[#This Row],[id клиента]],клиенты!$A$2:$E$435,5,0)</f>
        <v>44728</v>
      </c>
      <c r="P777">
        <f>Продажи[[#This Row],[дата создания чека]]-Продажи[[#This Row],[Дата регистрации]]</f>
        <v>286</v>
      </c>
      <c r="Q777" t="str">
        <f>VLOOKUP(Продажи[[#This Row],[id клиента]],клиенты!$A$2:$G$435,7,0)</f>
        <v>Беларусь</v>
      </c>
      <c r="R777">
        <f>IF(COUNTIF($H$2:H777, H777)=1, 1, 0)</f>
        <v>0</v>
      </c>
      <c r="S777" t="str">
        <f>VLOOKUP(Продажи[[#This Row],[id клиента]],клиенты!$A$2:$D$435,4,0)</f>
        <v>нет</v>
      </c>
      <c r="T777" s="54">
        <f>VLOOKUP(Продажи[[#This Row],[id клиента]],клиенты!$A$2:$I$435,9,0)</f>
        <v>12.97741273100616</v>
      </c>
    </row>
    <row r="778" spans="1:20" x14ac:dyDescent="0.25">
      <c r="A778">
        <v>777</v>
      </c>
      <c r="B778">
        <v>62</v>
      </c>
      <c r="C778">
        <v>241</v>
      </c>
      <c r="D778">
        <v>2</v>
      </c>
      <c r="E778" s="35">
        <v>2410</v>
      </c>
      <c r="F778" s="48">
        <v>45231</v>
      </c>
      <c r="G778" t="s">
        <v>8</v>
      </c>
      <c r="H778">
        <v>247</v>
      </c>
      <c r="I778" t="str">
        <f>VLOOKUP(Продажи[[#This Row],[id товара]],Товары[],2,0)</f>
        <v>Рыба</v>
      </c>
      <c r="J778" s="17">
        <f>AVERAGEIF(Продажи[Категория],Продажи[[#This Row],[Категория]],Продажи[цена за шт в рублях])</f>
        <v>258.5128205128205</v>
      </c>
      <c r="K778" s="16">
        <f>Продажи[[#This Row],[цена за шт в рублях]]/Продажи[[#This Row],[Средняя цена в категории за шт]]-1</f>
        <v>-6.7744495139853145E-2</v>
      </c>
      <c r="L778" t="str">
        <f>VLOOKUP(Продажи[[#This Row],[id товара]],Товары[],3,0)</f>
        <v>Балтийский берег</v>
      </c>
      <c r="M778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778" s="16">
        <f>Продажи[[#This Row],[цена за шт в рублях]]/Продажи[[#This Row],[Средняя цена в категории за шт по поставщику]]-1</f>
        <v>-0.16864699118436188</v>
      </c>
      <c r="O778" s="48">
        <f>VLOOKUP(Продажи[[#This Row],[id клиента]],клиенты!$A$2:$E$435,5,0)</f>
        <v>44762</v>
      </c>
      <c r="P778">
        <f>Продажи[[#This Row],[дата создания чека]]-Продажи[[#This Row],[Дата регистрации]]</f>
        <v>469</v>
      </c>
      <c r="Q778" t="str">
        <f>VLOOKUP(Продажи[[#This Row],[id клиента]],клиенты!$A$2:$G$435,7,0)</f>
        <v>Узбекистан</v>
      </c>
      <c r="R778">
        <f>IF(COUNTIF($H$2:H778, H778)=1, 1, 0)</f>
        <v>0</v>
      </c>
      <c r="S778" t="str">
        <f>VLOOKUP(Продажи[[#This Row],[id клиента]],клиенты!$A$2:$D$435,4,0)</f>
        <v>да</v>
      </c>
      <c r="T778" s="54">
        <f>VLOOKUP(Продажи[[#This Row],[id клиента]],клиенты!$A$2:$I$435,9,0)</f>
        <v>19.515400410677618</v>
      </c>
    </row>
    <row r="779" spans="1:20" x14ac:dyDescent="0.25">
      <c r="A779">
        <v>778</v>
      </c>
      <c r="B779">
        <v>468</v>
      </c>
      <c r="C779">
        <v>182</v>
      </c>
      <c r="D779">
        <v>5</v>
      </c>
      <c r="E779" s="35">
        <v>4550</v>
      </c>
      <c r="F779" s="48">
        <v>45005</v>
      </c>
      <c r="G779" t="s">
        <v>24</v>
      </c>
      <c r="H779">
        <v>445</v>
      </c>
      <c r="I779" t="str">
        <f>VLOOKUP(Продажи[[#This Row],[id товара]],Товары[],2,0)</f>
        <v>Йогурт</v>
      </c>
      <c r="J779" s="17">
        <f>AVERAGEIF(Продажи[Категория],Продажи[[#This Row],[Категория]],Продажи[цена за шт в рублях])</f>
        <v>263.25423728813558</v>
      </c>
      <c r="K779" s="16">
        <f>Продажи[[#This Row],[цена за шт в рублях]]/Продажи[[#This Row],[Средняя цена в категории за шт]]-1</f>
        <v>-0.30865310327066697</v>
      </c>
      <c r="L779" t="str">
        <f>VLOOKUP(Продажи[[#This Row],[id товара]],Товары[],3,0)</f>
        <v>Чудо</v>
      </c>
      <c r="M779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779" s="16">
        <f>Продажи[[#This Row],[цена за шт в рублях]]/Продажи[[#This Row],[Средняя цена в категории за шт по поставщику]]-1</f>
        <v>-0.3660745384883316</v>
      </c>
      <c r="O779" s="48">
        <f>VLOOKUP(Продажи[[#This Row],[id клиента]],клиенты!$A$2:$E$435,5,0)</f>
        <v>44676</v>
      </c>
      <c r="P779">
        <f>Продажи[[#This Row],[дата создания чека]]-Продажи[[#This Row],[Дата регистрации]]</f>
        <v>329</v>
      </c>
      <c r="Q779" t="str">
        <f>VLOOKUP(Продажи[[#This Row],[id клиента]],клиенты!$A$2:$G$435,7,0)</f>
        <v>Россия</v>
      </c>
      <c r="R779">
        <f>IF(COUNTIF($H$2:H779, H779)=1, 1, 0)</f>
        <v>1</v>
      </c>
      <c r="S779" t="str">
        <f>VLOOKUP(Продажи[[#This Row],[id клиента]],клиенты!$A$2:$D$435,4,0)</f>
        <v>нет</v>
      </c>
      <c r="T779" s="54">
        <f>VLOOKUP(Продажи[[#This Row],[id клиента]],клиенты!$A$2:$I$435,9,0)</f>
        <v>17.675564681724847</v>
      </c>
    </row>
    <row r="780" spans="1:20" x14ac:dyDescent="0.25">
      <c r="A780">
        <v>779</v>
      </c>
      <c r="B780">
        <v>497</v>
      </c>
      <c r="C780">
        <v>275</v>
      </c>
      <c r="D780">
        <v>4</v>
      </c>
      <c r="E780" s="35">
        <v>5500</v>
      </c>
      <c r="F780" s="48">
        <v>45236</v>
      </c>
      <c r="G780" t="s">
        <v>11</v>
      </c>
      <c r="H780">
        <v>477</v>
      </c>
      <c r="I780" t="str">
        <f>VLOOKUP(Продажи[[#This Row],[id товара]],Товары[],2,0)</f>
        <v>Конфеты</v>
      </c>
      <c r="J780" s="17">
        <f>AVERAGEIF(Продажи[Категория],Продажи[[#This Row],[Категория]],Продажи[цена за шт в рублях])</f>
        <v>267.85483870967744</v>
      </c>
      <c r="K780" s="16">
        <f>Продажи[[#This Row],[цена за шт в рублях]]/Продажи[[#This Row],[Средняя цена в категории за шт]]-1</f>
        <v>2.667549828385618E-2</v>
      </c>
      <c r="L780" t="str">
        <f>VLOOKUP(Продажи[[#This Row],[id товара]],Товары[],3,0)</f>
        <v>Бабаевский</v>
      </c>
      <c r="M780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780" s="16">
        <f>Продажи[[#This Row],[цена за шт в рублях]]/Продажи[[#This Row],[Средняя цена в категории за шт по поставщику]]-1</f>
        <v>9.8860441024123169E-2</v>
      </c>
      <c r="O780" s="48">
        <f>VLOOKUP(Продажи[[#This Row],[id клиента]],клиенты!$A$2:$E$435,5,0)</f>
        <v>44738</v>
      </c>
      <c r="P780">
        <f>Продажи[[#This Row],[дата создания чека]]-Продажи[[#This Row],[Дата регистрации]]</f>
        <v>498</v>
      </c>
      <c r="Q780" t="str">
        <f>VLOOKUP(Продажи[[#This Row],[id клиента]],клиенты!$A$2:$G$435,7,0)</f>
        <v>Узбекистан</v>
      </c>
      <c r="R780">
        <f>IF(COUNTIF($H$2:H780, H780)=1, 1, 0)</f>
        <v>0</v>
      </c>
      <c r="S780" t="str">
        <f>VLOOKUP(Продажи[[#This Row],[id клиента]],клиенты!$A$2:$D$435,4,0)</f>
        <v>да</v>
      </c>
      <c r="T780" s="54">
        <f>VLOOKUP(Продажи[[#This Row],[id клиента]],клиенты!$A$2:$I$435,9,0)</f>
        <v>20.073921971252567</v>
      </c>
    </row>
    <row r="781" spans="1:20" x14ac:dyDescent="0.25">
      <c r="A781">
        <v>780</v>
      </c>
      <c r="B781">
        <v>372</v>
      </c>
      <c r="C781">
        <v>182</v>
      </c>
      <c r="D781">
        <v>2</v>
      </c>
      <c r="E781" s="35">
        <v>1820</v>
      </c>
      <c r="F781" s="48">
        <v>44991</v>
      </c>
      <c r="G781" t="s">
        <v>22</v>
      </c>
      <c r="H781">
        <v>402</v>
      </c>
      <c r="I781" t="str">
        <f>VLOOKUP(Продажи[[#This Row],[id товара]],Товары[],2,0)</f>
        <v>Кофе</v>
      </c>
      <c r="J781" s="17">
        <f>AVERAGEIF(Продажи[Категория],Продажи[[#This Row],[Категория]],Продажи[цена за шт в рублях])</f>
        <v>249.02380952380952</v>
      </c>
      <c r="K781" s="16">
        <f>Продажи[[#This Row],[цена за шт в рублях]]/Продажи[[#This Row],[Средняя цена в категории за шт]]-1</f>
        <v>-0.26914618988431016</v>
      </c>
      <c r="L781" t="str">
        <f>VLOOKUP(Продажи[[#This Row],[id товара]],Товары[],3,0)</f>
        <v>Черная Карта</v>
      </c>
      <c r="M781" s="32">
        <f>AVERAGEIFS(Продажи[цена за шт в рублях],Продажи[Категория],Продажи[[#This Row],[Категория]],Продажи[Поставщик],Продажи[[#This Row],[Поставщик]])</f>
        <v>222.2</v>
      </c>
      <c r="N781" s="16">
        <f>Продажи[[#This Row],[цена за шт в рублях]]/Продажи[[#This Row],[Средняя цена в категории за шт по поставщику]]-1</f>
        <v>-0.18091809180918084</v>
      </c>
      <c r="O781" s="48">
        <f>VLOOKUP(Продажи[[#This Row],[id клиента]],клиенты!$A$2:$E$435,5,0)</f>
        <v>44742</v>
      </c>
      <c r="P781">
        <f>Продажи[[#This Row],[дата создания чека]]-Продажи[[#This Row],[Дата регистрации]]</f>
        <v>249</v>
      </c>
      <c r="Q781" t="str">
        <f>VLOOKUP(Продажи[[#This Row],[id клиента]],клиенты!$A$2:$G$435,7,0)</f>
        <v>Узбекистан</v>
      </c>
      <c r="R781">
        <f>IF(COUNTIF($H$2:H781, H781)=1, 1, 0)</f>
        <v>0</v>
      </c>
      <c r="S781" t="str">
        <f>VLOOKUP(Продажи[[#This Row],[id клиента]],клиенты!$A$2:$D$435,4,0)</f>
        <v>да</v>
      </c>
      <c r="T781" s="54">
        <f>VLOOKUP(Продажи[[#This Row],[id клиента]],клиенты!$A$2:$I$435,9,0)</f>
        <v>11.564681724845997</v>
      </c>
    </row>
    <row r="782" spans="1:20" x14ac:dyDescent="0.25">
      <c r="A782">
        <v>781</v>
      </c>
      <c r="B782">
        <v>354</v>
      </c>
      <c r="C782">
        <v>203</v>
      </c>
      <c r="D782">
        <v>5</v>
      </c>
      <c r="E782" s="35">
        <v>5075</v>
      </c>
      <c r="F782" s="48">
        <v>45234</v>
      </c>
      <c r="G782" t="s">
        <v>25</v>
      </c>
      <c r="H782">
        <v>265</v>
      </c>
      <c r="I782" t="str">
        <f>VLOOKUP(Продажи[[#This Row],[id товара]],Товары[],2,0)</f>
        <v>Чай</v>
      </c>
      <c r="J782" s="17">
        <f>AVERAGEIF(Продажи[Категория],Продажи[[#This Row],[Категория]],Продажи[цена за шт в рублях])</f>
        <v>271.18181818181819</v>
      </c>
      <c r="K782" s="16">
        <f>Продажи[[#This Row],[цена за шт в рублях]]/Продажи[[#This Row],[Средняя цена в категории за шт]]-1</f>
        <v>-0.25142474019443517</v>
      </c>
      <c r="L782" t="str">
        <f>VLOOKUP(Продажи[[#This Row],[id товара]],Товары[],3,0)</f>
        <v>Lipton</v>
      </c>
      <c r="M782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782" s="16">
        <f>Продажи[[#This Row],[цена за шт в рублях]]/Продажи[[#This Row],[Средняя цена в категории за шт по поставщику]]-1</f>
        <v>-0.21970463281408048</v>
      </c>
      <c r="O782" s="48">
        <f>VLOOKUP(Продажи[[#This Row],[id клиента]],клиенты!$A$2:$E$435,5,0)</f>
        <v>44756</v>
      </c>
      <c r="P782">
        <f>Продажи[[#This Row],[дата создания чека]]-Продажи[[#This Row],[Дата регистрации]]</f>
        <v>478</v>
      </c>
      <c r="Q782" t="str">
        <f>VLOOKUP(Продажи[[#This Row],[id клиента]],клиенты!$A$2:$G$435,7,0)</f>
        <v>Узбекистан</v>
      </c>
      <c r="R782">
        <f>IF(COUNTIF($H$2:H782, H782)=1, 1, 0)</f>
        <v>0</v>
      </c>
      <c r="S782" t="str">
        <f>VLOOKUP(Продажи[[#This Row],[id клиента]],клиенты!$A$2:$D$435,4,0)</f>
        <v>нет</v>
      </c>
      <c r="T782" s="54">
        <f>VLOOKUP(Продажи[[#This Row],[id клиента]],клиенты!$A$2:$I$435,9,0)</f>
        <v>21.913757700205338</v>
      </c>
    </row>
    <row r="783" spans="1:20" x14ac:dyDescent="0.25">
      <c r="A783">
        <v>782</v>
      </c>
      <c r="B783">
        <v>460</v>
      </c>
      <c r="C783">
        <v>103</v>
      </c>
      <c r="D783">
        <v>5</v>
      </c>
      <c r="E783" s="35">
        <v>2575</v>
      </c>
      <c r="F783" s="48">
        <v>45411</v>
      </c>
      <c r="G783" t="s">
        <v>20</v>
      </c>
      <c r="H783">
        <v>124</v>
      </c>
      <c r="I783" t="str">
        <f>VLOOKUP(Продажи[[#This Row],[id товара]],Товары[],2,0)</f>
        <v>Кофе</v>
      </c>
      <c r="J783" s="17">
        <f>AVERAGEIF(Продажи[Категория],Продажи[[#This Row],[Категория]],Продажи[цена за шт в рублях])</f>
        <v>249.02380952380952</v>
      </c>
      <c r="K783" s="16">
        <f>Продажи[[#This Row],[цена за шт в рублях]]/Продажи[[#This Row],[Средняя цена в категории за шт]]-1</f>
        <v>-0.58638493163782379</v>
      </c>
      <c r="L783" t="str">
        <f>VLOOKUP(Продажи[[#This Row],[id товара]],Товары[],3,0)</f>
        <v>Tchibo</v>
      </c>
      <c r="M783" s="32">
        <f>AVERAGEIFS(Продажи[цена за шт в рублях],Продажи[Категория],Продажи[[#This Row],[Категория]],Продажи[Поставщик],Продажи[[#This Row],[Поставщик]])</f>
        <v>140</v>
      </c>
      <c r="N783" s="16">
        <f>Продажи[[#This Row],[цена за шт в рублях]]/Продажи[[#This Row],[Средняя цена в категории за шт по поставщику]]-1</f>
        <v>-0.26428571428571423</v>
      </c>
      <c r="O783" s="48">
        <f>VLOOKUP(Продажи[[#This Row],[id клиента]],клиенты!$A$2:$E$435,5,0)</f>
        <v>44795</v>
      </c>
      <c r="P783">
        <f>Продажи[[#This Row],[дата создания чека]]-Продажи[[#This Row],[Дата регистрации]]</f>
        <v>616</v>
      </c>
      <c r="Q783" t="str">
        <f>VLOOKUP(Продажи[[#This Row],[id клиента]],клиенты!$A$2:$G$435,7,0)</f>
        <v>Россия</v>
      </c>
      <c r="R783">
        <f>IF(COUNTIF($H$2:H783, H783)=1, 1, 0)</f>
        <v>0</v>
      </c>
      <c r="S783" t="str">
        <f>VLOOKUP(Продажи[[#This Row],[id клиента]],клиенты!$A$2:$D$435,4,0)</f>
        <v>да</v>
      </c>
      <c r="T783" s="54">
        <f>VLOOKUP(Продажи[[#This Row],[id клиента]],клиенты!$A$2:$I$435,9,0)</f>
        <v>20.238193018480494</v>
      </c>
    </row>
    <row r="784" spans="1:20" x14ac:dyDescent="0.25">
      <c r="A784">
        <v>783</v>
      </c>
      <c r="B784">
        <v>63</v>
      </c>
      <c r="C784">
        <v>344</v>
      </c>
      <c r="D784">
        <v>2</v>
      </c>
      <c r="E784" s="35">
        <v>3440</v>
      </c>
      <c r="F784" s="48">
        <v>45194</v>
      </c>
      <c r="G784" t="s">
        <v>21</v>
      </c>
      <c r="H784">
        <v>208</v>
      </c>
      <c r="I784" t="str">
        <f>VLOOKUP(Продажи[[#This Row],[id товара]],Товары[],2,0)</f>
        <v>Рыба</v>
      </c>
      <c r="J784" s="17">
        <f>AVERAGEIF(Продажи[Категория],Продажи[[#This Row],[Категория]],Продажи[цена за шт в рублях])</f>
        <v>258.5128205128205</v>
      </c>
      <c r="K784" s="16">
        <f>Продажи[[#This Row],[цена за шт в рублях]]/Продажи[[#This Row],[Средняя цена в категории за шт]]-1</f>
        <v>0.33068835548502284</v>
      </c>
      <c r="L784" t="str">
        <f>VLOOKUP(Продажи[[#This Row],[id товара]],Товары[],3,0)</f>
        <v>Балтийский берег</v>
      </c>
      <c r="M784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784" s="16">
        <f>Продажи[[#This Row],[цена за шт в рублях]]/Продажи[[#This Row],[Средняя цена в категории за шт по поставщику]]-1</f>
        <v>0.18666155615178215</v>
      </c>
      <c r="O784" s="48">
        <f>VLOOKUP(Продажи[[#This Row],[id клиента]],клиенты!$A$2:$E$435,5,0)</f>
        <v>44736</v>
      </c>
      <c r="P784">
        <f>Продажи[[#This Row],[дата создания чека]]-Продажи[[#This Row],[Дата регистрации]]</f>
        <v>458</v>
      </c>
      <c r="Q784" t="str">
        <f>VLOOKUP(Продажи[[#This Row],[id клиента]],клиенты!$A$2:$G$435,7,0)</f>
        <v>Украина</v>
      </c>
      <c r="R784">
        <f>IF(COUNTIF($H$2:H784, H784)=1, 1, 0)</f>
        <v>1</v>
      </c>
      <c r="S784" t="str">
        <f>VLOOKUP(Продажи[[#This Row],[id клиента]],клиенты!$A$2:$D$435,4,0)</f>
        <v>нет</v>
      </c>
      <c r="T784" s="54">
        <f>VLOOKUP(Продажи[[#This Row],[id клиента]],клиенты!$A$2:$I$435,9,0)</f>
        <v>15.047227926078028</v>
      </c>
    </row>
    <row r="785" spans="1:20" x14ac:dyDescent="0.25">
      <c r="A785">
        <v>784</v>
      </c>
      <c r="B785">
        <v>467</v>
      </c>
      <c r="C785">
        <v>436</v>
      </c>
      <c r="D785">
        <v>3</v>
      </c>
      <c r="E785" s="35">
        <v>6540</v>
      </c>
      <c r="F785" s="48">
        <v>45289</v>
      </c>
      <c r="G785" t="s">
        <v>13</v>
      </c>
      <c r="H785">
        <v>343</v>
      </c>
      <c r="I785" t="str">
        <f>VLOOKUP(Продажи[[#This Row],[id товара]],Товары[],2,0)</f>
        <v>Макароны</v>
      </c>
      <c r="J785" s="17">
        <f>AVERAGEIF(Продажи[Категория],Продажи[[#This Row],[Категория]],Продажи[цена за шт в рублях])</f>
        <v>265.47674418604652</v>
      </c>
      <c r="K785" s="16">
        <f>Продажи[[#This Row],[цена за шт в рублях]]/Продажи[[#This Row],[Средняя цена в категории за шт]]-1</f>
        <v>0.64232841312250888</v>
      </c>
      <c r="L785" t="str">
        <f>VLOOKUP(Продажи[[#This Row],[id товара]],Товары[],3,0)</f>
        <v>Борилла</v>
      </c>
      <c r="M785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785" s="16">
        <f>Продажи[[#This Row],[цена за шт в рублях]]/Продажи[[#This Row],[Средняя цена в категории за шт по поставщику]]-1</f>
        <v>0.84530064214827783</v>
      </c>
      <c r="O785" s="48">
        <f>VLOOKUP(Продажи[[#This Row],[id клиента]],клиенты!$A$2:$E$435,5,0)</f>
        <v>44874</v>
      </c>
      <c r="P785">
        <f>Продажи[[#This Row],[дата создания чека]]-Продажи[[#This Row],[Дата регистрации]]</f>
        <v>415</v>
      </c>
      <c r="Q785" t="str">
        <f>VLOOKUP(Продажи[[#This Row],[id клиента]],клиенты!$A$2:$G$435,7,0)</f>
        <v>Украина</v>
      </c>
      <c r="R785">
        <f>IF(COUNTIF($H$2:H785, H785)=1, 1, 0)</f>
        <v>1</v>
      </c>
      <c r="S785" t="str">
        <f>VLOOKUP(Продажи[[#This Row],[id клиента]],клиенты!$A$2:$D$435,4,0)</f>
        <v>нет</v>
      </c>
      <c r="T785" s="54">
        <f>VLOOKUP(Продажи[[#This Row],[id клиента]],клиенты!$A$2:$I$435,9,0)</f>
        <v>13.634496919917865</v>
      </c>
    </row>
    <row r="786" spans="1:20" x14ac:dyDescent="0.25">
      <c r="A786">
        <v>785</v>
      </c>
      <c r="B786">
        <v>184</v>
      </c>
      <c r="C786">
        <v>79</v>
      </c>
      <c r="D786">
        <v>4</v>
      </c>
      <c r="E786" s="35">
        <v>1580</v>
      </c>
      <c r="F786" s="48">
        <v>45407</v>
      </c>
      <c r="G786" t="s">
        <v>9</v>
      </c>
      <c r="H786">
        <v>394</v>
      </c>
      <c r="I786" t="str">
        <f>VLOOKUP(Продажи[[#This Row],[id товара]],Товары[],2,0)</f>
        <v>Конфеты</v>
      </c>
      <c r="J786" s="17">
        <f>AVERAGEIF(Продажи[Категория],Продажи[[#This Row],[Категория]],Продажи[цена за шт в рублях])</f>
        <v>267.85483870967744</v>
      </c>
      <c r="K786" s="16">
        <f>Продажи[[#This Row],[цена за шт в рублях]]/Продажи[[#This Row],[Средняя цена в категории за шт]]-1</f>
        <v>-0.7050641295839104</v>
      </c>
      <c r="L786" t="str">
        <f>VLOOKUP(Продажи[[#This Row],[id товара]],Товары[],3,0)</f>
        <v>Славянка</v>
      </c>
      <c r="M786" s="32">
        <f>AVERAGEIFS(Продажи[цена за шт в рублях],Продажи[Категория],Продажи[[#This Row],[Категория]],Продажи[Поставщик],Продажи[[#This Row],[Поставщик]])</f>
        <v>268</v>
      </c>
      <c r="N786" s="16">
        <f>Продажи[[#This Row],[цена за шт в рублях]]/Продажи[[#This Row],[Средняя цена в категории за шт по поставщику]]-1</f>
        <v>-0.70522388059701491</v>
      </c>
      <c r="O786" s="48">
        <f>VLOOKUP(Продажи[[#This Row],[id клиента]],клиенты!$A$2:$E$435,5,0)</f>
        <v>44708</v>
      </c>
      <c r="P786">
        <f>Продажи[[#This Row],[дата создания чека]]-Продажи[[#This Row],[Дата регистрации]]</f>
        <v>699</v>
      </c>
      <c r="Q786" t="str">
        <f>VLOOKUP(Продажи[[#This Row],[id клиента]],клиенты!$A$2:$G$435,7,0)</f>
        <v>Россия</v>
      </c>
      <c r="R786">
        <f>IF(COUNTIF($H$2:H786, H786)=1, 1, 0)</f>
        <v>0</v>
      </c>
      <c r="S786" t="str">
        <f>VLOOKUP(Продажи[[#This Row],[id клиента]],клиенты!$A$2:$D$435,4,0)</f>
        <v>да</v>
      </c>
      <c r="T786" s="54">
        <f>VLOOKUP(Продажи[[#This Row],[id клиента]],клиенты!$A$2:$I$435,9,0)</f>
        <v>22.965092402464066</v>
      </c>
    </row>
    <row r="787" spans="1:20" x14ac:dyDescent="0.25">
      <c r="A787">
        <v>786</v>
      </c>
      <c r="B787">
        <v>265</v>
      </c>
      <c r="C787">
        <v>339</v>
      </c>
      <c r="D787">
        <v>3</v>
      </c>
      <c r="E787" s="35">
        <v>5085</v>
      </c>
      <c r="F787" s="48">
        <v>44944</v>
      </c>
      <c r="G787" t="s">
        <v>9</v>
      </c>
      <c r="H787">
        <v>242</v>
      </c>
      <c r="I787" t="str">
        <f>VLOOKUP(Продажи[[#This Row],[id товара]],Товары[],2,0)</f>
        <v>Мясо</v>
      </c>
      <c r="J787" s="17">
        <f>AVERAGEIF(Продажи[Категория],Продажи[[#This Row],[Категория]],Продажи[цена за шт в рублях])</f>
        <v>271.74545454545455</v>
      </c>
      <c r="K787" s="16">
        <f>Продажи[[#This Row],[цена за шт в рублях]]/Продажи[[#This Row],[Средняя цена в категории за шт]]-1</f>
        <v>0.24749096748293864</v>
      </c>
      <c r="L787" t="str">
        <f>VLOOKUP(Продажи[[#This Row],[id товара]],Товары[],3,0)</f>
        <v>Мираторг</v>
      </c>
      <c r="M787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787" s="16">
        <f>Продажи[[#This Row],[цена за шт в рублях]]/Продажи[[#This Row],[Средняя цена в категории за шт по поставщику]]-1</f>
        <v>7.0808107396683306E-2</v>
      </c>
      <c r="O787" s="48">
        <f>VLOOKUP(Продажи[[#This Row],[id клиента]],клиенты!$A$2:$E$435,5,0)</f>
        <v>44747</v>
      </c>
      <c r="P787">
        <f>Продажи[[#This Row],[дата создания чека]]-Продажи[[#This Row],[Дата регистрации]]</f>
        <v>197</v>
      </c>
      <c r="Q787" t="str">
        <f>VLOOKUP(Продажи[[#This Row],[id клиента]],клиенты!$A$2:$G$435,7,0)</f>
        <v>Россия</v>
      </c>
      <c r="R787">
        <f>IF(COUNTIF($H$2:H787, H787)=1, 1, 0)</f>
        <v>0</v>
      </c>
      <c r="S787" t="str">
        <f>VLOOKUP(Продажи[[#This Row],[id клиента]],клиенты!$A$2:$D$435,4,0)</f>
        <v>нет</v>
      </c>
      <c r="T787" s="54">
        <f>VLOOKUP(Продажи[[#This Row],[id клиента]],клиенты!$A$2:$I$435,9,0)</f>
        <v>18.234086242299796</v>
      </c>
    </row>
    <row r="788" spans="1:20" x14ac:dyDescent="0.25">
      <c r="A788">
        <v>787</v>
      </c>
      <c r="B788">
        <v>130</v>
      </c>
      <c r="C788">
        <v>319</v>
      </c>
      <c r="D788">
        <v>3</v>
      </c>
      <c r="E788" s="35">
        <v>4785</v>
      </c>
      <c r="F788" s="48">
        <v>45145</v>
      </c>
      <c r="G788" t="s">
        <v>27</v>
      </c>
      <c r="H788">
        <v>56</v>
      </c>
      <c r="I788" t="str">
        <f>VLOOKUP(Продажи[[#This Row],[id товара]],Товары[],2,0)</f>
        <v>Соль</v>
      </c>
      <c r="J788" s="17">
        <f>AVERAGEIF(Продажи[Категория],Продажи[[#This Row],[Категория]],Продажи[цена за шт в рублях])</f>
        <v>264.8679245283019</v>
      </c>
      <c r="K788" s="16">
        <f>Продажи[[#This Row],[цена за шт в рублях]]/Продажи[[#This Row],[Средняя цена в категории за шт]]-1</f>
        <v>0.20437384242769618</v>
      </c>
      <c r="L788" t="str">
        <f>VLOOKUP(Продажи[[#This Row],[id товара]],Товары[],3,0)</f>
        <v>Илецкая</v>
      </c>
      <c r="M788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788" s="16">
        <f>Продажи[[#This Row],[цена за шт в рублях]]/Продажи[[#This Row],[Средняя цена в категории за шт по поставщику]]-1</f>
        <v>0.33939818054583637</v>
      </c>
      <c r="O788" s="48">
        <f>VLOOKUP(Продажи[[#This Row],[id клиента]],клиенты!$A$2:$E$435,5,0)</f>
        <v>44662</v>
      </c>
      <c r="P788">
        <f>Продажи[[#This Row],[дата создания чека]]-Продажи[[#This Row],[Дата регистрации]]</f>
        <v>483</v>
      </c>
      <c r="Q788" t="str">
        <f>VLOOKUP(Продажи[[#This Row],[id клиента]],клиенты!$A$2:$G$435,7,0)</f>
        <v>Таджикистан</v>
      </c>
      <c r="R788">
        <f>IF(COUNTIF($H$2:H788, H788)=1, 1, 0)</f>
        <v>0</v>
      </c>
      <c r="S788" t="str">
        <f>VLOOKUP(Продажи[[#This Row],[id клиента]],клиенты!$A$2:$D$435,4,0)</f>
        <v>нет</v>
      </c>
      <c r="T788" s="54">
        <f>VLOOKUP(Продажи[[#This Row],[id клиента]],клиенты!$A$2:$I$435,9,0)</f>
        <v>23.753593429158112</v>
      </c>
    </row>
    <row r="789" spans="1:20" x14ac:dyDescent="0.25">
      <c r="A789">
        <v>788</v>
      </c>
      <c r="B789">
        <v>443</v>
      </c>
      <c r="C789">
        <v>348</v>
      </c>
      <c r="D789">
        <v>3</v>
      </c>
      <c r="E789" s="35">
        <v>5220</v>
      </c>
      <c r="F789" s="48">
        <v>44930</v>
      </c>
      <c r="G789" t="s">
        <v>24</v>
      </c>
      <c r="H789">
        <v>324</v>
      </c>
      <c r="I789" t="str">
        <f>VLOOKUP(Продажи[[#This Row],[id товара]],Товары[],2,0)</f>
        <v>Кофе</v>
      </c>
      <c r="J789" s="17">
        <f>AVERAGEIF(Продажи[Категория],Продажи[[#This Row],[Категория]],Продажи[цена за шт в рублях])</f>
        <v>249.02380952380952</v>
      </c>
      <c r="K789" s="16">
        <f>Продажи[[#This Row],[цена за шт в рублях]]/Продажи[[#This Row],[Средняя цена в категории за шт]]-1</f>
        <v>0.3974567358256047</v>
      </c>
      <c r="L789" t="str">
        <f>VLOOKUP(Продажи[[#This Row],[id товара]],Товары[],3,0)</f>
        <v>Jacobs</v>
      </c>
      <c r="M789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789" s="16">
        <f>Продажи[[#This Row],[цена за шт в рублях]]/Продажи[[#This Row],[Средняя цена в категории за шт по поставщику]]-1</f>
        <v>0.25990853658536572</v>
      </c>
      <c r="O789" s="48">
        <f>VLOOKUP(Продажи[[#This Row],[id клиента]],клиенты!$A$2:$E$435,5,0)</f>
        <v>44761</v>
      </c>
      <c r="P789">
        <f>Продажи[[#This Row],[дата создания чека]]-Продажи[[#This Row],[Дата регистрации]]</f>
        <v>169</v>
      </c>
      <c r="Q789" t="str">
        <f>VLOOKUP(Продажи[[#This Row],[id клиента]],клиенты!$A$2:$G$435,7,0)</f>
        <v>Узбекистан</v>
      </c>
      <c r="R789">
        <f>IF(COUNTIF($H$2:H789, H789)=1, 1, 0)</f>
        <v>0</v>
      </c>
      <c r="S789" t="str">
        <f>VLOOKUP(Продажи[[#This Row],[id клиента]],клиенты!$A$2:$D$435,4,0)</f>
        <v>нет</v>
      </c>
      <c r="T789" s="54">
        <f>VLOOKUP(Продажи[[#This Row],[id клиента]],клиенты!$A$2:$I$435,9,0)</f>
        <v>21.15811088295688</v>
      </c>
    </row>
    <row r="790" spans="1:20" x14ac:dyDescent="0.25">
      <c r="A790">
        <v>789</v>
      </c>
      <c r="B790">
        <v>408</v>
      </c>
      <c r="C790">
        <v>60</v>
      </c>
      <c r="D790">
        <v>4</v>
      </c>
      <c r="E790" s="35">
        <v>1200</v>
      </c>
      <c r="F790" s="48">
        <v>45299</v>
      </c>
      <c r="G790" t="s">
        <v>15</v>
      </c>
      <c r="H790">
        <v>486</v>
      </c>
      <c r="I790" t="str">
        <f>VLOOKUP(Продажи[[#This Row],[id товара]],Товары[],2,0)</f>
        <v>Йогурт</v>
      </c>
      <c r="J790" s="17">
        <f>AVERAGEIF(Продажи[Категория],Продажи[[#This Row],[Категория]],Продажи[цена за шт в рублях])</f>
        <v>263.25423728813558</v>
      </c>
      <c r="K790" s="16">
        <f>Продажи[[#This Row],[цена за шт в рублях]]/Продажи[[#This Row],[Средняя цена в категории за шт]]-1</f>
        <v>-0.7720834406386814</v>
      </c>
      <c r="L790" t="str">
        <f>VLOOKUP(Продажи[[#This Row],[id товара]],Товары[],3,0)</f>
        <v>Эрманн</v>
      </c>
      <c r="M790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790" s="16">
        <f>Продажи[[#This Row],[цена за шт в рублях]]/Продажи[[#This Row],[Средняя цена в категории за шт по поставщику]]-1</f>
        <v>-0.75855130784708247</v>
      </c>
      <c r="O790" s="48">
        <f>VLOOKUP(Продажи[[#This Row],[id клиента]],клиенты!$A$2:$E$435,5,0)</f>
        <v>44723</v>
      </c>
      <c r="P790">
        <f>Продажи[[#This Row],[дата создания чека]]-Продажи[[#This Row],[Дата регистрации]]</f>
        <v>576</v>
      </c>
      <c r="Q790" t="str">
        <f>VLOOKUP(Продажи[[#This Row],[id клиента]],клиенты!$A$2:$G$435,7,0)</f>
        <v>Россия</v>
      </c>
      <c r="R790">
        <f>IF(COUNTIF($H$2:H790, H790)=1, 1, 0)</f>
        <v>1</v>
      </c>
      <c r="S790" t="str">
        <f>VLOOKUP(Продажи[[#This Row],[id клиента]],клиенты!$A$2:$D$435,4,0)</f>
        <v>да</v>
      </c>
      <c r="T790" s="54">
        <f>VLOOKUP(Продажи[[#This Row],[id клиента]],клиенты!$A$2:$I$435,9,0)</f>
        <v>18.924024640657084</v>
      </c>
    </row>
    <row r="791" spans="1:20" x14ac:dyDescent="0.25">
      <c r="A791">
        <v>790</v>
      </c>
      <c r="B791">
        <v>249</v>
      </c>
      <c r="C791">
        <v>125</v>
      </c>
      <c r="D791">
        <v>5</v>
      </c>
      <c r="E791" s="35">
        <v>3125</v>
      </c>
      <c r="F791" s="48">
        <v>45322</v>
      </c>
      <c r="G791" t="s">
        <v>11</v>
      </c>
      <c r="H791">
        <v>71</v>
      </c>
      <c r="I791" t="str">
        <f>VLOOKUP(Продажи[[#This Row],[id товара]],Товары[],2,0)</f>
        <v>Чай</v>
      </c>
      <c r="J791" s="17">
        <f>AVERAGEIF(Продажи[Категория],Продажи[[#This Row],[Категория]],Продажи[цена за шт в рублях])</f>
        <v>271.18181818181819</v>
      </c>
      <c r="K791" s="16">
        <f>Продажи[[#This Row],[цена за шт в рублях]]/Продажи[[#This Row],[Средняя цена в категории за шт]]-1</f>
        <v>-0.539054642976869</v>
      </c>
      <c r="L791" t="str">
        <f>VLOOKUP(Продажи[[#This Row],[id товара]],Товары[],3,0)</f>
        <v>Lipton</v>
      </c>
      <c r="M791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791" s="16">
        <f>Продажи[[#This Row],[цена за шт в рублях]]/Продажи[[#This Row],[Средняя цена в категории за шт по поставщику]]-1</f>
        <v>-0.5195225571515274</v>
      </c>
      <c r="O791" s="48">
        <f>VLOOKUP(Продажи[[#This Row],[id клиента]],клиенты!$A$2:$E$435,5,0)</f>
        <v>44762</v>
      </c>
      <c r="P791">
        <f>Продажи[[#This Row],[дата создания чека]]-Продажи[[#This Row],[Дата регистрации]]</f>
        <v>560</v>
      </c>
      <c r="Q791" t="str">
        <f>VLOOKUP(Продажи[[#This Row],[id клиента]],клиенты!$A$2:$G$435,7,0)</f>
        <v>Украина</v>
      </c>
      <c r="R791">
        <f>IF(COUNTIF($H$2:H791, H791)=1, 1, 0)</f>
        <v>0</v>
      </c>
      <c r="S791" t="str">
        <f>VLOOKUP(Продажи[[#This Row],[id клиента]],клиенты!$A$2:$D$435,4,0)</f>
        <v>да</v>
      </c>
      <c r="T791" s="54">
        <f>VLOOKUP(Продажи[[#This Row],[id клиента]],клиенты!$A$2:$I$435,9,0)</f>
        <v>22.04517453798768</v>
      </c>
    </row>
    <row r="792" spans="1:20" x14ac:dyDescent="0.25">
      <c r="A792">
        <v>791</v>
      </c>
      <c r="B792">
        <v>241</v>
      </c>
      <c r="C792">
        <v>490</v>
      </c>
      <c r="D792">
        <v>1</v>
      </c>
      <c r="E792" s="35">
        <v>2450</v>
      </c>
      <c r="F792" s="48">
        <v>45271</v>
      </c>
      <c r="G792" t="s">
        <v>15</v>
      </c>
      <c r="H792">
        <v>299</v>
      </c>
      <c r="I792" t="str">
        <f>VLOOKUP(Продажи[[#This Row],[id товара]],Товары[],2,0)</f>
        <v>Колбаса</v>
      </c>
      <c r="J792" s="17">
        <f>AVERAGEIF(Продажи[Категория],Продажи[[#This Row],[Категория]],Продажи[цена за шт в рублях])</f>
        <v>286.92307692307691</v>
      </c>
      <c r="K792" s="16">
        <f>Продажи[[#This Row],[цена за шт в рублях]]/Продажи[[#This Row],[Средняя цена в категории за шт]]-1</f>
        <v>0.70777479892761397</v>
      </c>
      <c r="L792" t="str">
        <f>VLOOKUP(Продажи[[#This Row],[id товара]],Товары[],3,0)</f>
        <v>Окраина</v>
      </c>
      <c r="M792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792" s="16">
        <f>Продажи[[#This Row],[цена за шт в рублях]]/Продажи[[#This Row],[Средняя цена в категории за шт по поставщику]]-1</f>
        <v>0.79104477611940305</v>
      </c>
      <c r="O792" s="48">
        <f>VLOOKUP(Продажи[[#This Row],[id клиента]],клиенты!$A$2:$E$435,5,0)</f>
        <v>44666</v>
      </c>
      <c r="P792">
        <f>Продажи[[#This Row],[дата создания чека]]-Продажи[[#This Row],[Дата регистрации]]</f>
        <v>605</v>
      </c>
      <c r="Q792" t="str">
        <f>VLOOKUP(Продажи[[#This Row],[id клиента]],клиенты!$A$2:$G$435,7,0)</f>
        <v>Украина</v>
      </c>
      <c r="R792">
        <f>IF(COUNTIF($H$2:H792, H792)=1, 1, 0)</f>
        <v>1</v>
      </c>
      <c r="S792" t="str">
        <f>VLOOKUP(Продажи[[#This Row],[id клиента]],клиенты!$A$2:$D$435,4,0)</f>
        <v>нет</v>
      </c>
      <c r="T792" s="54">
        <f>VLOOKUP(Продажи[[#This Row],[id клиента]],клиенты!$A$2:$I$435,9,0)</f>
        <v>23.260780287474333</v>
      </c>
    </row>
    <row r="793" spans="1:20" x14ac:dyDescent="0.25">
      <c r="A793">
        <v>792</v>
      </c>
      <c r="B793">
        <v>202</v>
      </c>
      <c r="C793">
        <v>298</v>
      </c>
      <c r="D793">
        <v>4</v>
      </c>
      <c r="E793" s="35">
        <v>5960</v>
      </c>
      <c r="F793" s="48">
        <v>44979</v>
      </c>
      <c r="G793" t="s">
        <v>24</v>
      </c>
      <c r="H793">
        <v>265</v>
      </c>
      <c r="I793" t="str">
        <f>VLOOKUP(Продажи[[#This Row],[id товара]],Товары[],2,0)</f>
        <v>Овощи</v>
      </c>
      <c r="J793" s="17">
        <f>AVERAGEIF(Продажи[Категория],Продажи[[#This Row],[Категория]],Продажи[цена за шт в рублях])</f>
        <v>250.48780487804879</v>
      </c>
      <c r="K793" s="16">
        <f>Продажи[[#This Row],[цена за шт в рублях]]/Продажи[[#This Row],[Средняя цена в категории за шт]]-1</f>
        <v>0.18967867575462516</v>
      </c>
      <c r="L793" t="str">
        <f>VLOOKUP(Продажи[[#This Row],[id товара]],Товары[],3,0)</f>
        <v>Овощной ряд</v>
      </c>
      <c r="M793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793" s="16">
        <f>Продажи[[#This Row],[цена за шт в рублях]]/Продажи[[#This Row],[Средняя цена в категории за шт по поставщику]]-1</f>
        <v>-1.9167473378509214E-2</v>
      </c>
      <c r="O793" s="48">
        <f>VLOOKUP(Продажи[[#This Row],[id клиента]],клиенты!$A$2:$E$435,5,0)</f>
        <v>44756</v>
      </c>
      <c r="P793">
        <f>Продажи[[#This Row],[дата создания чека]]-Продажи[[#This Row],[Дата регистрации]]</f>
        <v>223</v>
      </c>
      <c r="Q793" t="str">
        <f>VLOOKUP(Продажи[[#This Row],[id клиента]],клиенты!$A$2:$G$435,7,0)</f>
        <v>Узбекистан</v>
      </c>
      <c r="R793">
        <f>IF(COUNTIF($H$2:H793, H793)=1, 1, 0)</f>
        <v>0</v>
      </c>
      <c r="S793" t="str">
        <f>VLOOKUP(Продажи[[#This Row],[id клиента]],клиенты!$A$2:$D$435,4,0)</f>
        <v>нет</v>
      </c>
      <c r="T793" s="54">
        <f>VLOOKUP(Продажи[[#This Row],[id клиента]],клиенты!$A$2:$I$435,9,0)</f>
        <v>21.913757700205338</v>
      </c>
    </row>
    <row r="794" spans="1:20" x14ac:dyDescent="0.25">
      <c r="A794">
        <v>793</v>
      </c>
      <c r="B794">
        <v>376</v>
      </c>
      <c r="C794">
        <v>441</v>
      </c>
      <c r="D794">
        <v>2</v>
      </c>
      <c r="E794" s="35">
        <v>4410</v>
      </c>
      <c r="F794" s="48">
        <v>45364</v>
      </c>
      <c r="G794" t="s">
        <v>25</v>
      </c>
      <c r="H794">
        <v>272</v>
      </c>
      <c r="I794" t="str">
        <f>VLOOKUP(Продажи[[#This Row],[id товара]],Товары[],2,0)</f>
        <v>Конфеты</v>
      </c>
      <c r="J794" s="17">
        <f>AVERAGEIF(Продажи[Категория],Продажи[[#This Row],[Категория]],Продажи[цена за шт в рублях])</f>
        <v>267.85483870967744</v>
      </c>
      <c r="K794" s="16">
        <f>Продажи[[#This Row],[цена за шт в рублях]]/Продажи[[#This Row],[Средняя цена в категории за шт]]-1</f>
        <v>0.64641416270247465</v>
      </c>
      <c r="L794" t="str">
        <f>VLOOKUP(Продажи[[#This Row],[id товара]],Товары[],3,0)</f>
        <v>Красный Октябрь</v>
      </c>
      <c r="M794" s="32">
        <f>AVERAGEIFS(Продажи[цена за шт в рублях],Продажи[Категория],Продажи[[#This Row],[Категория]],Продажи[Поставщик],Продажи[[#This Row],[Поставщик]])</f>
        <v>273.625</v>
      </c>
      <c r="N794" s="16">
        <f>Продажи[[#This Row],[цена за шт в рублях]]/Продажи[[#This Row],[Средняя цена в категории за шт по поставщику]]-1</f>
        <v>0.61169483782549117</v>
      </c>
      <c r="O794" s="48">
        <f>VLOOKUP(Продажи[[#This Row],[id клиента]],клиенты!$A$2:$E$435,5,0)</f>
        <v>44668</v>
      </c>
      <c r="P794">
        <f>Продажи[[#This Row],[дата создания чека]]-Продажи[[#This Row],[Дата регистрации]]</f>
        <v>696</v>
      </c>
      <c r="Q794" t="str">
        <f>VLOOKUP(Продажи[[#This Row],[id клиента]],клиенты!$A$2:$G$435,7,0)</f>
        <v>Таджикистан</v>
      </c>
      <c r="R794">
        <f>IF(COUNTIF($H$2:H794, H794)=1, 1, 0)</f>
        <v>0</v>
      </c>
      <c r="S794" t="str">
        <f>VLOOKUP(Продажи[[#This Row],[id клиента]],клиенты!$A$2:$D$435,4,0)</f>
        <v>нет</v>
      </c>
      <c r="T794" s="54">
        <f>VLOOKUP(Продажи[[#This Row],[id клиента]],клиенты!$A$2:$I$435,9,0)</f>
        <v>24.312114989733061</v>
      </c>
    </row>
    <row r="795" spans="1:20" x14ac:dyDescent="0.25">
      <c r="A795">
        <v>794</v>
      </c>
      <c r="B795">
        <v>371</v>
      </c>
      <c r="C795">
        <v>126</v>
      </c>
      <c r="D795">
        <v>5</v>
      </c>
      <c r="E795" s="35">
        <v>3150</v>
      </c>
      <c r="F795" s="48">
        <v>45230</v>
      </c>
      <c r="G795" t="s">
        <v>13</v>
      </c>
      <c r="H795">
        <v>371</v>
      </c>
      <c r="I795" t="str">
        <f>VLOOKUP(Продажи[[#This Row],[id товара]],Товары[],2,0)</f>
        <v>Сахар</v>
      </c>
      <c r="J795" s="17">
        <f>AVERAGEIF(Продажи[Категория],Продажи[[#This Row],[Категория]],Продажи[цена за шт в рублях])</f>
        <v>252.76271186440678</v>
      </c>
      <c r="K795" s="16">
        <f>Продажи[[#This Row],[цена за шт в рублях]]/Продажи[[#This Row],[Средняя цена в категории за шт]]-1</f>
        <v>-0.5015087507543754</v>
      </c>
      <c r="L795" t="str">
        <f>VLOOKUP(Продажи[[#This Row],[id товара]],Товары[],3,0)</f>
        <v>Русский сахар</v>
      </c>
      <c r="M795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795" s="16">
        <f>Продажи[[#This Row],[цена за шт в рублях]]/Продажи[[#This Row],[Средняя цена в категории за шт по поставщику]]-1</f>
        <v>-0.57056936647955103</v>
      </c>
      <c r="O795" s="48">
        <f>VLOOKUP(Продажи[[#This Row],[id клиента]],клиенты!$A$2:$E$435,5,0)</f>
        <v>44844</v>
      </c>
      <c r="P795">
        <f>Продажи[[#This Row],[дата создания чека]]-Продажи[[#This Row],[Дата регистрации]]</f>
        <v>386</v>
      </c>
      <c r="Q795" t="str">
        <f>VLOOKUP(Продажи[[#This Row],[id клиента]],клиенты!$A$2:$G$435,7,0)</f>
        <v>Украина</v>
      </c>
      <c r="R795">
        <f>IF(COUNTIF($H$2:H795, H795)=1, 1, 0)</f>
        <v>0</v>
      </c>
      <c r="S795" t="str">
        <f>VLOOKUP(Продажи[[#This Row],[id клиента]],клиенты!$A$2:$D$435,4,0)</f>
        <v>нет</v>
      </c>
      <c r="T795" s="54">
        <f>VLOOKUP(Продажи[[#This Row],[id клиента]],клиенты!$A$2:$I$435,9,0)</f>
        <v>13.897330595482547</v>
      </c>
    </row>
    <row r="796" spans="1:20" x14ac:dyDescent="0.25">
      <c r="A796">
        <v>795</v>
      </c>
      <c r="B796">
        <v>308</v>
      </c>
      <c r="C796">
        <v>416</v>
      </c>
      <c r="D796">
        <v>4</v>
      </c>
      <c r="E796" s="35">
        <v>8320</v>
      </c>
      <c r="F796" s="48">
        <v>45217</v>
      </c>
      <c r="G796" t="s">
        <v>14</v>
      </c>
      <c r="H796">
        <v>360</v>
      </c>
      <c r="I796" t="str">
        <f>VLOOKUP(Продажи[[#This Row],[id товара]],Товары[],2,0)</f>
        <v>Конфеты</v>
      </c>
      <c r="J796" s="17">
        <f>AVERAGEIF(Продажи[Категория],Продажи[[#This Row],[Категория]],Продажи[цена за шт в рублях])</f>
        <v>267.85483870967744</v>
      </c>
      <c r="K796" s="16">
        <f>Продажи[[#This Row],[цена за шт в рублях]]/Продажи[[#This Row],[Средняя цена в категории за шт]]-1</f>
        <v>0.55308002649485144</v>
      </c>
      <c r="L796" t="str">
        <f>VLOOKUP(Продажи[[#This Row],[id товара]],Товары[],3,0)</f>
        <v>Бабаевский</v>
      </c>
      <c r="M796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796" s="16">
        <f>Продажи[[#This Row],[цена за шт в рублях]]/Продажи[[#This Row],[Средняя цена в категории за шт по поставщику]]-1</f>
        <v>0.66227615805830986</v>
      </c>
      <c r="O796" s="48">
        <f>VLOOKUP(Продажи[[#This Row],[id клиента]],клиенты!$A$2:$E$435,5,0)</f>
        <v>44728</v>
      </c>
      <c r="P796">
        <f>Продажи[[#This Row],[дата создания чека]]-Продажи[[#This Row],[Дата регистрации]]</f>
        <v>489</v>
      </c>
      <c r="Q796" t="str">
        <f>VLOOKUP(Продажи[[#This Row],[id клиента]],клиенты!$A$2:$G$435,7,0)</f>
        <v>Беларусь</v>
      </c>
      <c r="R796">
        <f>IF(COUNTIF($H$2:H796, H796)=1, 1, 0)</f>
        <v>0</v>
      </c>
      <c r="S796" t="str">
        <f>VLOOKUP(Продажи[[#This Row],[id клиента]],клиенты!$A$2:$D$435,4,0)</f>
        <v>нет</v>
      </c>
      <c r="T796" s="54">
        <f>VLOOKUP(Продажи[[#This Row],[id клиента]],клиенты!$A$2:$I$435,9,0)</f>
        <v>16.06570841889117</v>
      </c>
    </row>
    <row r="797" spans="1:20" x14ac:dyDescent="0.25">
      <c r="A797">
        <v>796</v>
      </c>
      <c r="B797">
        <v>146</v>
      </c>
      <c r="C797">
        <v>387</v>
      </c>
      <c r="D797">
        <v>4</v>
      </c>
      <c r="E797" s="35">
        <v>7740</v>
      </c>
      <c r="F797" s="48">
        <v>45027</v>
      </c>
      <c r="G797" t="s">
        <v>10</v>
      </c>
      <c r="H797">
        <v>368</v>
      </c>
      <c r="I797" t="str">
        <f>VLOOKUP(Продажи[[#This Row],[id товара]],Товары[],2,0)</f>
        <v>Сок</v>
      </c>
      <c r="J797" s="17">
        <f>AVERAGEIF(Продажи[Категория],Продажи[[#This Row],[Категория]],Продажи[цена за шт в рублях])</f>
        <v>268.60344827586209</v>
      </c>
      <c r="K797" s="16">
        <f>Продажи[[#This Row],[цена за шт в рублях]]/Продажи[[#This Row],[Средняя цена в категории за шт]]-1</f>
        <v>0.44078567302137484</v>
      </c>
      <c r="L797" t="str">
        <f>VLOOKUP(Продажи[[#This Row],[id товара]],Товары[],3,0)</f>
        <v>Добрый</v>
      </c>
      <c r="M797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797" s="16">
        <f>Продажи[[#This Row],[цена за шт в рублях]]/Продажи[[#This Row],[Средняя цена в категории за шт по поставщику]]-1</f>
        <v>0.59378509921377765</v>
      </c>
      <c r="O797" s="48">
        <f>VLOOKUP(Продажи[[#This Row],[id клиента]],клиенты!$A$2:$E$435,5,0)</f>
        <v>44872</v>
      </c>
      <c r="P797">
        <f>Продажи[[#This Row],[дата создания чека]]-Продажи[[#This Row],[Дата регистрации]]</f>
        <v>155</v>
      </c>
      <c r="Q797" t="str">
        <f>VLOOKUP(Продажи[[#This Row],[id клиента]],клиенты!$A$2:$G$435,7,0)</f>
        <v>Узбекистан</v>
      </c>
      <c r="R797">
        <f>IF(COUNTIF($H$2:H797, H797)=1, 1, 0)</f>
        <v>1</v>
      </c>
      <c r="S797" t="str">
        <f>VLOOKUP(Продажи[[#This Row],[id клиента]],клиенты!$A$2:$D$435,4,0)</f>
        <v>да</v>
      </c>
      <c r="T797" s="54">
        <f>VLOOKUP(Продажи[[#This Row],[id клиента]],клиенты!$A$2:$I$435,9,0)</f>
        <v>9.8891170431211499</v>
      </c>
    </row>
    <row r="798" spans="1:20" x14ac:dyDescent="0.25">
      <c r="A798">
        <v>797</v>
      </c>
      <c r="B798">
        <v>77</v>
      </c>
      <c r="C798">
        <v>151</v>
      </c>
      <c r="D798">
        <v>2</v>
      </c>
      <c r="E798" s="35">
        <v>1510</v>
      </c>
      <c r="F798" s="48">
        <v>45067</v>
      </c>
      <c r="G798" t="s">
        <v>27</v>
      </c>
      <c r="H798">
        <v>481</v>
      </c>
      <c r="I798" t="str">
        <f>VLOOKUP(Продажи[[#This Row],[id товара]],Товары[],2,0)</f>
        <v>Макароны</v>
      </c>
      <c r="J798" s="17">
        <f>AVERAGEIF(Продажи[Категория],Продажи[[#This Row],[Категория]],Продажи[цена за шт в рублях])</f>
        <v>265.47674418604652</v>
      </c>
      <c r="K798" s="16">
        <f>Продажи[[#This Row],[цена за шт в рублях]]/Продажи[[#This Row],[Средняя цена в категории за шт]]-1</f>
        <v>-0.43121194866628709</v>
      </c>
      <c r="L798" t="str">
        <f>VLOOKUP(Продажи[[#This Row],[id товара]],Товары[],3,0)</f>
        <v>Паста Зара</v>
      </c>
      <c r="M798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798" s="16">
        <f>Продажи[[#This Row],[цена за шт в рублях]]/Продажи[[#This Row],[Средняя цена в категории за шт по поставщику]]-1</f>
        <v>-0.45423463905441053</v>
      </c>
      <c r="O798" s="48">
        <f>VLOOKUP(Продажи[[#This Row],[id клиента]],клиенты!$A$2:$E$435,5,0)</f>
        <v>44756</v>
      </c>
      <c r="P798">
        <f>Продажи[[#This Row],[дата создания чека]]-Продажи[[#This Row],[Дата регистрации]]</f>
        <v>311</v>
      </c>
      <c r="Q798" t="str">
        <f>VLOOKUP(Продажи[[#This Row],[id клиента]],клиенты!$A$2:$G$435,7,0)</f>
        <v>Беларусь</v>
      </c>
      <c r="R798">
        <f>IF(COUNTIF($H$2:H798, H798)=1, 1, 0)</f>
        <v>0</v>
      </c>
      <c r="S798" t="str">
        <f>VLOOKUP(Продажи[[#This Row],[id клиента]],клиенты!$A$2:$D$435,4,0)</f>
        <v>да</v>
      </c>
      <c r="T798" s="54">
        <f>VLOOKUP(Продажи[[#This Row],[id клиента]],клиенты!$A$2:$I$435,9,0)</f>
        <v>18.759753593429156</v>
      </c>
    </row>
    <row r="799" spans="1:20" x14ac:dyDescent="0.25">
      <c r="A799">
        <v>798</v>
      </c>
      <c r="B799">
        <v>407</v>
      </c>
      <c r="C799">
        <v>157</v>
      </c>
      <c r="D799">
        <v>3</v>
      </c>
      <c r="E799" s="35">
        <v>2355</v>
      </c>
      <c r="F799" s="48">
        <v>45275</v>
      </c>
      <c r="G799" t="s">
        <v>9</v>
      </c>
      <c r="H799">
        <v>354</v>
      </c>
      <c r="I799" t="str">
        <f>VLOOKUP(Продажи[[#This Row],[id товара]],Товары[],2,0)</f>
        <v>Конфеты</v>
      </c>
      <c r="J799" s="17">
        <f>AVERAGEIF(Продажи[Категория],Продажи[[#This Row],[Категория]],Продажи[цена за шт в рублях])</f>
        <v>267.85483870967744</v>
      </c>
      <c r="K799" s="16">
        <f>Продажи[[#This Row],[цена за шт в рублях]]/Продажи[[#This Row],[Средняя цена в категории за шт]]-1</f>
        <v>-0.41386162461612575</v>
      </c>
      <c r="L799" t="str">
        <f>VLOOKUP(Продажи[[#This Row],[id товара]],Товары[],3,0)</f>
        <v>Славянка</v>
      </c>
      <c r="M799" s="32">
        <f>AVERAGEIFS(Продажи[цена за шт в рублях],Продажи[Категория],Продажи[[#This Row],[Категория]],Продажи[Поставщик],Продажи[[#This Row],[Поставщик]])</f>
        <v>268</v>
      </c>
      <c r="N799" s="16">
        <f>Продажи[[#This Row],[цена за шт в рублях]]/Продажи[[#This Row],[Средняя цена в категории за шт по поставщику]]-1</f>
        <v>-0.41417910447761197</v>
      </c>
      <c r="O799" s="48">
        <f>VLOOKUP(Продажи[[#This Row],[id клиента]],клиенты!$A$2:$E$435,5,0)</f>
        <v>44811</v>
      </c>
      <c r="P799">
        <f>Продажи[[#This Row],[дата создания чека]]-Продажи[[#This Row],[Дата регистрации]]</f>
        <v>464</v>
      </c>
      <c r="Q799" t="str">
        <f>VLOOKUP(Продажи[[#This Row],[id клиента]],клиенты!$A$2:$G$435,7,0)</f>
        <v>Узбекистан</v>
      </c>
      <c r="R799">
        <f>IF(COUNTIF($H$2:H799, H799)=1, 1, 0)</f>
        <v>0</v>
      </c>
      <c r="S799" t="str">
        <f>VLOOKUP(Продажи[[#This Row],[id клиента]],клиенты!$A$2:$D$435,4,0)</f>
        <v>нет</v>
      </c>
      <c r="T799" s="54">
        <f>VLOOKUP(Продажи[[#This Row],[id клиента]],клиенты!$A$2:$I$435,9,0)</f>
        <v>15.24435318275154</v>
      </c>
    </row>
    <row r="800" spans="1:20" x14ac:dyDescent="0.25">
      <c r="A800">
        <v>799</v>
      </c>
      <c r="B800">
        <v>357</v>
      </c>
      <c r="C800">
        <v>55</v>
      </c>
      <c r="D800">
        <v>5</v>
      </c>
      <c r="E800" s="35">
        <v>1375</v>
      </c>
      <c r="F800" s="48">
        <v>45302</v>
      </c>
      <c r="G800" t="s">
        <v>24</v>
      </c>
      <c r="H800">
        <v>8</v>
      </c>
      <c r="I800" t="str">
        <f>VLOOKUP(Продажи[[#This Row],[id товара]],Товары[],2,0)</f>
        <v>Мясо</v>
      </c>
      <c r="J800" s="17">
        <f>AVERAGEIF(Продажи[Категория],Продажи[[#This Row],[Категория]],Продажи[цена за шт в рублях])</f>
        <v>271.74545454545455</v>
      </c>
      <c r="K800" s="16">
        <f>Продажи[[#This Row],[цена за шт в рублях]]/Продажи[[#This Row],[Средняя цена в категории за шт]]-1</f>
        <v>-0.79760471029037872</v>
      </c>
      <c r="L800" t="str">
        <f>VLOOKUP(Продажи[[#This Row],[id товара]],Товары[],3,0)</f>
        <v>Снежана</v>
      </c>
      <c r="M800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800" s="16">
        <f>Продажи[[#This Row],[цена за шт в рублях]]/Продажи[[#This Row],[Средняя цена в категории за шт по поставщику]]-1</f>
        <v>-0.79805615550755937</v>
      </c>
      <c r="O800" s="48">
        <f>VLOOKUP(Продажи[[#This Row],[id клиента]],клиенты!$A$2:$E$435,5,0)</f>
        <v>44883</v>
      </c>
      <c r="P800">
        <f>Продажи[[#This Row],[дата создания чека]]-Продажи[[#This Row],[Дата регистрации]]</f>
        <v>419</v>
      </c>
      <c r="Q800" t="str">
        <f>VLOOKUP(Продажи[[#This Row],[id клиента]],клиенты!$A$2:$G$435,7,0)</f>
        <v>Беларусь</v>
      </c>
      <c r="R800">
        <f>IF(COUNTIF($H$2:H800, H800)=1, 1, 0)</f>
        <v>0</v>
      </c>
      <c r="S800" t="str">
        <f>VLOOKUP(Продажи[[#This Row],[id клиента]],клиенты!$A$2:$D$435,4,0)</f>
        <v>да</v>
      </c>
      <c r="T800" s="54">
        <f>VLOOKUP(Продажи[[#This Row],[id клиента]],клиенты!$A$2:$I$435,9,0)</f>
        <v>14.685831622176591</v>
      </c>
    </row>
    <row r="801" spans="1:20" x14ac:dyDescent="0.25">
      <c r="A801">
        <v>800</v>
      </c>
      <c r="B801">
        <v>409</v>
      </c>
      <c r="C801">
        <v>235</v>
      </c>
      <c r="D801">
        <v>5</v>
      </c>
      <c r="E801" s="35">
        <v>5875</v>
      </c>
      <c r="F801" s="48">
        <v>44960</v>
      </c>
      <c r="G801" t="s">
        <v>16</v>
      </c>
      <c r="H801">
        <v>1</v>
      </c>
      <c r="I801" t="str">
        <f>VLOOKUP(Продажи[[#This Row],[id товара]],Товары[],2,0)</f>
        <v>Фрукты</v>
      </c>
      <c r="J801" s="17">
        <f>AVERAGEIF(Продажи[Категория],Продажи[[#This Row],[Категория]],Продажи[цена за шт в рублях])</f>
        <v>274.16279069767444</v>
      </c>
      <c r="K801" s="16">
        <f>Продажи[[#This Row],[цена за шт в рублях]]/Продажи[[#This Row],[Средняя цена в категории за шт]]-1</f>
        <v>-0.14284502502332685</v>
      </c>
      <c r="L801" t="str">
        <f>VLOOKUP(Продажи[[#This Row],[id товара]],Товары[],3,0)</f>
        <v>Фруктовый Рай</v>
      </c>
      <c r="M801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801" s="16">
        <f>Продажи[[#This Row],[цена за шт в рублях]]/Продажи[[#This Row],[Средняя цена в категории за шт по поставщику]]-1</f>
        <v>-9.0232281119714153E-2</v>
      </c>
      <c r="O801" s="48">
        <f>VLOOKUP(Продажи[[#This Row],[id клиента]],клиенты!$A$2:$E$435,5,0)</f>
        <v>44585</v>
      </c>
      <c r="P801">
        <f>Продажи[[#This Row],[дата создания чека]]-Продажи[[#This Row],[Дата регистрации]]</f>
        <v>375</v>
      </c>
      <c r="Q801" t="str">
        <f>VLOOKUP(Продажи[[#This Row],[id клиента]],клиенты!$A$2:$G$435,7,0)</f>
        <v>Россия</v>
      </c>
      <c r="R801">
        <f>IF(COUNTIF($H$2:H801, H801)=1, 1, 0)</f>
        <v>0</v>
      </c>
      <c r="S801" t="str">
        <f>VLOOKUP(Продажи[[#This Row],[id клиента]],клиенты!$A$2:$D$435,4,0)</f>
        <v>да</v>
      </c>
      <c r="T801" s="54">
        <f>VLOOKUP(Продажи[[#This Row],[id клиента]],клиенты!$A$2:$I$435,9,0)</f>
        <v>12.320328542094456</v>
      </c>
    </row>
    <row r="802" spans="1:20" x14ac:dyDescent="0.25">
      <c r="A802">
        <v>801</v>
      </c>
      <c r="B802">
        <v>148</v>
      </c>
      <c r="C802">
        <v>474</v>
      </c>
      <c r="D802">
        <v>4</v>
      </c>
      <c r="E802" s="35">
        <v>9480</v>
      </c>
      <c r="F802" s="48">
        <v>45074</v>
      </c>
      <c r="G802" t="s">
        <v>19</v>
      </c>
      <c r="H802">
        <v>333</v>
      </c>
      <c r="I802" t="str">
        <f>VLOOKUP(Продажи[[#This Row],[id товара]],Товары[],2,0)</f>
        <v>Сок</v>
      </c>
      <c r="J802" s="17">
        <f>AVERAGEIF(Продажи[Категория],Продажи[[#This Row],[Категория]],Продажи[цена за шт в рублях])</f>
        <v>268.60344827586209</v>
      </c>
      <c r="K802" s="16">
        <f>Продажи[[#This Row],[цена за шт в рублях]]/Продажи[[#This Row],[Средняя цена в категории за шт]]-1</f>
        <v>0.76468322742152872</v>
      </c>
      <c r="L802" t="str">
        <f>VLOOKUP(Продажи[[#This Row],[id товара]],Товары[],3,0)</f>
        <v>Фруктовый сад</v>
      </c>
      <c r="M802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802" s="16">
        <f>Продажи[[#This Row],[цена за шт в рублях]]/Продажи[[#This Row],[Средняя цена в категории за шт по поставщику]]-1</f>
        <v>0.68103734899700763</v>
      </c>
      <c r="O802" s="48">
        <f>VLOOKUP(Продажи[[#This Row],[id клиента]],клиенты!$A$2:$E$435,5,0)</f>
        <v>44857</v>
      </c>
      <c r="P802">
        <f>Продажи[[#This Row],[дата создания чека]]-Продажи[[#This Row],[Дата регистрации]]</f>
        <v>217</v>
      </c>
      <c r="Q802" t="str">
        <f>VLOOKUP(Продажи[[#This Row],[id клиента]],клиенты!$A$2:$G$435,7,0)</f>
        <v>Россия</v>
      </c>
      <c r="R802">
        <f>IF(COUNTIF($H$2:H802, H802)=1, 1, 0)</f>
        <v>0</v>
      </c>
      <c r="S802" t="str">
        <f>VLOOKUP(Продажи[[#This Row],[id клиента]],клиенты!$A$2:$D$435,4,0)</f>
        <v>да</v>
      </c>
      <c r="T802" s="54">
        <f>VLOOKUP(Продажи[[#This Row],[id клиента]],клиенты!$A$2:$I$435,9,0)</f>
        <v>13.404517453798768</v>
      </c>
    </row>
    <row r="803" spans="1:20" x14ac:dyDescent="0.25">
      <c r="A803">
        <v>802</v>
      </c>
      <c r="B803">
        <v>63</v>
      </c>
      <c r="C803">
        <v>479</v>
      </c>
      <c r="D803">
        <v>4</v>
      </c>
      <c r="E803" s="35">
        <v>9580</v>
      </c>
      <c r="F803" s="48">
        <v>45235</v>
      </c>
      <c r="G803" t="s">
        <v>11</v>
      </c>
      <c r="H803">
        <v>396</v>
      </c>
      <c r="I803" t="str">
        <f>VLOOKUP(Продажи[[#This Row],[id товара]],Товары[],2,0)</f>
        <v>Рыба</v>
      </c>
      <c r="J803" s="17">
        <f>AVERAGEIF(Продажи[Категория],Продажи[[#This Row],[Категория]],Продажи[цена за шт в рублях])</f>
        <v>258.5128205128205</v>
      </c>
      <c r="K803" s="16">
        <f>Продажи[[#This Row],[цена за шт в рублях]]/Продажи[[#This Row],[Средняя цена в категории за шт]]-1</f>
        <v>0.85290616941083131</v>
      </c>
      <c r="L803" t="str">
        <f>VLOOKUP(Продажи[[#This Row],[id товара]],Товары[],3,0)</f>
        <v>Балтийский берег</v>
      </c>
      <c r="M803" s="32">
        <f>AVERAGEIFS(Продажи[цена за шт в рублях],Продажи[Категория],Продажи[[#This Row],[Категория]],Продажи[Поставщик],Продажи[[#This Row],[Поставщик]])</f>
        <v>289.88888888888891</v>
      </c>
      <c r="N803" s="16">
        <f>Продажи[[#This Row],[цена за шт в рублях]]/Продажи[[#This Row],[Средняя цена в категории за шт по поставщику]]-1</f>
        <v>0.65235722499041771</v>
      </c>
      <c r="O803" s="48">
        <f>VLOOKUP(Продажи[[#This Row],[id клиента]],клиенты!$A$2:$E$435,5,0)</f>
        <v>44871</v>
      </c>
      <c r="P803">
        <f>Продажи[[#This Row],[дата создания чека]]-Продажи[[#This Row],[Дата регистрации]]</f>
        <v>364</v>
      </c>
      <c r="Q803" t="str">
        <f>VLOOKUP(Продажи[[#This Row],[id клиента]],клиенты!$A$2:$G$435,7,0)</f>
        <v>Украина</v>
      </c>
      <c r="R803">
        <f>IF(COUNTIF($H$2:H803, H803)=1, 1, 0)</f>
        <v>0</v>
      </c>
      <c r="S803" t="str">
        <f>VLOOKUP(Продажи[[#This Row],[id клиента]],клиенты!$A$2:$D$435,4,0)</f>
        <v>нет</v>
      </c>
      <c r="T803" s="54">
        <f>VLOOKUP(Продажи[[#This Row],[id клиента]],клиенты!$A$2:$I$435,9,0)</f>
        <v>12.156057494866531</v>
      </c>
    </row>
    <row r="804" spans="1:20" x14ac:dyDescent="0.25">
      <c r="A804">
        <v>803</v>
      </c>
      <c r="B804">
        <v>410</v>
      </c>
      <c r="C804">
        <v>320</v>
      </c>
      <c r="D804">
        <v>4</v>
      </c>
      <c r="E804" s="35">
        <v>6400</v>
      </c>
      <c r="F804" s="48">
        <v>45045</v>
      </c>
      <c r="G804" t="s">
        <v>16</v>
      </c>
      <c r="H804">
        <v>401</v>
      </c>
      <c r="I804" t="str">
        <f>VLOOKUP(Продажи[[#This Row],[id товара]],Товары[],2,0)</f>
        <v>Чипсы</v>
      </c>
      <c r="J804" s="17">
        <f>AVERAGEIF(Продажи[Категория],Продажи[[#This Row],[Категория]],Продажи[цена за шт в рублях])</f>
        <v>273.72549019607845</v>
      </c>
      <c r="K804" s="16">
        <f>Продажи[[#This Row],[цена за шт в рублях]]/Продажи[[#This Row],[Средняя цена в категории за шт]]-1</f>
        <v>0.16905444126074487</v>
      </c>
      <c r="L804" t="str">
        <f>VLOOKUP(Продажи[[#This Row],[id товара]],Товары[],3,0)</f>
        <v>Lay's</v>
      </c>
      <c r="M804" s="32">
        <f>AVERAGEIFS(Продажи[цена за шт в рублях],Продажи[Категория],Продажи[[#This Row],[Категория]],Продажи[Поставщик],Продажи[[#This Row],[Поставщик]])</f>
        <v>320.57142857142856</v>
      </c>
      <c r="N804" s="16">
        <f>Продажи[[#This Row],[цена за шт в рублях]]/Продажи[[#This Row],[Средняя цена в категории за шт по поставщику]]-1</f>
        <v>-1.7825311942958333E-3</v>
      </c>
      <c r="O804" s="48">
        <f>VLOOKUP(Продажи[[#This Row],[id клиента]],клиенты!$A$2:$E$435,5,0)</f>
        <v>44856</v>
      </c>
      <c r="P804">
        <f>Продажи[[#This Row],[дата создания чека]]-Продажи[[#This Row],[Дата регистрации]]</f>
        <v>189</v>
      </c>
      <c r="Q804" t="str">
        <f>VLOOKUP(Продажи[[#This Row],[id клиента]],клиенты!$A$2:$G$435,7,0)</f>
        <v>Россия</v>
      </c>
      <c r="R804">
        <f>IF(COUNTIF($H$2:H804, H804)=1, 1, 0)</f>
        <v>0</v>
      </c>
      <c r="S804" t="str">
        <f>VLOOKUP(Продажи[[#This Row],[id клиента]],клиенты!$A$2:$D$435,4,0)</f>
        <v>нет</v>
      </c>
      <c r="T804" s="54">
        <f>VLOOKUP(Продажи[[#This Row],[id клиента]],клиенты!$A$2:$I$435,9,0)</f>
        <v>17.774127310061601</v>
      </c>
    </row>
    <row r="805" spans="1:20" x14ac:dyDescent="0.25">
      <c r="A805">
        <v>804</v>
      </c>
      <c r="B805">
        <v>223</v>
      </c>
      <c r="C805">
        <v>477</v>
      </c>
      <c r="D805">
        <v>4</v>
      </c>
      <c r="E805" s="35">
        <v>9540</v>
      </c>
      <c r="F805" s="48">
        <v>45064</v>
      </c>
      <c r="G805" t="s">
        <v>15</v>
      </c>
      <c r="H805">
        <v>121</v>
      </c>
      <c r="I805" t="str">
        <f>VLOOKUP(Продажи[[#This Row],[id товара]],Товары[],2,0)</f>
        <v>Чай</v>
      </c>
      <c r="J805" s="17">
        <f>AVERAGEIF(Продажи[Категория],Продажи[[#This Row],[Категория]],Продажи[цена за шт в рублях])</f>
        <v>271.18181818181819</v>
      </c>
      <c r="K805" s="16">
        <f>Продажи[[#This Row],[цена за шт в рублях]]/Продажи[[#This Row],[Средняя цена в категории за шт]]-1</f>
        <v>0.75896748240026812</v>
      </c>
      <c r="L805" t="str">
        <f>VLOOKUP(Продажи[[#This Row],[id товара]],Товары[],3,0)</f>
        <v>Greenfield</v>
      </c>
      <c r="M805" s="32">
        <f>AVERAGEIFS(Продажи[цена за шт в рублях],Продажи[Категория],Продажи[[#This Row],[Категория]],Продажи[Поставщик],Продажи[[#This Row],[Поставщик]])</f>
        <v>291.45454545454544</v>
      </c>
      <c r="N805" s="16">
        <f>Продажи[[#This Row],[цена за шт в рублях]]/Продажи[[#This Row],[Средняя цена в категории за шт по поставщику]]-1</f>
        <v>0.63661883967560828</v>
      </c>
      <c r="O805" s="48">
        <f>VLOOKUP(Продажи[[#This Row],[id клиента]],клиенты!$A$2:$E$435,5,0)</f>
        <v>44763</v>
      </c>
      <c r="P805">
        <f>Продажи[[#This Row],[дата создания чека]]-Продажи[[#This Row],[Дата регистрации]]</f>
        <v>301</v>
      </c>
      <c r="Q805" t="str">
        <f>VLOOKUP(Продажи[[#This Row],[id клиента]],клиенты!$A$2:$G$435,7,0)</f>
        <v>Россия</v>
      </c>
      <c r="R805">
        <f>IF(COUNTIF($H$2:H805, H805)=1, 1, 0)</f>
        <v>0</v>
      </c>
      <c r="S805" t="str">
        <f>VLOOKUP(Продажи[[#This Row],[id клиента]],клиенты!$A$2:$D$435,4,0)</f>
        <v>да</v>
      </c>
      <c r="T805" s="54">
        <f>VLOOKUP(Продажи[[#This Row],[id клиента]],клиенты!$A$2:$I$435,9,0)</f>
        <v>9.8891170431211499</v>
      </c>
    </row>
    <row r="806" spans="1:20" x14ac:dyDescent="0.25">
      <c r="A806">
        <v>805</v>
      </c>
      <c r="B806">
        <v>35</v>
      </c>
      <c r="C806">
        <v>277</v>
      </c>
      <c r="D806">
        <v>4</v>
      </c>
      <c r="E806" s="35">
        <v>5540</v>
      </c>
      <c r="F806" s="48">
        <v>45422</v>
      </c>
      <c r="G806" t="s">
        <v>10</v>
      </c>
      <c r="H806">
        <v>108</v>
      </c>
      <c r="I806" t="str">
        <f>VLOOKUP(Продажи[[#This Row],[id товара]],Товары[],2,0)</f>
        <v>Крупа</v>
      </c>
      <c r="J806" s="17">
        <f>AVERAGEIF(Продажи[Категория],Продажи[[#This Row],[Категория]],Продажи[цена за шт в рублях])</f>
        <v>255.11627906976744</v>
      </c>
      <c r="K806" s="16">
        <f>Продажи[[#This Row],[цена за шт в рублях]]/Продажи[[#This Row],[Средняя цена в категории за шт]]-1</f>
        <v>8.5779398359161263E-2</v>
      </c>
      <c r="L806" t="str">
        <f>VLOOKUP(Продажи[[#This Row],[id товара]],Товары[],3,0)</f>
        <v>Мистраль</v>
      </c>
      <c r="M806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806" s="16">
        <f>Продажи[[#This Row],[цена за шт в рублях]]/Продажи[[#This Row],[Средняя цена в категории за шт по поставщику]]-1</f>
        <v>0.10663798401966806</v>
      </c>
      <c r="O806" s="48">
        <f>VLOOKUP(Продажи[[#This Row],[id клиента]],клиенты!$A$2:$E$435,5,0)</f>
        <v>44835</v>
      </c>
      <c r="P806">
        <f>Продажи[[#This Row],[дата создания чека]]-Продажи[[#This Row],[Дата регистрации]]</f>
        <v>587</v>
      </c>
      <c r="Q806" t="str">
        <f>VLOOKUP(Продажи[[#This Row],[id клиента]],клиенты!$A$2:$G$435,7,0)</f>
        <v>Узбекистан</v>
      </c>
      <c r="R806">
        <f>IF(COUNTIF($H$2:H806, H806)=1, 1, 0)</f>
        <v>1</v>
      </c>
      <c r="S806" t="str">
        <f>VLOOKUP(Продажи[[#This Row],[id клиента]],клиенты!$A$2:$D$435,4,0)</f>
        <v>да</v>
      </c>
      <c r="T806" s="54">
        <f>VLOOKUP(Продажи[[#This Row],[id клиента]],клиенты!$A$2:$I$435,9,0)</f>
        <v>19.285420944558521</v>
      </c>
    </row>
    <row r="807" spans="1:20" x14ac:dyDescent="0.25">
      <c r="A807">
        <v>806</v>
      </c>
      <c r="B807">
        <v>398</v>
      </c>
      <c r="C807">
        <v>127</v>
      </c>
      <c r="D807">
        <v>5</v>
      </c>
      <c r="E807" s="35">
        <v>3175</v>
      </c>
      <c r="F807" s="48">
        <v>45253</v>
      </c>
      <c r="G807" t="s">
        <v>15</v>
      </c>
      <c r="H807">
        <v>191</v>
      </c>
      <c r="I807" t="str">
        <f>VLOOKUP(Продажи[[#This Row],[id товара]],Товары[],2,0)</f>
        <v>Сок</v>
      </c>
      <c r="J807" s="17">
        <f>AVERAGEIF(Продажи[Категория],Продажи[[#This Row],[Категория]],Продажи[цена за шт в рублях])</f>
        <v>268.60344827586209</v>
      </c>
      <c r="K807" s="16">
        <f>Продажи[[#This Row],[цена за шт в рублях]]/Продажи[[#This Row],[Средняя цена в категории за шт]]-1</f>
        <v>-0.52718402978368317</v>
      </c>
      <c r="L807" t="str">
        <f>VLOOKUP(Продажи[[#This Row],[id товара]],Товары[],3,0)</f>
        <v>Фруктовый сад</v>
      </c>
      <c r="M807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807" s="16">
        <f>Продажи[[#This Row],[цена за шт в рублях]]/Продажи[[#This Row],[Средняя цена в категории за шт по поставщику]]-1</f>
        <v>-0.54959547822232069</v>
      </c>
      <c r="O807" s="48">
        <f>VLOOKUP(Продажи[[#This Row],[id клиента]],клиенты!$A$2:$E$435,5,0)</f>
        <v>44866</v>
      </c>
      <c r="P807">
        <f>Продажи[[#This Row],[дата создания чека]]-Продажи[[#This Row],[Дата регистрации]]</f>
        <v>387</v>
      </c>
      <c r="Q807" t="str">
        <f>VLOOKUP(Продажи[[#This Row],[id клиента]],клиенты!$A$2:$G$435,7,0)</f>
        <v>Украина</v>
      </c>
      <c r="R807">
        <f>IF(COUNTIF($H$2:H807, H807)=1, 1, 0)</f>
        <v>0</v>
      </c>
      <c r="S807" t="str">
        <f>VLOOKUP(Продажи[[#This Row],[id клиента]],клиенты!$A$2:$D$435,4,0)</f>
        <v>да</v>
      </c>
      <c r="T807" s="54">
        <f>VLOOKUP(Продажи[[#This Row],[id клиента]],клиенты!$A$2:$I$435,9,0)</f>
        <v>16.755646817248461</v>
      </c>
    </row>
    <row r="808" spans="1:20" x14ac:dyDescent="0.25">
      <c r="A808">
        <v>807</v>
      </c>
      <c r="B808">
        <v>132</v>
      </c>
      <c r="C808">
        <v>154</v>
      </c>
      <c r="D808">
        <v>3</v>
      </c>
      <c r="E808" s="35">
        <v>2310</v>
      </c>
      <c r="F808" s="48">
        <v>45294</v>
      </c>
      <c r="G808" t="s">
        <v>19</v>
      </c>
      <c r="H808">
        <v>443</v>
      </c>
      <c r="I808" t="str">
        <f>VLOOKUP(Продажи[[#This Row],[id товара]],Товары[],2,0)</f>
        <v>Рыба</v>
      </c>
      <c r="J808" s="17">
        <f>AVERAGEIF(Продажи[Категория],Продажи[[#This Row],[Категория]],Продажи[цена за шт в рублях])</f>
        <v>258.5128205128205</v>
      </c>
      <c r="K808" s="16">
        <f>Продажи[[#This Row],[цена за шт в рублях]]/Продажи[[#This Row],[Средняя цена в категории за шт]]-1</f>
        <v>-0.40428486411426301</v>
      </c>
      <c r="L808" t="str">
        <f>VLOOKUP(Продажи[[#This Row],[id товара]],Товары[],3,0)</f>
        <v>Меридиан</v>
      </c>
      <c r="M808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808" s="16">
        <f>Продажи[[#This Row],[цена за шт в рублях]]/Продажи[[#This Row],[Средняя цена в категории за шт по поставщику]]-1</f>
        <v>-0.40916271721958919</v>
      </c>
      <c r="O808" s="48">
        <f>VLOOKUP(Продажи[[#This Row],[id клиента]],клиенты!$A$2:$E$435,5,0)</f>
        <v>44649</v>
      </c>
      <c r="P808">
        <f>Продажи[[#This Row],[дата создания чека]]-Продажи[[#This Row],[Дата регистрации]]</f>
        <v>645</v>
      </c>
      <c r="Q808" t="str">
        <f>VLOOKUP(Продажи[[#This Row],[id клиента]],клиенты!$A$2:$G$435,7,0)</f>
        <v>Россия</v>
      </c>
      <c r="R808">
        <f>IF(COUNTIF($H$2:H808, H808)=1, 1, 0)</f>
        <v>1</v>
      </c>
      <c r="S808" t="str">
        <f>VLOOKUP(Продажи[[#This Row],[id клиента]],клиенты!$A$2:$D$435,4,0)</f>
        <v>да</v>
      </c>
      <c r="T808" s="54">
        <f>VLOOKUP(Продажи[[#This Row],[id клиента]],клиенты!$A$2:$I$435,9,0)</f>
        <v>21.190965092402465</v>
      </c>
    </row>
    <row r="809" spans="1:20" x14ac:dyDescent="0.25">
      <c r="A809">
        <v>808</v>
      </c>
      <c r="B809">
        <v>415</v>
      </c>
      <c r="C809">
        <v>84</v>
      </c>
      <c r="D809">
        <v>5</v>
      </c>
      <c r="E809" s="35">
        <v>2100</v>
      </c>
      <c r="F809" s="48">
        <v>45156</v>
      </c>
      <c r="G809" t="s">
        <v>26</v>
      </c>
      <c r="H809">
        <v>191</v>
      </c>
      <c r="I809" t="str">
        <f>VLOOKUP(Продажи[[#This Row],[id товара]],Товары[],2,0)</f>
        <v>Чипсы</v>
      </c>
      <c r="J809" s="17">
        <f>AVERAGEIF(Продажи[Категория],Продажи[[#This Row],[Категория]],Продажи[цена за шт в рублях])</f>
        <v>273.72549019607845</v>
      </c>
      <c r="K809" s="16">
        <f>Продажи[[#This Row],[цена за шт в рублях]]/Продажи[[#This Row],[Средняя цена в категории за шт]]-1</f>
        <v>-0.69312320916905446</v>
      </c>
      <c r="L809" t="str">
        <f>VLOOKUP(Продажи[[#This Row],[id товара]],Товары[],3,0)</f>
        <v>Pringles</v>
      </c>
      <c r="M809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809" s="16">
        <f>Продажи[[#This Row],[цена за шт в рублях]]/Продажи[[#This Row],[Средняя цена в категории за шт по поставщику]]-1</f>
        <v>-0.70025488530161428</v>
      </c>
      <c r="O809" s="48">
        <f>VLOOKUP(Продажи[[#This Row],[id клиента]],клиенты!$A$2:$E$435,5,0)</f>
        <v>44866</v>
      </c>
      <c r="P809">
        <f>Продажи[[#This Row],[дата создания чека]]-Продажи[[#This Row],[Дата регистрации]]</f>
        <v>290</v>
      </c>
      <c r="Q809" t="str">
        <f>VLOOKUP(Продажи[[#This Row],[id клиента]],клиенты!$A$2:$G$435,7,0)</f>
        <v>Украина</v>
      </c>
      <c r="R809">
        <f>IF(COUNTIF($H$2:H809, H809)=1, 1, 0)</f>
        <v>0</v>
      </c>
      <c r="S809" t="str">
        <f>VLOOKUP(Продажи[[#This Row],[id клиента]],клиенты!$A$2:$D$435,4,0)</f>
        <v>да</v>
      </c>
      <c r="T809" s="54">
        <f>VLOOKUP(Продажи[[#This Row],[id клиента]],клиенты!$A$2:$I$435,9,0)</f>
        <v>16.755646817248461</v>
      </c>
    </row>
    <row r="810" spans="1:20" x14ac:dyDescent="0.25">
      <c r="A810">
        <v>809</v>
      </c>
      <c r="B810">
        <v>384</v>
      </c>
      <c r="C810">
        <v>423</v>
      </c>
      <c r="D810">
        <v>5</v>
      </c>
      <c r="E810" s="35">
        <v>10575</v>
      </c>
      <c r="F810" s="48">
        <v>45346</v>
      </c>
      <c r="G810" t="s">
        <v>25</v>
      </c>
      <c r="H810">
        <v>249</v>
      </c>
      <c r="I810" t="str">
        <f>VLOOKUP(Продажи[[#This Row],[id товара]],Товары[],2,0)</f>
        <v>Сахар</v>
      </c>
      <c r="J810" s="17">
        <f>AVERAGEIF(Продажи[Категория],Продажи[[#This Row],[Категория]],Продажи[цена за шт в рублях])</f>
        <v>252.76271186440678</v>
      </c>
      <c r="K810" s="16">
        <f>Продажи[[#This Row],[цена за шт в рублях]]/Продажи[[#This Row],[Средняя цена в категории за шт]]-1</f>
        <v>0.6735063367531684</v>
      </c>
      <c r="L810" t="str">
        <f>VLOOKUP(Продажи[[#This Row],[id товара]],Товары[],3,0)</f>
        <v>Сладов</v>
      </c>
      <c r="M810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810" s="16">
        <f>Продажи[[#This Row],[цена за шт в рублях]]/Продажи[[#This Row],[Средняя цена в категории за шт по поставщику]]-1</f>
        <v>0.76054384017758037</v>
      </c>
      <c r="O810" s="48">
        <f>VLOOKUP(Продажи[[#This Row],[id клиента]],клиенты!$A$2:$E$435,5,0)</f>
        <v>44781</v>
      </c>
      <c r="P810">
        <f>Продажи[[#This Row],[дата создания чека]]-Продажи[[#This Row],[Дата регистрации]]</f>
        <v>565</v>
      </c>
      <c r="Q810" t="str">
        <f>VLOOKUP(Продажи[[#This Row],[id клиента]],клиенты!$A$2:$G$435,7,0)</f>
        <v>Россия</v>
      </c>
      <c r="R810">
        <f>IF(COUNTIF($H$2:H810, H810)=1, 1, 0)</f>
        <v>0</v>
      </c>
      <c r="S810" t="str">
        <f>VLOOKUP(Продажи[[#This Row],[id клиента]],клиенты!$A$2:$D$435,4,0)</f>
        <v>да</v>
      </c>
      <c r="T810" s="54">
        <f>VLOOKUP(Продажи[[#This Row],[id клиента]],клиенты!$A$2:$I$435,9,0)</f>
        <v>18.562628336755647</v>
      </c>
    </row>
    <row r="811" spans="1:20" x14ac:dyDescent="0.25">
      <c r="A811">
        <v>810</v>
      </c>
      <c r="B811">
        <v>311</v>
      </c>
      <c r="C811">
        <v>470</v>
      </c>
      <c r="D811">
        <v>2</v>
      </c>
      <c r="E811" s="35">
        <v>4700</v>
      </c>
      <c r="F811" s="48">
        <v>45304</v>
      </c>
      <c r="G811" t="s">
        <v>19</v>
      </c>
      <c r="H811">
        <v>418</v>
      </c>
      <c r="I811" t="str">
        <f>VLOOKUP(Продажи[[#This Row],[id товара]],Товары[],2,0)</f>
        <v>Макароны</v>
      </c>
      <c r="J811" s="17">
        <f>AVERAGEIF(Продажи[Категория],Продажи[[#This Row],[Категория]],Продажи[цена за шт в рублях])</f>
        <v>265.47674418604652</v>
      </c>
      <c r="K811" s="16">
        <f>Продажи[[#This Row],[цена за шт в рублях]]/Продажи[[#This Row],[Средняя цена в категории за шт]]-1</f>
        <v>0.77039989487976879</v>
      </c>
      <c r="L811" t="str">
        <f>VLOOKUP(Продажи[[#This Row],[id товара]],Товары[],3,0)</f>
        <v>Паста Зара</v>
      </c>
      <c r="M811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811" s="16">
        <f>Продажи[[#This Row],[цена за шт в рублях]]/Продажи[[#This Row],[Средняя цена в категории за шт по поставщику]]-1</f>
        <v>0.69873986519488129</v>
      </c>
      <c r="O811" s="48">
        <f>VLOOKUP(Продажи[[#This Row],[id клиента]],клиенты!$A$2:$E$435,5,0)</f>
        <v>44700</v>
      </c>
      <c r="P811">
        <f>Продажи[[#This Row],[дата создания чека]]-Продажи[[#This Row],[Дата регистрации]]</f>
        <v>604</v>
      </c>
      <c r="Q811" t="str">
        <f>VLOOKUP(Продажи[[#This Row],[id клиента]],клиенты!$A$2:$G$435,7,0)</f>
        <v>Беларусь</v>
      </c>
      <c r="R811">
        <f>IF(COUNTIF($H$2:H811, H811)=1, 1, 0)</f>
        <v>0</v>
      </c>
      <c r="S811" t="str">
        <f>VLOOKUP(Продажи[[#This Row],[id клиента]],клиенты!$A$2:$D$435,4,0)</f>
        <v>да</v>
      </c>
      <c r="T811" s="54">
        <f>VLOOKUP(Продажи[[#This Row],[id клиента]],клиенты!$A$2:$I$435,9,0)</f>
        <v>19.843942505133469</v>
      </c>
    </row>
    <row r="812" spans="1:20" x14ac:dyDescent="0.25">
      <c r="A812">
        <v>811</v>
      </c>
      <c r="B812">
        <v>328</v>
      </c>
      <c r="C812">
        <v>59</v>
      </c>
      <c r="D812">
        <v>1</v>
      </c>
      <c r="E812" s="35">
        <v>295</v>
      </c>
      <c r="F812" s="48">
        <v>44991</v>
      </c>
      <c r="G812" t="s">
        <v>22</v>
      </c>
      <c r="H812">
        <v>126</v>
      </c>
      <c r="I812" t="str">
        <f>VLOOKUP(Продажи[[#This Row],[id товара]],Товары[],2,0)</f>
        <v>Чипсы</v>
      </c>
      <c r="J812" s="17">
        <f>AVERAGEIF(Продажи[Категория],Продажи[[#This Row],[Категория]],Продажи[цена за шт в рублях])</f>
        <v>273.72549019607845</v>
      </c>
      <c r="K812" s="16">
        <f>Продажи[[#This Row],[цена за шт в рублях]]/Продажи[[#This Row],[Средняя цена в категории за шт]]-1</f>
        <v>-0.78445558739255017</v>
      </c>
      <c r="L812" t="str">
        <f>VLOOKUP(Продажи[[#This Row],[id товара]],Товары[],3,0)</f>
        <v>Русская картошка</v>
      </c>
      <c r="M812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812" s="16">
        <f>Продажи[[#This Row],[цена за шт в рублях]]/Продажи[[#This Row],[Средняя цена в категории за шт по поставщику]]-1</f>
        <v>-0.75603032391454172</v>
      </c>
      <c r="O812" s="48">
        <f>VLOOKUP(Продажи[[#This Row],[id клиента]],клиенты!$A$2:$E$435,5,0)</f>
        <v>44822</v>
      </c>
      <c r="P812">
        <f>Продажи[[#This Row],[дата создания чека]]-Продажи[[#This Row],[Дата регистрации]]</f>
        <v>169</v>
      </c>
      <c r="Q812" t="str">
        <f>VLOOKUP(Продажи[[#This Row],[id клиента]],клиенты!$A$2:$G$435,7,0)</f>
        <v>Узбекистан</v>
      </c>
      <c r="R812">
        <f>IF(COUNTIF($H$2:H812, H812)=1, 1, 0)</f>
        <v>0</v>
      </c>
      <c r="S812" t="str">
        <f>VLOOKUP(Продажи[[#This Row],[id клиента]],клиенты!$A$2:$D$435,4,0)</f>
        <v>да</v>
      </c>
      <c r="T812" s="54">
        <f>VLOOKUP(Продажи[[#This Row],[id клиента]],клиенты!$A$2:$I$435,9,0)</f>
        <v>16.229979466119097</v>
      </c>
    </row>
    <row r="813" spans="1:20" x14ac:dyDescent="0.25">
      <c r="A813">
        <v>812</v>
      </c>
      <c r="B813">
        <v>74</v>
      </c>
      <c r="C813">
        <v>332</v>
      </c>
      <c r="D813">
        <v>3</v>
      </c>
      <c r="E813" s="35">
        <v>4980</v>
      </c>
      <c r="F813" s="48">
        <v>45000</v>
      </c>
      <c r="G813" t="s">
        <v>24</v>
      </c>
      <c r="H813">
        <v>497</v>
      </c>
      <c r="I813" t="str">
        <f>VLOOKUP(Продажи[[#This Row],[id товара]],Товары[],2,0)</f>
        <v>Колбаса</v>
      </c>
      <c r="J813" s="17">
        <f>AVERAGEIF(Продажи[Категория],Продажи[[#This Row],[Категория]],Продажи[цена за шт в рублях])</f>
        <v>286.92307692307691</v>
      </c>
      <c r="K813" s="16">
        <f>Продажи[[#This Row],[цена за шт в рублях]]/Продажи[[#This Row],[Средняя цена в категории за шт]]-1</f>
        <v>0.15710455764075082</v>
      </c>
      <c r="L813" t="str">
        <f>VLOOKUP(Продажи[[#This Row],[id товара]],Товары[],3,0)</f>
        <v>Черкизово</v>
      </c>
      <c r="M813" s="32">
        <f>AVERAGEIFS(Продажи[цена за шт в рублях],Продажи[Категория],Продажи[[#This Row],[Категория]],Продажи[Поставщик],Продажи[[#This Row],[Поставщик]])</f>
        <v>320.25</v>
      </c>
      <c r="N813" s="16">
        <f>Продажи[[#This Row],[цена за шт в рублях]]/Продажи[[#This Row],[Средняя цена в категории за шт по поставщику]]-1</f>
        <v>3.669008587041378E-2</v>
      </c>
      <c r="O813" s="48">
        <f>VLOOKUP(Продажи[[#This Row],[id клиента]],клиенты!$A$2:$E$435,5,0)</f>
        <v>44826</v>
      </c>
      <c r="P813">
        <f>Продажи[[#This Row],[дата создания чека]]-Продажи[[#This Row],[Дата регистрации]]</f>
        <v>174</v>
      </c>
      <c r="Q813" t="str">
        <f>VLOOKUP(Продажи[[#This Row],[id клиента]],клиенты!$A$2:$G$435,7,0)</f>
        <v>Узбекистан</v>
      </c>
      <c r="R813">
        <f>IF(COUNTIF($H$2:H813, H813)=1, 1, 0)</f>
        <v>0</v>
      </c>
      <c r="S813" t="str">
        <f>VLOOKUP(Продажи[[#This Row],[id клиента]],клиенты!$A$2:$D$435,4,0)</f>
        <v>нет</v>
      </c>
      <c r="T813" s="54">
        <f>VLOOKUP(Продажи[[#This Row],[id клиента]],клиенты!$A$2:$I$435,9,0)</f>
        <v>14.193018480492814</v>
      </c>
    </row>
    <row r="814" spans="1:20" x14ac:dyDescent="0.25">
      <c r="A814">
        <v>813</v>
      </c>
      <c r="B814">
        <v>152</v>
      </c>
      <c r="C814">
        <v>94</v>
      </c>
      <c r="D814">
        <v>5</v>
      </c>
      <c r="E814" s="35">
        <v>2350</v>
      </c>
      <c r="F814" s="48">
        <v>44942</v>
      </c>
      <c r="G814" t="s">
        <v>24</v>
      </c>
      <c r="H814">
        <v>332</v>
      </c>
      <c r="I814" t="str">
        <f>VLOOKUP(Продажи[[#This Row],[id товара]],Товары[],2,0)</f>
        <v>Печенье</v>
      </c>
      <c r="J814" s="17">
        <f>AVERAGEIF(Продажи[Категория],Продажи[[#This Row],[Категория]],Продажи[цена за шт в рублях])</f>
        <v>283.468085106383</v>
      </c>
      <c r="K814" s="16">
        <f>Продажи[[#This Row],[цена за шт в рублях]]/Продажи[[#This Row],[Средняя цена в категории за шт]]-1</f>
        <v>-0.66839300457854844</v>
      </c>
      <c r="L814" t="str">
        <f>VLOOKUP(Продажи[[#This Row],[id товара]],Товары[],3,0)</f>
        <v>Белогорье</v>
      </c>
      <c r="M814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814" s="16">
        <f>Продажи[[#This Row],[цена за шт в рублях]]/Продажи[[#This Row],[Средняя цена в категории за шт по поставщику]]-1</f>
        <v>-0.62324649298597201</v>
      </c>
      <c r="O814" s="48">
        <f>VLOOKUP(Продажи[[#This Row],[id клиента]],клиенты!$A$2:$E$435,5,0)</f>
        <v>44858</v>
      </c>
      <c r="P814">
        <f>Продажи[[#This Row],[дата создания чека]]-Продажи[[#This Row],[Дата регистрации]]</f>
        <v>84</v>
      </c>
      <c r="Q814" t="str">
        <f>VLOOKUP(Продажи[[#This Row],[id клиента]],клиенты!$A$2:$G$435,7,0)</f>
        <v>Узбекистан</v>
      </c>
      <c r="R814">
        <f>IF(COUNTIF($H$2:H814, H814)=1, 1, 0)</f>
        <v>0</v>
      </c>
      <c r="S814" t="str">
        <f>VLOOKUP(Продажи[[#This Row],[id клиента]],клиенты!$A$2:$D$435,4,0)</f>
        <v>нет</v>
      </c>
      <c r="T814" s="54">
        <f>VLOOKUP(Продажи[[#This Row],[id клиента]],клиенты!$A$2:$I$435,9,0)</f>
        <v>15.375770020533881</v>
      </c>
    </row>
    <row r="815" spans="1:20" x14ac:dyDescent="0.25">
      <c r="A815">
        <v>814</v>
      </c>
      <c r="B815">
        <v>319</v>
      </c>
      <c r="C815">
        <v>148</v>
      </c>
      <c r="D815">
        <v>1</v>
      </c>
      <c r="E815" s="35">
        <v>740</v>
      </c>
      <c r="F815" s="48">
        <v>45143</v>
      </c>
      <c r="G815" t="s">
        <v>14</v>
      </c>
      <c r="H815">
        <v>445</v>
      </c>
      <c r="I815" t="str">
        <f>VLOOKUP(Продажи[[#This Row],[id товара]],Товары[],2,0)</f>
        <v>Йогурт</v>
      </c>
      <c r="J815" s="17">
        <f>AVERAGEIF(Продажи[Категория],Продажи[[#This Row],[Категория]],Продажи[цена за шт в рублях])</f>
        <v>263.25423728813558</v>
      </c>
      <c r="K815" s="16">
        <f>Продажи[[#This Row],[цена за шт в рублях]]/Продажи[[#This Row],[Средняя цена в категории за шт]]-1</f>
        <v>-0.43780582024208081</v>
      </c>
      <c r="L815" t="str">
        <f>VLOOKUP(Продажи[[#This Row],[id товара]],Товары[],3,0)</f>
        <v>Эрманн</v>
      </c>
      <c r="M815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815" s="16">
        <f>Продажи[[#This Row],[цена за шт в рублях]]/Продажи[[#This Row],[Средняя цена в категории за шт по поставщику]]-1</f>
        <v>-0.40442655935613681</v>
      </c>
      <c r="O815" s="48">
        <f>VLOOKUP(Продажи[[#This Row],[id клиента]],клиенты!$A$2:$E$435,5,0)</f>
        <v>44676</v>
      </c>
      <c r="P815">
        <f>Продажи[[#This Row],[дата создания чека]]-Продажи[[#This Row],[Дата регистрации]]</f>
        <v>467</v>
      </c>
      <c r="Q815" t="str">
        <f>VLOOKUP(Продажи[[#This Row],[id клиента]],клиенты!$A$2:$G$435,7,0)</f>
        <v>Россия</v>
      </c>
      <c r="R815">
        <f>IF(COUNTIF($H$2:H815, H815)=1, 1, 0)</f>
        <v>0</v>
      </c>
      <c r="S815" t="str">
        <f>VLOOKUP(Продажи[[#This Row],[id клиента]],клиенты!$A$2:$D$435,4,0)</f>
        <v>нет</v>
      </c>
      <c r="T815" s="54">
        <f>VLOOKUP(Продажи[[#This Row],[id клиента]],клиенты!$A$2:$I$435,9,0)</f>
        <v>17.675564681724847</v>
      </c>
    </row>
    <row r="816" spans="1:20" x14ac:dyDescent="0.25">
      <c r="A816">
        <v>815</v>
      </c>
      <c r="B816">
        <v>19</v>
      </c>
      <c r="C816">
        <v>378</v>
      </c>
      <c r="D816">
        <v>2</v>
      </c>
      <c r="E816" s="35">
        <v>3780</v>
      </c>
      <c r="F816" s="48">
        <v>45358</v>
      </c>
      <c r="G816" t="s">
        <v>23</v>
      </c>
      <c r="H816">
        <v>167</v>
      </c>
      <c r="I816" t="str">
        <f>VLOOKUP(Продажи[[#This Row],[id товара]],Товары[],2,0)</f>
        <v>Мясо</v>
      </c>
      <c r="J816" s="17">
        <f>AVERAGEIF(Продажи[Категория],Продажи[[#This Row],[Категория]],Продажи[цена за шт в рублях])</f>
        <v>271.74545454545455</v>
      </c>
      <c r="K816" s="16">
        <f>Продажи[[#This Row],[цена за шт в рублях]]/Продажи[[#This Row],[Средняя цена в категории за шт]]-1</f>
        <v>0.39100762745885187</v>
      </c>
      <c r="L816" t="str">
        <f>VLOOKUP(Продажи[[#This Row],[id товара]],Товары[],3,0)</f>
        <v>Снежана</v>
      </c>
      <c r="M816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816" s="16">
        <f>Продажи[[#This Row],[цена за шт в рублях]]/Продажи[[#This Row],[Средняя цена в категории за шт по поставщику]]-1</f>
        <v>0.38790496760259163</v>
      </c>
      <c r="O816" s="48">
        <f>VLOOKUP(Продажи[[#This Row],[id клиента]],клиенты!$A$2:$E$435,5,0)</f>
        <v>44563</v>
      </c>
      <c r="P816">
        <f>Продажи[[#This Row],[дата создания чека]]-Продажи[[#This Row],[Дата регистрации]]</f>
        <v>795</v>
      </c>
      <c r="Q816" t="str">
        <f>VLOOKUP(Продажи[[#This Row],[id клиента]],клиенты!$A$2:$G$435,7,0)</f>
        <v>Узбекистан</v>
      </c>
      <c r="R816">
        <f>IF(COUNTIF($H$2:H816, H816)=1, 1, 0)</f>
        <v>0</v>
      </c>
      <c r="S816" t="str">
        <f>VLOOKUP(Продажи[[#This Row],[id клиента]],клиенты!$A$2:$D$435,4,0)</f>
        <v>да</v>
      </c>
      <c r="T816" s="54">
        <f>VLOOKUP(Продажи[[#This Row],[id клиента]],клиенты!$A$2:$I$435,9,0)</f>
        <v>26.119096509240247</v>
      </c>
    </row>
    <row r="817" spans="1:20" x14ac:dyDescent="0.25">
      <c r="A817">
        <v>816</v>
      </c>
      <c r="B817">
        <v>242</v>
      </c>
      <c r="C817">
        <v>265</v>
      </c>
      <c r="D817">
        <v>4</v>
      </c>
      <c r="E817" s="35">
        <v>5300</v>
      </c>
      <c r="F817" s="48">
        <v>44931</v>
      </c>
      <c r="G817" t="s">
        <v>27</v>
      </c>
      <c r="H817">
        <v>415</v>
      </c>
      <c r="I817" t="str">
        <f>VLOOKUP(Продажи[[#This Row],[id товара]],Товары[],2,0)</f>
        <v>Овощи</v>
      </c>
      <c r="J817" s="17">
        <f>AVERAGEIF(Продажи[Категория],Продажи[[#This Row],[Категория]],Продажи[цена за шт в рублях])</f>
        <v>250.48780487804879</v>
      </c>
      <c r="K817" s="16">
        <f>Продажи[[#This Row],[цена за шт в рублях]]/Продажи[[#This Row],[Средняя цена в категории за шт]]-1</f>
        <v>5.7935735150924872E-2</v>
      </c>
      <c r="L817" t="str">
        <f>VLOOKUP(Продажи[[#This Row],[id товара]],Товары[],3,0)</f>
        <v>Овощной ряд</v>
      </c>
      <c r="M817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817" s="16">
        <f>Продажи[[#This Row],[цена за шт в рублях]]/Продажи[[#This Row],[Средняя цена в категории за шт по поставщику]]-1</f>
        <v>-0.12778315585672795</v>
      </c>
      <c r="O817" s="48">
        <f>VLOOKUP(Продажи[[#This Row],[id клиента]],клиенты!$A$2:$E$435,5,0)</f>
        <v>44661</v>
      </c>
      <c r="P817">
        <f>Продажи[[#This Row],[дата создания чека]]-Продажи[[#This Row],[Дата регистрации]]</f>
        <v>270</v>
      </c>
      <c r="Q817" t="str">
        <f>VLOOKUP(Продажи[[#This Row],[id клиента]],клиенты!$A$2:$G$435,7,0)</f>
        <v>Украина</v>
      </c>
      <c r="R817">
        <f>IF(COUNTIF($H$2:H817, H817)=1, 1, 0)</f>
        <v>0</v>
      </c>
      <c r="S817" t="str">
        <f>VLOOKUP(Продажи[[#This Row],[id клиента]],клиенты!$A$2:$D$435,4,0)</f>
        <v>да</v>
      </c>
      <c r="T817" s="54">
        <f>VLOOKUP(Продажи[[#This Row],[id клиента]],клиенты!$A$2:$I$435,9,0)</f>
        <v>20.566735112936346</v>
      </c>
    </row>
    <row r="818" spans="1:20" x14ac:dyDescent="0.25">
      <c r="A818">
        <v>817</v>
      </c>
      <c r="B818">
        <v>354</v>
      </c>
      <c r="C818">
        <v>431</v>
      </c>
      <c r="D818">
        <v>1</v>
      </c>
      <c r="E818" s="35">
        <v>2155</v>
      </c>
      <c r="F818" s="48">
        <v>45419</v>
      </c>
      <c r="G818" t="s">
        <v>20</v>
      </c>
      <c r="H818">
        <v>229</v>
      </c>
      <c r="I818" t="str">
        <f>VLOOKUP(Продажи[[#This Row],[id товара]],Товары[],2,0)</f>
        <v>Чай</v>
      </c>
      <c r="J818" s="17">
        <f>AVERAGEIF(Продажи[Категория],Продажи[[#This Row],[Категория]],Продажи[цена за шт в рублях])</f>
        <v>271.18181818181819</v>
      </c>
      <c r="K818" s="16">
        <f>Продажи[[#This Row],[цена за шт в рублях]]/Продажи[[#This Row],[Средняя цена в категории за шт]]-1</f>
        <v>0.58933959101575595</v>
      </c>
      <c r="L818" t="str">
        <f>VLOOKUP(Продажи[[#This Row],[id товара]],Товары[],3,0)</f>
        <v>Lipton</v>
      </c>
      <c r="M818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818" s="16">
        <f>Продажи[[#This Row],[цена за шт в рублях]]/Продажи[[#This Row],[Средняя цена в категории за шт по поставщику]]-1</f>
        <v>0.65668622294153356</v>
      </c>
      <c r="O818" s="48">
        <f>VLOOKUP(Продажи[[#This Row],[id клиента]],клиенты!$A$2:$E$435,5,0)</f>
        <v>44766</v>
      </c>
      <c r="P818">
        <f>Продажи[[#This Row],[дата создания чека]]-Продажи[[#This Row],[Дата регистрации]]</f>
        <v>653</v>
      </c>
      <c r="Q818" t="str">
        <f>VLOOKUP(Продажи[[#This Row],[id клиента]],клиенты!$A$2:$G$435,7,0)</f>
        <v>Беларусь</v>
      </c>
      <c r="R818">
        <f>IF(COUNTIF($H$2:H818, H818)=1, 1, 0)</f>
        <v>0</v>
      </c>
      <c r="S818" t="str">
        <f>VLOOKUP(Продажи[[#This Row],[id клиента]],клиенты!$A$2:$D$435,4,0)</f>
        <v>нет</v>
      </c>
      <c r="T818" s="54">
        <f>VLOOKUP(Продажи[[#This Row],[id клиента]],клиенты!$A$2:$I$435,9,0)</f>
        <v>21.453798767967147</v>
      </c>
    </row>
    <row r="819" spans="1:20" x14ac:dyDescent="0.25">
      <c r="A819">
        <v>818</v>
      </c>
      <c r="B819">
        <v>354</v>
      </c>
      <c r="C819">
        <v>382</v>
      </c>
      <c r="D819">
        <v>4</v>
      </c>
      <c r="E819" s="35">
        <v>7640</v>
      </c>
      <c r="F819" s="48">
        <v>44939</v>
      </c>
      <c r="G819" t="s">
        <v>16</v>
      </c>
      <c r="H819">
        <v>119</v>
      </c>
      <c r="I819" t="str">
        <f>VLOOKUP(Продажи[[#This Row],[id товара]],Товары[],2,0)</f>
        <v>Чай</v>
      </c>
      <c r="J819" s="17">
        <f>AVERAGEIF(Продажи[Категория],Продажи[[#This Row],[Категория]],Продажи[цена за шт в рублях])</f>
        <v>271.18181818181819</v>
      </c>
      <c r="K819" s="16">
        <f>Продажи[[#This Row],[цена за шт в рублях]]/Продажи[[#This Row],[Средняя цена в категории за шт]]-1</f>
        <v>0.40864901106268858</v>
      </c>
      <c r="L819" t="str">
        <f>VLOOKUP(Продажи[[#This Row],[id товара]],Товары[],3,0)</f>
        <v>Lipton</v>
      </c>
      <c r="M819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819" s="16">
        <f>Продажи[[#This Row],[цена за шт в рублях]]/Продажи[[#This Row],[Средняя цена в категории за шт по поставщику]]-1</f>
        <v>0.46833906534493241</v>
      </c>
      <c r="O819" s="48">
        <f>VLOOKUP(Продажи[[#This Row],[id клиента]],клиенты!$A$2:$E$435,5,0)</f>
        <v>44690</v>
      </c>
      <c r="P819">
        <f>Продажи[[#This Row],[дата создания чека]]-Продажи[[#This Row],[Дата регистрации]]</f>
        <v>249</v>
      </c>
      <c r="Q819" t="str">
        <f>VLOOKUP(Продажи[[#This Row],[id клиента]],клиенты!$A$2:$G$435,7,0)</f>
        <v>Россия</v>
      </c>
      <c r="R819">
        <f>IF(COUNTIF($H$2:H819, H819)=1, 1, 0)</f>
        <v>0</v>
      </c>
      <c r="S819" t="str">
        <f>VLOOKUP(Продажи[[#This Row],[id клиента]],клиенты!$A$2:$D$435,4,0)</f>
        <v>нет</v>
      </c>
      <c r="T819" s="54">
        <f>VLOOKUP(Продажи[[#This Row],[id клиента]],клиенты!$A$2:$I$435,9,0)</f>
        <v>8.4763860369609851</v>
      </c>
    </row>
    <row r="820" spans="1:20" x14ac:dyDescent="0.25">
      <c r="A820">
        <v>819</v>
      </c>
      <c r="B820">
        <v>245</v>
      </c>
      <c r="C820">
        <v>281</v>
      </c>
      <c r="D820">
        <v>1</v>
      </c>
      <c r="E820" s="35">
        <v>1405</v>
      </c>
      <c r="F820" s="48">
        <v>45036</v>
      </c>
      <c r="G820" t="s">
        <v>11</v>
      </c>
      <c r="H820">
        <v>341</v>
      </c>
      <c r="I820" t="str">
        <f>VLOOKUP(Продажи[[#This Row],[id товара]],Товары[],2,0)</f>
        <v>Сахар</v>
      </c>
      <c r="J820" s="17">
        <f>AVERAGEIF(Продажи[Категория],Продажи[[#This Row],[Категория]],Продажи[цена за шт в рублях])</f>
        <v>252.76271186440678</v>
      </c>
      <c r="K820" s="16">
        <f>Продажи[[#This Row],[цена за шт в рублях]]/Продажи[[#This Row],[Средняя цена в категории за шт]]-1</f>
        <v>0.11171461141286132</v>
      </c>
      <c r="L820" t="str">
        <f>VLOOKUP(Продажи[[#This Row],[id товара]],Товары[],3,0)</f>
        <v>Продимекс</v>
      </c>
      <c r="M820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820" s="16">
        <f>Продажи[[#This Row],[цена за шт в рублях]]/Продажи[[#This Row],[Средняя цена в категории за шт по поставщику]]-1</f>
        <v>0.16839916839916835</v>
      </c>
      <c r="O820" s="48">
        <f>VLOOKUP(Продажи[[#This Row],[id клиента]],клиенты!$A$2:$E$435,5,0)</f>
        <v>44724</v>
      </c>
      <c r="P820">
        <f>Продажи[[#This Row],[дата создания чека]]-Продажи[[#This Row],[Дата регистрации]]</f>
        <v>312</v>
      </c>
      <c r="Q820" t="str">
        <f>VLOOKUP(Продажи[[#This Row],[id клиента]],клиенты!$A$2:$G$435,7,0)</f>
        <v>Россия</v>
      </c>
      <c r="R820">
        <f>IF(COUNTIF($H$2:H820, H820)=1, 1, 0)</f>
        <v>0</v>
      </c>
      <c r="S820" t="str">
        <f>VLOOKUP(Продажи[[#This Row],[id клиента]],клиенты!$A$2:$D$435,4,0)</f>
        <v>нет</v>
      </c>
      <c r="T820" s="54">
        <f>VLOOKUP(Продажи[[#This Row],[id клиента]],клиенты!$A$2:$I$435,9,0)</f>
        <v>21.946611909650922</v>
      </c>
    </row>
    <row r="821" spans="1:20" x14ac:dyDescent="0.25">
      <c r="A821">
        <v>820</v>
      </c>
      <c r="B821">
        <v>386</v>
      </c>
      <c r="C821">
        <v>149</v>
      </c>
      <c r="D821">
        <v>5</v>
      </c>
      <c r="E821" s="35">
        <v>3725</v>
      </c>
      <c r="F821" s="48">
        <v>45103</v>
      </c>
      <c r="G821" t="s">
        <v>8</v>
      </c>
      <c r="H821">
        <v>407</v>
      </c>
      <c r="I821" t="str">
        <f>VLOOKUP(Продажи[[#This Row],[id товара]],Товары[],2,0)</f>
        <v>Крупа</v>
      </c>
      <c r="J821" s="17">
        <f>AVERAGEIF(Продажи[Категория],Продажи[[#This Row],[Категория]],Продажи[цена за шт в рублях])</f>
        <v>255.11627906976744</v>
      </c>
      <c r="K821" s="16">
        <f>Продажи[[#This Row],[цена за шт в рублях]]/Продажи[[#This Row],[Средняя цена в категории за шт]]-1</f>
        <v>-0.41595259799453055</v>
      </c>
      <c r="L821" t="str">
        <f>VLOOKUP(Продажи[[#This Row],[id товара]],Товары[],3,0)</f>
        <v>Увелка</v>
      </c>
      <c r="M821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821" s="16">
        <f>Продажи[[#This Row],[цена за шт в рублях]]/Продажи[[#This Row],[Средняя цена в категории за шт по поставщику]]-1</f>
        <v>-0.4085345683096262</v>
      </c>
      <c r="O821" s="48">
        <f>VLOOKUP(Продажи[[#This Row],[id клиента]],клиенты!$A$2:$E$435,5,0)</f>
        <v>44621</v>
      </c>
      <c r="P821">
        <f>Продажи[[#This Row],[дата создания чека]]-Продажи[[#This Row],[Дата регистрации]]</f>
        <v>482</v>
      </c>
      <c r="Q821" t="str">
        <f>VLOOKUP(Продажи[[#This Row],[id клиента]],клиенты!$A$2:$G$435,7,0)</f>
        <v>Беларусь</v>
      </c>
      <c r="R821">
        <f>IF(COUNTIF($H$2:H821, H821)=1, 1, 0)</f>
        <v>0</v>
      </c>
      <c r="S821" t="str">
        <f>VLOOKUP(Продажи[[#This Row],[id клиента]],клиенты!$A$2:$D$435,4,0)</f>
        <v>да</v>
      </c>
      <c r="T821" s="54">
        <f>VLOOKUP(Продажи[[#This Row],[id клиента]],клиенты!$A$2:$I$435,9,0)</f>
        <v>25.166324435318277</v>
      </c>
    </row>
    <row r="822" spans="1:20" x14ac:dyDescent="0.25">
      <c r="A822">
        <v>821</v>
      </c>
      <c r="B822">
        <v>434</v>
      </c>
      <c r="C822">
        <v>257</v>
      </c>
      <c r="D822">
        <v>2</v>
      </c>
      <c r="E822" s="35">
        <v>2570</v>
      </c>
      <c r="F822" s="48">
        <v>45128</v>
      </c>
      <c r="G822" t="s">
        <v>10</v>
      </c>
      <c r="H822">
        <v>264</v>
      </c>
      <c r="I822" t="str">
        <f>VLOOKUP(Продажи[[#This Row],[id товара]],Товары[],2,0)</f>
        <v>Сыр</v>
      </c>
      <c r="J822" s="17">
        <f>AVERAGEIF(Продажи[Категория],Продажи[[#This Row],[Категория]],Продажи[цена за шт в рублях])</f>
        <v>262.63492063492066</v>
      </c>
      <c r="K822" s="16">
        <f>Продажи[[#This Row],[цена за шт в рублях]]/Продажи[[#This Row],[Средняя цена в категории за шт]]-1</f>
        <v>-2.1455336637253852E-2</v>
      </c>
      <c r="L822" t="str">
        <f>VLOOKUP(Продажи[[#This Row],[id товара]],Товары[],3,0)</f>
        <v>Сырная долина</v>
      </c>
      <c r="M822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822" s="16">
        <f>Продажи[[#This Row],[цена за шт в рублях]]/Продажи[[#This Row],[Средняя цена в категории за шт по поставщику]]-1</f>
        <v>-5.1660516605166018E-2</v>
      </c>
      <c r="O822" s="48">
        <f>VLOOKUP(Продажи[[#This Row],[id клиента]],клиенты!$A$2:$E$435,5,0)</f>
        <v>44907</v>
      </c>
      <c r="P822">
        <f>Продажи[[#This Row],[дата создания чека]]-Продажи[[#This Row],[Дата регистрации]]</f>
        <v>221</v>
      </c>
      <c r="Q822" t="str">
        <f>VLOOKUP(Продажи[[#This Row],[id клиента]],клиенты!$A$2:$G$435,7,0)</f>
        <v>Беларусь</v>
      </c>
      <c r="R822">
        <f>IF(COUNTIF($H$2:H822, H822)=1, 1, 0)</f>
        <v>0</v>
      </c>
      <c r="S822" t="str">
        <f>VLOOKUP(Продажи[[#This Row],[id клиента]],клиенты!$A$2:$D$435,4,0)</f>
        <v>нет</v>
      </c>
      <c r="T822" s="54">
        <f>VLOOKUP(Продажи[[#This Row],[id клиента]],клиенты!$A$2:$I$435,9,0)</f>
        <v>15.868583162217659</v>
      </c>
    </row>
    <row r="823" spans="1:20" x14ac:dyDescent="0.25">
      <c r="A823">
        <v>822</v>
      </c>
      <c r="B823">
        <v>402</v>
      </c>
      <c r="C823">
        <v>218</v>
      </c>
      <c r="D823">
        <v>1</v>
      </c>
      <c r="E823" s="35">
        <v>1090</v>
      </c>
      <c r="F823" s="48">
        <v>45322</v>
      </c>
      <c r="G823" t="s">
        <v>14</v>
      </c>
      <c r="H823">
        <v>91</v>
      </c>
      <c r="I823" t="str">
        <f>VLOOKUP(Продажи[[#This Row],[id товара]],Товары[],2,0)</f>
        <v>Хлеб</v>
      </c>
      <c r="J823" s="17">
        <f>AVERAGEIF(Продажи[Категория],Продажи[[#This Row],[Категория]],Продажи[цена за шт в рублях])</f>
        <v>300.31818181818181</v>
      </c>
      <c r="K823" s="16">
        <f>Продажи[[#This Row],[цена за шт в рублях]]/Продажи[[#This Row],[Средняя цена в категории за шт]]-1</f>
        <v>-0.27410322385348873</v>
      </c>
      <c r="L823" t="str">
        <f>VLOOKUP(Продажи[[#This Row],[id товара]],Товары[],3,0)</f>
        <v>Каравай</v>
      </c>
      <c r="M823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823" s="16">
        <f>Продажи[[#This Row],[цена за шт в рублях]]/Продажи[[#This Row],[Средняя цена в категории за шт по поставщику]]-1</f>
        <v>-0.34172118772018123</v>
      </c>
      <c r="O823" s="48">
        <f>VLOOKUP(Продажи[[#This Row],[id клиента]],клиенты!$A$2:$E$435,5,0)</f>
        <v>44687</v>
      </c>
      <c r="P823">
        <f>Продажи[[#This Row],[дата создания чека]]-Продажи[[#This Row],[Дата регистрации]]</f>
        <v>635</v>
      </c>
      <c r="Q823" t="str">
        <f>VLOOKUP(Продажи[[#This Row],[id клиента]],клиенты!$A$2:$G$435,7,0)</f>
        <v>Россия</v>
      </c>
      <c r="R823">
        <f>IF(COUNTIF($H$2:H823, H823)=1, 1, 0)</f>
        <v>1</v>
      </c>
      <c r="S823" t="str">
        <f>VLOOKUP(Продажи[[#This Row],[id клиента]],клиенты!$A$2:$D$435,4,0)</f>
        <v>нет</v>
      </c>
      <c r="T823" s="54">
        <f>VLOOKUP(Продажи[[#This Row],[id клиента]],клиенты!$A$2:$I$435,9,0)</f>
        <v>20.862422997946613</v>
      </c>
    </row>
    <row r="824" spans="1:20" x14ac:dyDescent="0.25">
      <c r="A824">
        <v>823</v>
      </c>
      <c r="B824">
        <v>326</v>
      </c>
      <c r="C824">
        <v>198</v>
      </c>
      <c r="D824">
        <v>2</v>
      </c>
      <c r="E824" s="35">
        <v>1980</v>
      </c>
      <c r="F824" s="48">
        <v>45396</v>
      </c>
      <c r="G824" t="s">
        <v>10</v>
      </c>
      <c r="H824">
        <v>362</v>
      </c>
      <c r="I824" t="str">
        <f>VLOOKUP(Продажи[[#This Row],[id товара]],Товары[],2,0)</f>
        <v>Крупа</v>
      </c>
      <c r="J824" s="17">
        <f>AVERAGEIF(Продажи[Категория],Продажи[[#This Row],[Категория]],Продажи[цена за шт в рублях])</f>
        <v>255.11627906976744</v>
      </c>
      <c r="K824" s="16">
        <f>Продажи[[#This Row],[цена за шт в рублях]]/Продажи[[#This Row],[Средняя цена в категории за шт]]-1</f>
        <v>-0.22388331814038287</v>
      </c>
      <c r="L824" t="str">
        <f>VLOOKUP(Продажи[[#This Row],[id товара]],Товары[],3,0)</f>
        <v>Увелка</v>
      </c>
      <c r="M824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824" s="16">
        <f>Продажи[[#This Row],[цена за шт в рублях]]/Продажи[[#This Row],[Средняя цена в категории за шт по поставщику]]-1</f>
        <v>-0.21402580218326162</v>
      </c>
      <c r="O824" s="48">
        <f>VLOOKUP(Продажи[[#This Row],[id клиента]],клиенты!$A$2:$E$435,5,0)</f>
        <v>44916</v>
      </c>
      <c r="P824">
        <f>Продажи[[#This Row],[дата создания чека]]-Продажи[[#This Row],[Дата регистрации]]</f>
        <v>480</v>
      </c>
      <c r="Q824" t="str">
        <f>VLOOKUP(Продажи[[#This Row],[id клиента]],клиенты!$A$2:$G$435,7,0)</f>
        <v>Россия</v>
      </c>
      <c r="R824">
        <f>IF(COUNTIF($H$2:H824, H824)=1, 1, 0)</f>
        <v>0</v>
      </c>
      <c r="S824" t="str">
        <f>VLOOKUP(Продажи[[#This Row],[id клиента]],клиенты!$A$2:$D$435,4,0)</f>
        <v>нет</v>
      </c>
      <c r="T824" s="54">
        <f>VLOOKUP(Продажи[[#This Row],[id клиента]],клиенты!$A$2:$I$435,9,0)</f>
        <v>16.164271047227928</v>
      </c>
    </row>
    <row r="825" spans="1:20" x14ac:dyDescent="0.25">
      <c r="A825">
        <v>824</v>
      </c>
      <c r="B825">
        <v>491</v>
      </c>
      <c r="C825">
        <v>111</v>
      </c>
      <c r="D825">
        <v>4</v>
      </c>
      <c r="E825" s="35">
        <v>2220</v>
      </c>
      <c r="F825" s="48">
        <v>45145</v>
      </c>
      <c r="G825" t="s">
        <v>9</v>
      </c>
      <c r="H825">
        <v>473</v>
      </c>
      <c r="I825" t="str">
        <f>VLOOKUP(Продажи[[#This Row],[id товара]],Товары[],2,0)</f>
        <v>Овощи</v>
      </c>
      <c r="J825" s="17">
        <f>AVERAGEIF(Продажи[Категория],Продажи[[#This Row],[Категория]],Продажи[цена за шт в рублях])</f>
        <v>250.48780487804879</v>
      </c>
      <c r="K825" s="16">
        <f>Продажи[[#This Row],[цена за шт в рублях]]/Продажи[[#This Row],[Средняя цена в категории за шт]]-1</f>
        <v>-0.5568646543330088</v>
      </c>
      <c r="L825" t="str">
        <f>VLOOKUP(Продажи[[#This Row],[id товара]],Товары[],3,0)</f>
        <v>Зеленая грядка</v>
      </c>
      <c r="M825" s="32">
        <f>AVERAGEIFS(Продажи[цена за шт в рублях],Продажи[Категория],Продажи[[#This Row],[Категория]],Продажи[Поставщик],Продажи[[#This Row],[Поставщик]])</f>
        <v>159.19999999999999</v>
      </c>
      <c r="N825" s="16">
        <f>Продажи[[#This Row],[цена за шт в рублях]]/Продажи[[#This Row],[Средняя цена в категории за шт по поставщику]]-1</f>
        <v>-0.30276381909547734</v>
      </c>
      <c r="O825" s="48">
        <f>VLOOKUP(Продажи[[#This Row],[id клиента]],клиенты!$A$2:$E$435,5,0)</f>
        <v>44799</v>
      </c>
      <c r="P825">
        <f>Продажи[[#This Row],[дата создания чека]]-Продажи[[#This Row],[Дата регистрации]]</f>
        <v>346</v>
      </c>
      <c r="Q825" t="str">
        <f>VLOOKUP(Продажи[[#This Row],[id клиента]],клиенты!$A$2:$G$435,7,0)</f>
        <v>Россия</v>
      </c>
      <c r="R825">
        <f>IF(COUNTIF($H$2:H825, H825)=1, 1, 0)</f>
        <v>1</v>
      </c>
      <c r="S825" t="str">
        <f>VLOOKUP(Продажи[[#This Row],[id клиента]],клиенты!$A$2:$D$435,4,0)</f>
        <v>да</v>
      </c>
      <c r="T825" s="54">
        <f>VLOOKUP(Продажи[[#This Row],[id клиента]],клиенты!$A$2:$I$435,9,0)</f>
        <v>11.367556468172484</v>
      </c>
    </row>
    <row r="826" spans="1:20" x14ac:dyDescent="0.25">
      <c r="A826">
        <v>825</v>
      </c>
      <c r="B826">
        <v>240</v>
      </c>
      <c r="C826">
        <v>306</v>
      </c>
      <c r="D826">
        <v>5</v>
      </c>
      <c r="E826" s="35">
        <v>7650</v>
      </c>
      <c r="F826" s="48">
        <v>45319</v>
      </c>
      <c r="G826" t="s">
        <v>27</v>
      </c>
      <c r="H826">
        <v>482</v>
      </c>
      <c r="I826" t="str">
        <f>VLOOKUP(Продажи[[#This Row],[id товара]],Товары[],2,0)</f>
        <v>Макароны</v>
      </c>
      <c r="J826" s="17">
        <f>AVERAGEIF(Продажи[Категория],Продажи[[#This Row],[Категория]],Продажи[цена за шт в рублях])</f>
        <v>265.47674418604652</v>
      </c>
      <c r="K826" s="16">
        <f>Продажи[[#This Row],[цена за шт в рублях]]/Продажи[[#This Row],[Средняя цена в категории за шт]]-1</f>
        <v>0.15264333581533873</v>
      </c>
      <c r="L826" t="str">
        <f>VLOOKUP(Продажи[[#This Row],[id товара]],Товары[],3,0)</f>
        <v>Борилла</v>
      </c>
      <c r="M826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826" s="16">
        <f>Продажи[[#This Row],[цена за шт в рублях]]/Продажи[[#This Row],[Средняя цена в категории за шт по поставщику]]-1</f>
        <v>0.29509632224168114</v>
      </c>
      <c r="O826" s="48">
        <f>VLOOKUP(Продажи[[#This Row],[id клиента]],клиенты!$A$2:$E$435,5,0)</f>
        <v>44679</v>
      </c>
      <c r="P826">
        <f>Продажи[[#This Row],[дата создания чека]]-Продажи[[#This Row],[Дата регистрации]]</f>
        <v>640</v>
      </c>
      <c r="Q826" t="str">
        <f>VLOOKUP(Продажи[[#This Row],[id клиента]],клиенты!$A$2:$G$435,7,0)</f>
        <v>Украина</v>
      </c>
      <c r="R826">
        <f>IF(COUNTIF($H$2:H826, H826)=1, 1, 0)</f>
        <v>1</v>
      </c>
      <c r="S826" t="str">
        <f>VLOOKUP(Продажи[[#This Row],[id клиента]],клиенты!$A$2:$D$435,4,0)</f>
        <v>нет</v>
      </c>
      <c r="T826" s="54">
        <f>VLOOKUP(Продажи[[#This Row],[id клиента]],клиенты!$A$2:$I$435,9,0)</f>
        <v>21.026694045174537</v>
      </c>
    </row>
    <row r="827" spans="1:20" x14ac:dyDescent="0.25">
      <c r="A827">
        <v>826</v>
      </c>
      <c r="B827">
        <v>352</v>
      </c>
      <c r="C827">
        <v>391</v>
      </c>
      <c r="D827">
        <v>1</v>
      </c>
      <c r="E827" s="35">
        <v>1955</v>
      </c>
      <c r="F827" s="48">
        <v>45099</v>
      </c>
      <c r="G827" t="s">
        <v>20</v>
      </c>
      <c r="H827">
        <v>367</v>
      </c>
      <c r="I827" t="str">
        <f>VLOOKUP(Продажи[[#This Row],[id товара]],Товары[],2,0)</f>
        <v>Йогурт</v>
      </c>
      <c r="J827" s="17">
        <f>AVERAGEIF(Продажи[Категория],Продажи[[#This Row],[Категория]],Продажи[цена за шт в рублях])</f>
        <v>263.25423728813558</v>
      </c>
      <c r="K827" s="16">
        <f>Продажи[[#This Row],[цена за шт в рублях]]/Продажи[[#This Row],[Средняя цена в категории за шт]]-1</f>
        <v>0.48525624517125943</v>
      </c>
      <c r="L827" t="str">
        <f>VLOOKUP(Продажи[[#This Row],[id товара]],Товары[],3,0)</f>
        <v>Эрманн</v>
      </c>
      <c r="M827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827" s="16">
        <f>Продажи[[#This Row],[цена за шт в рублях]]/Продажи[[#This Row],[Средняя цена в категории за шт по поставщику]]-1</f>
        <v>0.57344064386317917</v>
      </c>
      <c r="O827" s="48">
        <f>VLOOKUP(Продажи[[#This Row],[id клиента]],клиенты!$A$2:$E$435,5,0)</f>
        <v>44867</v>
      </c>
      <c r="P827">
        <f>Продажи[[#This Row],[дата создания чека]]-Продажи[[#This Row],[Дата регистрации]]</f>
        <v>232</v>
      </c>
      <c r="Q827" t="str">
        <f>VLOOKUP(Продажи[[#This Row],[id клиента]],клиенты!$A$2:$G$435,7,0)</f>
        <v>Таджикистан</v>
      </c>
      <c r="R827">
        <f>IF(COUNTIF($H$2:H827, H827)=1, 1, 0)</f>
        <v>0</v>
      </c>
      <c r="S827" t="str">
        <f>VLOOKUP(Продажи[[#This Row],[id клиента]],клиенты!$A$2:$D$435,4,0)</f>
        <v>нет</v>
      </c>
      <c r="T827" s="54">
        <f>VLOOKUP(Продажи[[#This Row],[id клиента]],клиенты!$A$2:$I$435,9,0)</f>
        <v>8.3121149897330593</v>
      </c>
    </row>
    <row r="828" spans="1:20" x14ac:dyDescent="0.25">
      <c r="A828">
        <v>827</v>
      </c>
      <c r="B828">
        <v>305</v>
      </c>
      <c r="C828">
        <v>252</v>
      </c>
      <c r="D828">
        <v>1</v>
      </c>
      <c r="E828" s="35">
        <v>1260</v>
      </c>
      <c r="F828" s="48">
        <v>45413</v>
      </c>
      <c r="G828" t="s">
        <v>18</v>
      </c>
      <c r="H828">
        <v>172</v>
      </c>
      <c r="I828" t="str">
        <f>VLOOKUP(Продажи[[#This Row],[id товара]],Товары[],2,0)</f>
        <v>Печенье</v>
      </c>
      <c r="J828" s="17">
        <f>AVERAGEIF(Продажи[Категория],Продажи[[#This Row],[Категория]],Продажи[цена за шт в рублях])</f>
        <v>283.468085106383</v>
      </c>
      <c r="K828" s="16">
        <f>Продажи[[#This Row],[цена за шт в рублях]]/Продажи[[#This Row],[Средняя цена в категории за шт]]-1</f>
        <v>-0.11101103355100206</v>
      </c>
      <c r="L828" t="str">
        <f>VLOOKUP(Продажи[[#This Row],[id товара]],Товары[],3,0)</f>
        <v>Посиделкино</v>
      </c>
      <c r="M828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828" s="16">
        <f>Продажи[[#This Row],[цена за шт в рублях]]/Продажи[[#This Row],[Средняя цена в категории за шт по поставщику]]-1</f>
        <v>-0.21650650084793666</v>
      </c>
      <c r="O828" s="48">
        <f>VLOOKUP(Продажи[[#This Row],[id клиента]],клиенты!$A$2:$E$435,5,0)</f>
        <v>44737</v>
      </c>
      <c r="P828">
        <f>Продажи[[#This Row],[дата создания чека]]-Продажи[[#This Row],[Дата регистрации]]</f>
        <v>676</v>
      </c>
      <c r="Q828" t="str">
        <f>VLOOKUP(Продажи[[#This Row],[id клиента]],клиенты!$A$2:$G$435,7,0)</f>
        <v>Россия</v>
      </c>
      <c r="R828">
        <f>IF(COUNTIF($H$2:H828, H828)=1, 1, 0)</f>
        <v>0</v>
      </c>
      <c r="S828" t="str">
        <f>VLOOKUP(Продажи[[#This Row],[id клиента]],клиенты!$A$2:$D$435,4,0)</f>
        <v>нет</v>
      </c>
      <c r="T828" s="54">
        <f>VLOOKUP(Продажи[[#This Row],[id клиента]],клиенты!$A$2:$I$435,9,0)</f>
        <v>22.209445585215605</v>
      </c>
    </row>
    <row r="829" spans="1:20" x14ac:dyDescent="0.25">
      <c r="A829">
        <v>828</v>
      </c>
      <c r="B829">
        <v>269</v>
      </c>
      <c r="C829">
        <v>398</v>
      </c>
      <c r="D829">
        <v>4</v>
      </c>
      <c r="E829" s="35">
        <v>7960</v>
      </c>
      <c r="F829" s="48">
        <v>45051</v>
      </c>
      <c r="G829" t="s">
        <v>23</v>
      </c>
      <c r="H829">
        <v>466</v>
      </c>
      <c r="I829" t="str">
        <f>VLOOKUP(Продажи[[#This Row],[id товара]],Товары[],2,0)</f>
        <v>Сахар</v>
      </c>
      <c r="J829" s="17">
        <f>AVERAGEIF(Продажи[Категория],Продажи[[#This Row],[Категория]],Продажи[цена за шт в рублях])</f>
        <v>252.76271186440678</v>
      </c>
      <c r="K829" s="16">
        <f>Продажи[[#This Row],[цена за шт в рублях]]/Продажи[[#This Row],[Средняя цена в категории за шт]]-1</f>
        <v>0.57459934285522696</v>
      </c>
      <c r="L829" t="str">
        <f>VLOOKUP(Продажи[[#This Row],[id товара]],Товары[],3,0)</f>
        <v>Русский сахар</v>
      </c>
      <c r="M829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829" s="16">
        <f>Продажи[[#This Row],[цена за шт в рублях]]/Продажи[[#This Row],[Средняя цена в категории за шт по поставщику]]-1</f>
        <v>0.35645549318364056</v>
      </c>
      <c r="O829" s="48">
        <f>VLOOKUP(Продажи[[#This Row],[id клиента]],клиенты!$A$2:$E$435,5,0)</f>
        <v>44772</v>
      </c>
      <c r="P829">
        <f>Продажи[[#This Row],[дата создания чека]]-Продажи[[#This Row],[Дата регистрации]]</f>
        <v>279</v>
      </c>
      <c r="Q829" t="str">
        <f>VLOOKUP(Продажи[[#This Row],[id клиента]],клиенты!$A$2:$G$435,7,0)</f>
        <v>Беларусь</v>
      </c>
      <c r="R829">
        <f>IF(COUNTIF($H$2:H829, H829)=1, 1, 0)</f>
        <v>0</v>
      </c>
      <c r="S829" t="str">
        <f>VLOOKUP(Продажи[[#This Row],[id клиента]],клиенты!$A$2:$D$435,4,0)</f>
        <v>да</v>
      </c>
      <c r="T829" s="54">
        <f>VLOOKUP(Продажи[[#This Row],[id клиента]],клиенты!$A$2:$I$435,9,0)</f>
        <v>9.2320328542094447</v>
      </c>
    </row>
    <row r="830" spans="1:20" x14ac:dyDescent="0.25">
      <c r="A830">
        <v>829</v>
      </c>
      <c r="B830">
        <v>380</v>
      </c>
      <c r="C830">
        <v>100</v>
      </c>
      <c r="D830">
        <v>2</v>
      </c>
      <c r="E830" s="35">
        <v>1000</v>
      </c>
      <c r="F830" s="48">
        <v>45082</v>
      </c>
      <c r="G830" t="s">
        <v>17</v>
      </c>
      <c r="H830">
        <v>57</v>
      </c>
      <c r="I830" t="str">
        <f>VLOOKUP(Продажи[[#This Row],[id товара]],Товары[],2,0)</f>
        <v>Конфеты</v>
      </c>
      <c r="J830" s="17">
        <f>AVERAGEIF(Продажи[Категория],Продажи[[#This Row],[Категория]],Продажи[цена за шт в рублях])</f>
        <v>267.85483870967744</v>
      </c>
      <c r="K830" s="16">
        <f>Продажи[[#This Row],[цена за шт в рублях]]/Продажи[[#This Row],[Средняя цена в категории за шт]]-1</f>
        <v>-0.62666345516950683</v>
      </c>
      <c r="L830" t="str">
        <f>VLOOKUP(Продажи[[#This Row],[id товара]],Товары[],3,0)</f>
        <v>Бабаевский</v>
      </c>
      <c r="M830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830" s="16">
        <f>Продажи[[#This Row],[цена за шт в рублях]]/Продажи[[#This Row],[Средняя цена в категории за шт по поставщику]]-1</f>
        <v>-0.60041438508213707</v>
      </c>
      <c r="O830" s="48">
        <f>VLOOKUP(Продажи[[#This Row],[id клиента]],клиенты!$A$2:$E$435,5,0)</f>
        <v>44669</v>
      </c>
      <c r="P830">
        <f>Продажи[[#This Row],[дата создания чека]]-Продажи[[#This Row],[Дата регистрации]]</f>
        <v>413</v>
      </c>
      <c r="Q830" t="str">
        <f>VLOOKUP(Продажи[[#This Row],[id клиента]],клиенты!$A$2:$G$435,7,0)</f>
        <v>Россия</v>
      </c>
      <c r="R830">
        <f>IF(COUNTIF($H$2:H830, H830)=1, 1, 0)</f>
        <v>0</v>
      </c>
      <c r="S830" t="str">
        <f>VLOOKUP(Продажи[[#This Row],[id клиента]],клиенты!$A$2:$D$435,4,0)</f>
        <v>нет</v>
      </c>
      <c r="T830" s="54">
        <f>VLOOKUP(Продажи[[#This Row],[id клиента]],клиенты!$A$2:$I$435,9,0)</f>
        <v>14.324435318275153</v>
      </c>
    </row>
    <row r="831" spans="1:20" x14ac:dyDescent="0.25">
      <c r="A831">
        <v>830</v>
      </c>
      <c r="B831">
        <v>44</v>
      </c>
      <c r="C831">
        <v>310</v>
      </c>
      <c r="D831">
        <v>3</v>
      </c>
      <c r="E831" s="35">
        <v>4650</v>
      </c>
      <c r="F831" s="48">
        <v>44971</v>
      </c>
      <c r="G831" t="s">
        <v>15</v>
      </c>
      <c r="H831">
        <v>48</v>
      </c>
      <c r="I831" t="str">
        <f>VLOOKUP(Продажи[[#This Row],[id товара]],Товары[],2,0)</f>
        <v>Молоко</v>
      </c>
      <c r="J831" s="17">
        <f>AVERAGEIF(Продажи[Категория],Продажи[[#This Row],[Категория]],Продажи[цена за шт в рублях])</f>
        <v>294.95238095238096</v>
      </c>
      <c r="K831" s="16">
        <f>Продажи[[#This Row],[цена за шт в рублях]]/Продажи[[#This Row],[Средняя цена в категории за шт]]-1</f>
        <v>5.1017113335485975E-2</v>
      </c>
      <c r="L831" t="str">
        <f>VLOOKUP(Продажи[[#This Row],[id товара]],Товары[],3,0)</f>
        <v>Беллакт</v>
      </c>
      <c r="M831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831" s="16">
        <f>Продажи[[#This Row],[цена за шт в рублях]]/Продажи[[#This Row],[Средняя цена в категории за шт по поставщику]]-1</f>
        <v>-3.8895152198421656E-2</v>
      </c>
      <c r="O831" s="48">
        <f>VLOOKUP(Продажи[[#This Row],[id клиента]],клиенты!$A$2:$E$435,5,0)</f>
        <v>44856</v>
      </c>
      <c r="P831">
        <f>Продажи[[#This Row],[дата создания чека]]-Продажи[[#This Row],[Дата регистрации]]</f>
        <v>115</v>
      </c>
      <c r="Q831" t="str">
        <f>VLOOKUP(Продажи[[#This Row],[id клиента]],клиенты!$A$2:$G$435,7,0)</f>
        <v>Узбекистан</v>
      </c>
      <c r="R831">
        <f>IF(COUNTIF($H$2:H831, H831)=1, 1, 0)</f>
        <v>1</v>
      </c>
      <c r="S831" t="str">
        <f>VLOOKUP(Продажи[[#This Row],[id клиента]],клиенты!$A$2:$D$435,4,0)</f>
        <v>нет</v>
      </c>
      <c r="T831" s="54">
        <f>VLOOKUP(Продажи[[#This Row],[id клиента]],клиенты!$A$2:$I$435,9,0)</f>
        <v>3.7782340862422998</v>
      </c>
    </row>
    <row r="832" spans="1:20" x14ac:dyDescent="0.25">
      <c r="A832">
        <v>831</v>
      </c>
      <c r="B832">
        <v>183</v>
      </c>
      <c r="C832">
        <v>286</v>
      </c>
      <c r="D832">
        <v>2</v>
      </c>
      <c r="E832" s="35">
        <v>2860</v>
      </c>
      <c r="F832" s="48">
        <v>44983</v>
      </c>
      <c r="G832" t="s">
        <v>22</v>
      </c>
      <c r="H832">
        <v>11</v>
      </c>
      <c r="I832" t="str">
        <f>VLOOKUP(Продажи[[#This Row],[id товара]],Товары[],2,0)</f>
        <v>Конфеты</v>
      </c>
      <c r="J832" s="17">
        <f>AVERAGEIF(Продажи[Категория],Продажи[[#This Row],[Категория]],Продажи[цена за шт в рублях])</f>
        <v>267.85483870967744</v>
      </c>
      <c r="K832" s="16">
        <f>Продажи[[#This Row],[цена за шт в рублях]]/Продажи[[#This Row],[Средняя цена в категории за шт]]-1</f>
        <v>6.774251821521049E-2</v>
      </c>
      <c r="L832" t="str">
        <f>VLOOKUP(Продажи[[#This Row],[id товара]],Товары[],3,0)</f>
        <v>Бабаевский</v>
      </c>
      <c r="M832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832" s="16">
        <f>Продажи[[#This Row],[цена за шт в рублях]]/Продажи[[#This Row],[Средняя цена в категории за шт по поставщику]]-1</f>
        <v>0.14281485866508792</v>
      </c>
      <c r="O832" s="48">
        <f>VLOOKUP(Продажи[[#This Row],[id клиента]],клиенты!$A$2:$E$435,5,0)</f>
        <v>44690</v>
      </c>
      <c r="P832">
        <f>Продажи[[#This Row],[дата создания чека]]-Продажи[[#This Row],[Дата регистрации]]</f>
        <v>293</v>
      </c>
      <c r="Q832" t="str">
        <f>VLOOKUP(Продажи[[#This Row],[id клиента]],клиенты!$A$2:$G$435,7,0)</f>
        <v>Таджикистан</v>
      </c>
      <c r="R832">
        <f>IF(COUNTIF($H$2:H832, H832)=1, 1, 0)</f>
        <v>0</v>
      </c>
      <c r="S832" t="str">
        <f>VLOOKUP(Продажи[[#This Row],[id клиента]],клиенты!$A$2:$D$435,4,0)</f>
        <v>нет</v>
      </c>
      <c r="T832" s="54">
        <f>VLOOKUP(Продажи[[#This Row],[id клиента]],клиенты!$A$2:$I$435,9,0)</f>
        <v>22.04517453798768</v>
      </c>
    </row>
    <row r="833" spans="1:20" x14ac:dyDescent="0.25">
      <c r="A833">
        <v>832</v>
      </c>
      <c r="B833">
        <v>65</v>
      </c>
      <c r="C833">
        <v>201</v>
      </c>
      <c r="D833">
        <v>2</v>
      </c>
      <c r="E833" s="35">
        <v>2010</v>
      </c>
      <c r="F833" s="48">
        <v>45296</v>
      </c>
      <c r="G833" t="s">
        <v>9</v>
      </c>
      <c r="H833">
        <v>125</v>
      </c>
      <c r="I833" t="str">
        <f>VLOOKUP(Продажи[[#This Row],[id товара]],Товары[],2,0)</f>
        <v>Хлеб</v>
      </c>
      <c r="J833" s="17">
        <f>AVERAGEIF(Продажи[Категория],Продажи[[#This Row],[Категория]],Продажи[цена за шт в рублях])</f>
        <v>300.31818181818181</v>
      </c>
      <c r="K833" s="16">
        <f>Продажи[[#This Row],[цена за шт в рублях]]/Продажи[[#This Row],[Средняя цена в категории за шт]]-1</f>
        <v>-0.33070985318601487</v>
      </c>
      <c r="L833" t="str">
        <f>VLOOKUP(Продажи[[#This Row],[id товара]],Товары[],3,0)</f>
        <v>Хлебный Дом</v>
      </c>
      <c r="M833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833" s="16">
        <f>Продажи[[#This Row],[цена за шт в рублях]]/Продажи[[#This Row],[Средняя цена в категории за шт по поставщику]]-1</f>
        <v>-0.28655939422621868</v>
      </c>
      <c r="O833" s="48">
        <f>VLOOKUP(Продажи[[#This Row],[id клиента]],клиенты!$A$2:$E$435,5,0)</f>
        <v>44701</v>
      </c>
      <c r="P833">
        <f>Продажи[[#This Row],[дата создания чека]]-Продажи[[#This Row],[Дата регистрации]]</f>
        <v>595</v>
      </c>
      <c r="Q833" t="str">
        <f>VLOOKUP(Продажи[[#This Row],[id клиента]],клиенты!$A$2:$G$435,7,0)</f>
        <v>Россия</v>
      </c>
      <c r="R833">
        <f>IF(COUNTIF($H$2:H833, H833)=1, 1, 0)</f>
        <v>0</v>
      </c>
      <c r="S833" t="str">
        <f>VLOOKUP(Продажи[[#This Row],[id клиента]],клиенты!$A$2:$D$435,4,0)</f>
        <v>нет</v>
      </c>
      <c r="T833" s="54">
        <f>VLOOKUP(Продажи[[#This Row],[id клиента]],клиенты!$A$2:$I$435,9,0)</f>
        <v>19.548254620123203</v>
      </c>
    </row>
    <row r="834" spans="1:20" x14ac:dyDescent="0.25">
      <c r="A834">
        <v>833</v>
      </c>
      <c r="B834">
        <v>425</v>
      </c>
      <c r="C834">
        <v>258</v>
      </c>
      <c r="D834">
        <v>4</v>
      </c>
      <c r="E834" s="35">
        <v>5160</v>
      </c>
      <c r="F834" s="48">
        <v>45128</v>
      </c>
      <c r="G834" t="s">
        <v>23</v>
      </c>
      <c r="H834">
        <v>72</v>
      </c>
      <c r="I834" t="str">
        <f>VLOOKUP(Продажи[[#This Row],[id товара]],Товары[],2,0)</f>
        <v>Соль</v>
      </c>
      <c r="J834" s="17">
        <f>AVERAGEIF(Продажи[Категория],Продажи[[#This Row],[Категория]],Продажи[цена за шт в рублях])</f>
        <v>264.8679245283019</v>
      </c>
      <c r="K834" s="16">
        <f>Продажи[[#This Row],[цена за шт в рублях]]/Продажи[[#This Row],[Средняя цена в категории за шт]]-1</f>
        <v>-2.5929619603932252E-2</v>
      </c>
      <c r="L834" t="str">
        <f>VLOOKUP(Продажи[[#This Row],[id товара]],Товары[],3,0)</f>
        <v>Экстра</v>
      </c>
      <c r="M834" s="32">
        <f>AVERAGEIFS(Продажи[цена за шт в рублях],Продажи[Категория],Продажи[[#This Row],[Категория]],Продажи[Поставщик],Продажи[[#This Row],[Поставщик]])</f>
        <v>320.84615384615387</v>
      </c>
      <c r="N834" s="16">
        <f>Продажи[[#This Row],[цена за шт в рублях]]/Продажи[[#This Row],[Средняя цена в категории за шт по поставщику]]-1</f>
        <v>-0.1958762886597939</v>
      </c>
      <c r="O834" s="48">
        <f>VLOOKUP(Продажи[[#This Row],[id клиента]],клиенты!$A$2:$E$435,5,0)</f>
        <v>44906</v>
      </c>
      <c r="P834">
        <f>Продажи[[#This Row],[дата создания чека]]-Продажи[[#This Row],[Дата регистрации]]</f>
        <v>222</v>
      </c>
      <c r="Q834" t="str">
        <f>VLOOKUP(Продажи[[#This Row],[id клиента]],клиенты!$A$2:$G$435,7,0)</f>
        <v>Таджикистан</v>
      </c>
      <c r="R834">
        <f>IF(COUNTIF($H$2:H834, H834)=1, 1, 0)</f>
        <v>0</v>
      </c>
      <c r="S834" t="str">
        <f>VLOOKUP(Продажи[[#This Row],[id клиента]],клиенты!$A$2:$D$435,4,0)</f>
        <v>да</v>
      </c>
      <c r="T834" s="54">
        <f>VLOOKUP(Продажи[[#This Row],[id клиента]],клиенты!$A$2:$I$435,9,0)</f>
        <v>13.470225872689939</v>
      </c>
    </row>
    <row r="835" spans="1:20" x14ac:dyDescent="0.25">
      <c r="A835">
        <v>834</v>
      </c>
      <c r="B835">
        <v>230</v>
      </c>
      <c r="C835">
        <v>179</v>
      </c>
      <c r="D835">
        <v>4</v>
      </c>
      <c r="E835" s="35">
        <v>3580</v>
      </c>
      <c r="F835" s="48">
        <v>45395</v>
      </c>
      <c r="G835" t="s">
        <v>27</v>
      </c>
      <c r="H835">
        <v>68</v>
      </c>
      <c r="I835" t="str">
        <f>VLOOKUP(Продажи[[#This Row],[id товара]],Товары[],2,0)</f>
        <v>Сок</v>
      </c>
      <c r="J835" s="17">
        <f>AVERAGEIF(Продажи[Категория],Продажи[[#This Row],[Категория]],Продажи[цена за шт в рублях])</f>
        <v>268.60344827586209</v>
      </c>
      <c r="K835" s="16">
        <f>Продажи[[#This Row],[цена за шт в рублях]]/Продажи[[#This Row],[Средняя цена в категории за шт]]-1</f>
        <v>-0.33359008922267164</v>
      </c>
      <c r="L835" t="str">
        <f>VLOOKUP(Продажи[[#This Row],[id товара]],Товары[],3,0)</f>
        <v>Фруктовый сад</v>
      </c>
      <c r="M83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835" s="16">
        <f>Продажи[[#This Row],[цена за шт в рублях]]/Продажи[[#This Row],[Средняя цена в категории за шт по поставщику]]-1</f>
        <v>-0.36517787875429453</v>
      </c>
      <c r="O835" s="48">
        <f>VLOOKUP(Продажи[[#This Row],[id клиента]],клиенты!$A$2:$E$435,5,0)</f>
        <v>44882</v>
      </c>
      <c r="P835">
        <f>Продажи[[#This Row],[дата создания чека]]-Продажи[[#This Row],[Дата регистрации]]</f>
        <v>513</v>
      </c>
      <c r="Q835" t="str">
        <f>VLOOKUP(Продажи[[#This Row],[id клиента]],клиенты!$A$2:$G$435,7,0)</f>
        <v>Узбекистан</v>
      </c>
      <c r="R835">
        <f>IF(COUNTIF($H$2:H835, H835)=1, 1, 0)</f>
        <v>0</v>
      </c>
      <c r="S835" t="str">
        <f>VLOOKUP(Продажи[[#This Row],[id клиента]],клиенты!$A$2:$D$435,4,0)</f>
        <v>да</v>
      </c>
      <c r="T835" s="54">
        <f>VLOOKUP(Продажи[[#This Row],[id клиента]],клиенты!$A$2:$I$435,9,0)</f>
        <v>16.854209445585216</v>
      </c>
    </row>
    <row r="836" spans="1:20" x14ac:dyDescent="0.25">
      <c r="A836">
        <v>835</v>
      </c>
      <c r="B836">
        <v>497</v>
      </c>
      <c r="C836">
        <v>113</v>
      </c>
      <c r="D836">
        <v>2</v>
      </c>
      <c r="E836" s="35">
        <v>1130</v>
      </c>
      <c r="F836" s="48">
        <v>45243</v>
      </c>
      <c r="G836" t="s">
        <v>25</v>
      </c>
      <c r="H836">
        <v>219</v>
      </c>
      <c r="I836" t="str">
        <f>VLOOKUP(Продажи[[#This Row],[id товара]],Товары[],2,0)</f>
        <v>Конфеты</v>
      </c>
      <c r="J836" s="17">
        <f>AVERAGEIF(Продажи[Категория],Продажи[[#This Row],[Категория]],Продажи[цена за шт в рублях])</f>
        <v>267.85483870967744</v>
      </c>
      <c r="K836" s="16">
        <f>Продажи[[#This Row],[цена за шт в рублях]]/Продажи[[#This Row],[Средняя цена в категории за шт]]-1</f>
        <v>-0.57812970434154276</v>
      </c>
      <c r="L836" t="str">
        <f>VLOOKUP(Продажи[[#This Row],[id товара]],Товары[],3,0)</f>
        <v>Бабаевский</v>
      </c>
      <c r="M836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836" s="16">
        <f>Продажи[[#This Row],[цена за шт в рублях]]/Продажи[[#This Row],[Средняя цена в категории за шт по поставщику]]-1</f>
        <v>-0.54846825514281483</v>
      </c>
      <c r="O836" s="48">
        <f>VLOOKUP(Продажи[[#This Row],[id клиента]],клиенты!$A$2:$E$435,5,0)</f>
        <v>44585</v>
      </c>
      <c r="P836">
        <f>Продажи[[#This Row],[дата создания чека]]-Продажи[[#This Row],[Дата регистрации]]</f>
        <v>658</v>
      </c>
      <c r="Q836" t="str">
        <f>VLOOKUP(Продажи[[#This Row],[id клиента]],клиенты!$A$2:$G$435,7,0)</f>
        <v>Таджикистан</v>
      </c>
      <c r="R836">
        <f>IF(COUNTIF($H$2:H836, H836)=1, 1, 0)</f>
        <v>0</v>
      </c>
      <c r="S836" t="str">
        <f>VLOOKUP(Продажи[[#This Row],[id клиента]],клиенты!$A$2:$D$435,4,0)</f>
        <v>да</v>
      </c>
      <c r="T836" s="54">
        <f>VLOOKUP(Продажи[[#This Row],[id клиента]],клиенты!$A$2:$I$435,9,0)</f>
        <v>24.542094455852155</v>
      </c>
    </row>
    <row r="837" spans="1:20" x14ac:dyDescent="0.25">
      <c r="A837">
        <v>836</v>
      </c>
      <c r="B837">
        <v>82</v>
      </c>
      <c r="C837">
        <v>73</v>
      </c>
      <c r="D837">
        <v>1</v>
      </c>
      <c r="E837" s="35">
        <v>365</v>
      </c>
      <c r="F837" s="48">
        <v>45159</v>
      </c>
      <c r="G837" t="s">
        <v>16</v>
      </c>
      <c r="H837">
        <v>218</v>
      </c>
      <c r="I837" t="str">
        <f>VLOOKUP(Продажи[[#This Row],[id товара]],Товары[],2,0)</f>
        <v>Сыр</v>
      </c>
      <c r="J837" s="17">
        <f>AVERAGEIF(Продажи[Категория],Продажи[[#This Row],[Категория]],Продажи[цена за шт в рублях])</f>
        <v>262.63492063492066</v>
      </c>
      <c r="K837" s="16">
        <f>Продажи[[#This Row],[цена за шт в рублях]]/Продажи[[#This Row],[Средняя цена в категории за шт]]-1</f>
        <v>-0.72204762480357787</v>
      </c>
      <c r="L837" t="str">
        <f>VLOOKUP(Продажи[[#This Row],[id товара]],Товары[],3,0)</f>
        <v>Hochland</v>
      </c>
      <c r="M837" s="32">
        <f>AVERAGEIFS(Продажи[цена за шт в рублях],Продажи[Категория],Продажи[[#This Row],[Категория]],Продажи[Поставщик],Продажи[[#This Row],[Поставщик]])</f>
        <v>168</v>
      </c>
      <c r="N837" s="16">
        <f>Продажи[[#This Row],[цена за шт в рублях]]/Продажи[[#This Row],[Средняя цена в категории за шт по поставщику]]-1</f>
        <v>-0.56547619047619047</v>
      </c>
      <c r="O837" s="48">
        <f>VLOOKUP(Продажи[[#This Row],[id клиента]],клиенты!$A$2:$E$435,5,0)</f>
        <v>44721</v>
      </c>
      <c r="P837">
        <f>Продажи[[#This Row],[дата создания чека]]-Продажи[[#This Row],[Дата регистрации]]</f>
        <v>438</v>
      </c>
      <c r="Q837" t="str">
        <f>VLOOKUP(Продажи[[#This Row],[id клиента]],клиенты!$A$2:$G$435,7,0)</f>
        <v>Узбекистан</v>
      </c>
      <c r="R837">
        <f>IF(COUNTIF($H$2:H837, H837)=1, 1, 0)</f>
        <v>0</v>
      </c>
      <c r="S837" t="str">
        <f>VLOOKUP(Продажи[[#This Row],[id клиента]],клиенты!$A$2:$D$435,4,0)</f>
        <v>нет</v>
      </c>
      <c r="T837" s="54">
        <f>VLOOKUP(Продажи[[#This Row],[id клиента]],клиенты!$A$2:$I$435,9,0)</f>
        <v>14.390143737166325</v>
      </c>
    </row>
    <row r="838" spans="1:20" x14ac:dyDescent="0.25">
      <c r="A838">
        <v>837</v>
      </c>
      <c r="B838">
        <v>104</v>
      </c>
      <c r="C838">
        <v>420</v>
      </c>
      <c r="D838">
        <v>2</v>
      </c>
      <c r="E838" s="35">
        <v>4200</v>
      </c>
      <c r="F838" s="48">
        <v>45427</v>
      </c>
      <c r="G838" t="s">
        <v>10</v>
      </c>
      <c r="H838">
        <v>26</v>
      </c>
      <c r="I838" t="str">
        <f>VLOOKUP(Продажи[[#This Row],[id товара]],Товары[],2,0)</f>
        <v>Йогурт</v>
      </c>
      <c r="J838" s="17">
        <f>AVERAGEIF(Продажи[Категория],Продажи[[#This Row],[Категория]],Продажи[цена за шт в рублях])</f>
        <v>263.25423728813558</v>
      </c>
      <c r="K838" s="16">
        <f>Продажи[[#This Row],[цена за шт в рублях]]/Продажи[[#This Row],[Средняя цена в категории за шт]]-1</f>
        <v>0.59541591552923001</v>
      </c>
      <c r="L838" t="str">
        <f>VLOOKUP(Продажи[[#This Row],[id товара]],Товары[],3,0)</f>
        <v>Ростагроэкспорт</v>
      </c>
      <c r="M838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838" s="16">
        <f>Продажи[[#This Row],[цена за шт в рублях]]/Продажи[[#This Row],[Средняя цена в категории за шт по поставщику]]-1</f>
        <v>0.62927981109799291</v>
      </c>
      <c r="O838" s="48">
        <f>VLOOKUP(Продажи[[#This Row],[id клиента]],клиенты!$A$2:$E$435,5,0)</f>
        <v>44819</v>
      </c>
      <c r="P838">
        <f>Продажи[[#This Row],[дата создания чека]]-Продажи[[#This Row],[Дата регистрации]]</f>
        <v>608</v>
      </c>
      <c r="Q838" t="str">
        <f>VLOOKUP(Продажи[[#This Row],[id клиента]],клиенты!$A$2:$G$435,7,0)</f>
        <v>Таджикистан</v>
      </c>
      <c r="R838">
        <f>IF(COUNTIF($H$2:H838, H838)=1, 1, 0)</f>
        <v>1</v>
      </c>
      <c r="S838" t="str">
        <f>VLOOKUP(Продажи[[#This Row],[id клиента]],клиенты!$A$2:$D$435,4,0)</f>
        <v>да</v>
      </c>
      <c r="T838" s="54">
        <f>VLOOKUP(Продажи[[#This Row],[id клиента]],клиенты!$A$2:$I$435,9,0)</f>
        <v>19.975359342915812</v>
      </c>
    </row>
    <row r="839" spans="1:20" x14ac:dyDescent="0.25">
      <c r="A839">
        <v>838</v>
      </c>
      <c r="B839">
        <v>364</v>
      </c>
      <c r="C839">
        <v>496</v>
      </c>
      <c r="D839">
        <v>1</v>
      </c>
      <c r="E839" s="35">
        <v>2480</v>
      </c>
      <c r="F839" s="48">
        <v>45060</v>
      </c>
      <c r="G839" t="s">
        <v>10</v>
      </c>
      <c r="H839">
        <v>417</v>
      </c>
      <c r="I839" t="str">
        <f>VLOOKUP(Продажи[[#This Row],[id товара]],Товары[],2,0)</f>
        <v>Сахар</v>
      </c>
      <c r="J839" s="17">
        <f>AVERAGEIF(Продажи[Категория],Продажи[[#This Row],[Категория]],Продажи[цена за шт в рублях])</f>
        <v>252.76271186440678</v>
      </c>
      <c r="K839" s="16">
        <f>Продажи[[#This Row],[цена за шт в рублях]]/Продажи[[#This Row],[Средняя цена в категории за шт]]-1</f>
        <v>0.96231475893515728</v>
      </c>
      <c r="L839" t="str">
        <f>VLOOKUP(Продажи[[#This Row],[id товара]],Товары[],3,0)</f>
        <v>Русский сахар</v>
      </c>
      <c r="M839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839" s="16">
        <f>Продажи[[#This Row],[цена за шт в рублях]]/Продажи[[#This Row],[Средняя цена в категории за шт по поставщику]]-1</f>
        <v>0.69045709703287872</v>
      </c>
      <c r="O839" s="48">
        <f>VLOOKUP(Продажи[[#This Row],[id клиента]],клиенты!$A$2:$E$435,5,0)</f>
        <v>44608</v>
      </c>
      <c r="P839">
        <f>Продажи[[#This Row],[дата создания чека]]-Продажи[[#This Row],[Дата регистрации]]</f>
        <v>452</v>
      </c>
      <c r="Q839" t="str">
        <f>VLOOKUP(Продажи[[#This Row],[id клиента]],клиенты!$A$2:$G$435,7,0)</f>
        <v>Таджикистан</v>
      </c>
      <c r="R839">
        <f>IF(COUNTIF($H$2:H839, H839)=1, 1, 0)</f>
        <v>1</v>
      </c>
      <c r="S839" t="str">
        <f>VLOOKUP(Продажи[[#This Row],[id клиента]],клиенты!$A$2:$D$435,4,0)</f>
        <v>нет</v>
      </c>
      <c r="T839" s="54">
        <f>VLOOKUP(Продажи[[#This Row],[id клиента]],клиенты!$A$2:$I$435,9,0)</f>
        <v>14.850102669404517</v>
      </c>
    </row>
    <row r="840" spans="1:20" x14ac:dyDescent="0.25">
      <c r="A840">
        <v>839</v>
      </c>
      <c r="B840">
        <v>334</v>
      </c>
      <c r="C840">
        <v>223</v>
      </c>
      <c r="D840">
        <v>2</v>
      </c>
      <c r="E840" s="35">
        <v>2230</v>
      </c>
      <c r="F840" s="48">
        <v>45234</v>
      </c>
      <c r="G840" t="s">
        <v>12</v>
      </c>
      <c r="H840">
        <v>216</v>
      </c>
      <c r="I840" t="str">
        <f>VLOOKUP(Продажи[[#This Row],[id товара]],Товары[],2,0)</f>
        <v>Молоко</v>
      </c>
      <c r="J840" s="17">
        <f>AVERAGEIF(Продажи[Категория],Продажи[[#This Row],[Категория]],Продажи[цена за шт в рублях])</f>
        <v>294.95238095238096</v>
      </c>
      <c r="K840" s="16">
        <f>Продажи[[#This Row],[цена за шт в рублях]]/Продажи[[#This Row],[Средняя цена в категории за шт]]-1</f>
        <v>-0.24394575395544082</v>
      </c>
      <c r="L840" t="str">
        <f>VLOOKUP(Продажи[[#This Row],[id товара]],Товары[],3,0)</f>
        <v>Домик в деревне</v>
      </c>
      <c r="M840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840" s="16">
        <f>Продажи[[#This Row],[цена за шт в рублях]]/Продажи[[#This Row],[Средняя цена в категории за шт по поставщику]]-1</f>
        <v>-0.18843509906995548</v>
      </c>
      <c r="O840" s="48">
        <f>VLOOKUP(Продажи[[#This Row],[id клиента]],клиенты!$A$2:$E$435,5,0)</f>
        <v>44655</v>
      </c>
      <c r="P840">
        <f>Продажи[[#This Row],[дата создания чека]]-Продажи[[#This Row],[Дата регистрации]]</f>
        <v>579</v>
      </c>
      <c r="Q840" t="str">
        <f>VLOOKUP(Продажи[[#This Row],[id клиента]],клиенты!$A$2:$G$435,7,0)</f>
        <v>Таджикистан</v>
      </c>
      <c r="R840">
        <f>IF(COUNTIF($H$2:H840, H840)=1, 1, 0)</f>
        <v>0</v>
      </c>
      <c r="S840" t="str">
        <f>VLOOKUP(Продажи[[#This Row],[id клиента]],клиенты!$A$2:$D$435,4,0)</f>
        <v>нет</v>
      </c>
      <c r="T840" s="54">
        <f>VLOOKUP(Продажи[[#This Row],[id клиента]],клиенты!$A$2:$I$435,9,0)</f>
        <v>19.022587268993838</v>
      </c>
    </row>
    <row r="841" spans="1:20" x14ac:dyDescent="0.25">
      <c r="A841">
        <v>840</v>
      </c>
      <c r="B841">
        <v>356</v>
      </c>
      <c r="C841">
        <v>97</v>
      </c>
      <c r="D841">
        <v>2</v>
      </c>
      <c r="E841" s="35">
        <v>970</v>
      </c>
      <c r="F841" s="48">
        <v>45032</v>
      </c>
      <c r="G841" t="s">
        <v>11</v>
      </c>
      <c r="H841">
        <v>491</v>
      </c>
      <c r="I841" t="str">
        <f>VLOOKUP(Продажи[[#This Row],[id товара]],Товары[],2,0)</f>
        <v>Печенье</v>
      </c>
      <c r="J841" s="17">
        <f>AVERAGEIF(Продажи[Категория],Продажи[[#This Row],[Категория]],Продажи[цена за шт в рублях])</f>
        <v>283.468085106383</v>
      </c>
      <c r="K841" s="16">
        <f>Продажи[[#This Row],[цена за шт в рублях]]/Продажи[[#This Row],[Средняя цена в категории за шт]]-1</f>
        <v>-0.65780980259701272</v>
      </c>
      <c r="L841" t="str">
        <f>VLOOKUP(Продажи[[#This Row],[id товара]],Товары[],3,0)</f>
        <v>Посиделкино</v>
      </c>
      <c r="M841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841" s="16">
        <f>Продажи[[#This Row],[цена за шт в рублях]]/Продажи[[#This Row],[Средняя цена в категории за шт по поставщику]]-1</f>
        <v>-0.69841718485019788</v>
      </c>
      <c r="O841" s="48">
        <f>VLOOKUP(Продажи[[#This Row],[id клиента]],клиенты!$A$2:$E$435,5,0)</f>
        <v>44752</v>
      </c>
      <c r="P841">
        <f>Продажи[[#This Row],[дата создания чека]]-Продажи[[#This Row],[Дата регистрации]]</f>
        <v>280</v>
      </c>
      <c r="Q841" t="str">
        <f>VLOOKUP(Продажи[[#This Row],[id клиента]],клиенты!$A$2:$G$435,7,0)</f>
        <v>Россия</v>
      </c>
      <c r="R841">
        <f>IF(COUNTIF($H$2:H841, H841)=1, 1, 0)</f>
        <v>1</v>
      </c>
      <c r="S841" t="str">
        <f>VLOOKUP(Продажи[[#This Row],[id клиента]],клиенты!$A$2:$D$435,4,0)</f>
        <v>да</v>
      </c>
      <c r="T841" s="54">
        <f>VLOOKUP(Продажи[[#This Row],[id клиента]],клиенты!$A$2:$I$435,9,0)</f>
        <v>9.1991786447638599</v>
      </c>
    </row>
    <row r="842" spans="1:20" x14ac:dyDescent="0.25">
      <c r="A842">
        <v>841</v>
      </c>
      <c r="B842">
        <v>446</v>
      </c>
      <c r="C842">
        <v>445</v>
      </c>
      <c r="D842">
        <v>5</v>
      </c>
      <c r="E842" s="35">
        <v>11125</v>
      </c>
      <c r="F842" s="48">
        <v>44993</v>
      </c>
      <c r="G842" t="s">
        <v>23</v>
      </c>
      <c r="H842">
        <v>307</v>
      </c>
      <c r="I842" t="str">
        <f>VLOOKUP(Продажи[[#This Row],[id товара]],Товары[],2,0)</f>
        <v>Чипсы</v>
      </c>
      <c r="J842" s="17">
        <f>AVERAGEIF(Продажи[Категория],Продажи[[#This Row],[Категория]],Продажи[цена за шт в рублях])</f>
        <v>273.72549019607845</v>
      </c>
      <c r="K842" s="16">
        <f>Продажи[[#This Row],[цена за шт в рублях]]/Продажи[[#This Row],[Средняя цена в категории за шт]]-1</f>
        <v>0.62571633237822333</v>
      </c>
      <c r="L842" t="str">
        <f>VLOOKUP(Продажи[[#This Row],[id товара]],Товары[],3,0)</f>
        <v>Lay's</v>
      </c>
      <c r="M842" s="32">
        <f>AVERAGEIFS(Продажи[цена за шт в рублях],Продажи[Категория],Продажи[[#This Row],[Категория]],Продажи[Поставщик],Продажи[[#This Row],[Поставщик]])</f>
        <v>320.57142857142856</v>
      </c>
      <c r="N842" s="16">
        <f>Продажи[[#This Row],[цена за шт в рублях]]/Продажи[[#This Row],[Средняя цена в категории за шт по поставщику]]-1</f>
        <v>0.3881461675579323</v>
      </c>
      <c r="O842" s="48">
        <f>VLOOKUP(Продажи[[#This Row],[id клиента]],клиенты!$A$2:$E$435,5,0)</f>
        <v>44764</v>
      </c>
      <c r="P842">
        <f>Продажи[[#This Row],[дата создания чека]]-Продажи[[#This Row],[Дата регистрации]]</f>
        <v>229</v>
      </c>
      <c r="Q842" t="str">
        <f>VLOOKUP(Продажи[[#This Row],[id клиента]],клиенты!$A$2:$G$435,7,0)</f>
        <v>Беларусь</v>
      </c>
      <c r="R842">
        <f>IF(COUNTIF($H$2:H842, H842)=1, 1, 0)</f>
        <v>0</v>
      </c>
      <c r="S842" t="str">
        <f>VLOOKUP(Продажи[[#This Row],[id клиента]],клиенты!$A$2:$D$435,4,0)</f>
        <v>да</v>
      </c>
      <c r="T842" s="54">
        <f>VLOOKUP(Продажи[[#This Row],[id клиента]],клиенты!$A$2:$I$435,9,0)</f>
        <v>16.755646817248461</v>
      </c>
    </row>
    <row r="843" spans="1:20" x14ac:dyDescent="0.25">
      <c r="A843">
        <v>842</v>
      </c>
      <c r="B843">
        <v>88</v>
      </c>
      <c r="C843">
        <v>206</v>
      </c>
      <c r="D843">
        <v>4</v>
      </c>
      <c r="E843" s="35">
        <v>4120</v>
      </c>
      <c r="F843" s="48">
        <v>45237</v>
      </c>
      <c r="G843" t="s">
        <v>23</v>
      </c>
      <c r="H843">
        <v>492</v>
      </c>
      <c r="I843" t="str">
        <f>VLOOKUP(Продажи[[#This Row],[id товара]],Товары[],2,0)</f>
        <v>Крупа</v>
      </c>
      <c r="J843" s="17">
        <f>AVERAGEIF(Продажи[Категория],Продажи[[#This Row],[Категория]],Продажи[цена за шт в рублях])</f>
        <v>255.11627906976744</v>
      </c>
      <c r="K843" s="16">
        <f>Продажи[[#This Row],[цена за шт в рублях]]/Продажи[[#This Row],[Средняя цена в категории за шт]]-1</f>
        <v>-0.1925250683682771</v>
      </c>
      <c r="L843" t="str">
        <f>VLOOKUP(Продажи[[#This Row],[id товара]],Товары[],3,0)</f>
        <v>Мистраль</v>
      </c>
      <c r="M843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843" s="16">
        <f>Продажи[[#This Row],[цена за шт в рублях]]/Продажи[[#This Row],[Средняя цена в категории за шт по поставщику]]-1</f>
        <v>-0.17701290719114937</v>
      </c>
      <c r="O843" s="48">
        <f>VLOOKUP(Продажи[[#This Row],[id клиента]],клиенты!$A$2:$E$435,5,0)</f>
        <v>44688</v>
      </c>
      <c r="P843">
        <f>Продажи[[#This Row],[дата создания чека]]-Продажи[[#This Row],[Дата регистрации]]</f>
        <v>549</v>
      </c>
      <c r="Q843" t="str">
        <f>VLOOKUP(Продажи[[#This Row],[id клиента]],клиенты!$A$2:$G$435,7,0)</f>
        <v>Украина</v>
      </c>
      <c r="R843">
        <f>IF(COUNTIF($H$2:H843, H843)=1, 1, 0)</f>
        <v>1</v>
      </c>
      <c r="S843" t="str">
        <f>VLOOKUP(Продажи[[#This Row],[id клиента]],клиенты!$A$2:$D$435,4,0)</f>
        <v>да</v>
      </c>
      <c r="T843" s="54">
        <f>VLOOKUP(Продажи[[#This Row],[id клиента]],клиенты!$A$2:$I$435,9,0)</f>
        <v>18.036960985626283</v>
      </c>
    </row>
    <row r="844" spans="1:20" x14ac:dyDescent="0.25">
      <c r="A844">
        <v>843</v>
      </c>
      <c r="B844">
        <v>347</v>
      </c>
      <c r="C844">
        <v>265</v>
      </c>
      <c r="D844">
        <v>1</v>
      </c>
      <c r="E844" s="35">
        <v>1325</v>
      </c>
      <c r="F844" s="48">
        <v>45390</v>
      </c>
      <c r="G844" t="s">
        <v>19</v>
      </c>
      <c r="H844">
        <v>264</v>
      </c>
      <c r="I844" t="str">
        <f>VLOOKUP(Продажи[[#This Row],[id товара]],Товары[],2,0)</f>
        <v>Макароны</v>
      </c>
      <c r="J844" s="17">
        <f>AVERAGEIF(Продажи[Категория],Продажи[[#This Row],[Категория]],Продажи[цена за шт в рублях])</f>
        <v>265.47674418604652</v>
      </c>
      <c r="K844" s="16">
        <f>Продажи[[#This Row],[цена за шт в рублях]]/Продажи[[#This Row],[Средняя цена в категории за шт]]-1</f>
        <v>-1.7958039507687262E-3</v>
      </c>
      <c r="L844" t="str">
        <f>VLOOKUP(Продажи[[#This Row],[id товара]],Товары[],3,0)</f>
        <v>Паста Зара</v>
      </c>
      <c r="M844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844" s="16">
        <f>Продажи[[#This Row],[цена за шт в рублях]]/Продажи[[#This Row],[Средняя цена в категории за шт по поставщику]]-1</f>
        <v>-4.2199863241183966E-2</v>
      </c>
      <c r="O844" s="48">
        <f>VLOOKUP(Продажи[[#This Row],[id клиента]],клиенты!$A$2:$E$435,5,0)</f>
        <v>44907</v>
      </c>
      <c r="P844">
        <f>Продажи[[#This Row],[дата создания чека]]-Продажи[[#This Row],[Дата регистрации]]</f>
        <v>483</v>
      </c>
      <c r="Q844" t="str">
        <f>VLOOKUP(Продажи[[#This Row],[id клиента]],клиенты!$A$2:$G$435,7,0)</f>
        <v>Беларусь</v>
      </c>
      <c r="R844">
        <f>IF(COUNTIF($H$2:H844, H844)=1, 1, 0)</f>
        <v>0</v>
      </c>
      <c r="S844" t="str">
        <f>VLOOKUP(Продажи[[#This Row],[id клиента]],клиенты!$A$2:$D$435,4,0)</f>
        <v>нет</v>
      </c>
      <c r="T844" s="54">
        <f>VLOOKUP(Продажи[[#This Row],[id клиента]],клиенты!$A$2:$I$435,9,0)</f>
        <v>15.868583162217659</v>
      </c>
    </row>
    <row r="845" spans="1:20" x14ac:dyDescent="0.25">
      <c r="A845">
        <v>844</v>
      </c>
      <c r="B845">
        <v>342</v>
      </c>
      <c r="C845">
        <v>269</v>
      </c>
      <c r="D845">
        <v>4</v>
      </c>
      <c r="E845" s="35">
        <v>5380</v>
      </c>
      <c r="F845" s="48">
        <v>45093</v>
      </c>
      <c r="G845" t="s">
        <v>21</v>
      </c>
      <c r="H845">
        <v>190</v>
      </c>
      <c r="I845" t="str">
        <f>VLOOKUP(Продажи[[#This Row],[id товара]],Товары[],2,0)</f>
        <v>Овощи</v>
      </c>
      <c r="J845" s="17">
        <f>AVERAGEIF(Продажи[Категория],Продажи[[#This Row],[Категория]],Продажи[цена за шт в рублях])</f>
        <v>250.48780487804879</v>
      </c>
      <c r="K845" s="16">
        <f>Продажи[[#This Row],[цена за шт в рублях]]/Продажи[[#This Row],[Средняя цена в категории за шт]]-1</f>
        <v>7.3904576436222058E-2</v>
      </c>
      <c r="L845" t="str">
        <f>VLOOKUP(Продажи[[#This Row],[id товара]],Товары[],3,0)</f>
        <v>Овощной ряд</v>
      </c>
      <c r="M845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845" s="16">
        <f>Продажи[[#This Row],[цена за шт в рублях]]/Продажи[[#This Row],[Средняя цена в категории за шт по поставщику]]-1</f>
        <v>-0.11461761858664077</v>
      </c>
      <c r="O845" s="48">
        <f>VLOOKUP(Продажи[[#This Row],[id клиента]],клиенты!$A$2:$E$435,5,0)</f>
        <v>44689</v>
      </c>
      <c r="P845">
        <f>Продажи[[#This Row],[дата создания чека]]-Продажи[[#This Row],[Дата регистрации]]</f>
        <v>404</v>
      </c>
      <c r="Q845" t="str">
        <f>VLOOKUP(Продажи[[#This Row],[id клиента]],клиенты!$A$2:$G$435,7,0)</f>
        <v>Беларусь</v>
      </c>
      <c r="R845">
        <f>IF(COUNTIF($H$2:H845, H845)=1, 1, 0)</f>
        <v>0</v>
      </c>
      <c r="S845" t="str">
        <f>VLOOKUP(Продажи[[#This Row],[id клиента]],клиенты!$A$2:$D$435,4,0)</f>
        <v>нет</v>
      </c>
      <c r="T845" s="54">
        <f>VLOOKUP(Продажи[[#This Row],[id клиента]],клиенты!$A$2:$I$435,9,0)</f>
        <v>23.293634496919918</v>
      </c>
    </row>
    <row r="846" spans="1:20" x14ac:dyDescent="0.25">
      <c r="A846">
        <v>845</v>
      </c>
      <c r="B846">
        <v>474</v>
      </c>
      <c r="C846">
        <v>405</v>
      </c>
      <c r="D846">
        <v>2</v>
      </c>
      <c r="E846" s="35">
        <v>4050</v>
      </c>
      <c r="F846" s="48">
        <v>45390</v>
      </c>
      <c r="G846" t="s">
        <v>16</v>
      </c>
      <c r="H846">
        <v>18</v>
      </c>
      <c r="I846" t="str">
        <f>VLOOKUP(Продажи[[#This Row],[id товара]],Товары[],2,0)</f>
        <v>Молоко</v>
      </c>
      <c r="J846" s="17">
        <f>AVERAGEIF(Продажи[Категория],Продажи[[#This Row],[Категория]],Продажи[цена за шт в рублях])</f>
        <v>294.95238095238096</v>
      </c>
      <c r="K846" s="16">
        <f>Продажи[[#This Row],[цена за шт в рублях]]/Продажи[[#This Row],[Средняя цена в категории за шт]]-1</f>
        <v>0.37310300290603804</v>
      </c>
      <c r="L846" t="str">
        <f>VLOOKUP(Продажи[[#This Row],[id товара]],Товары[],3,0)</f>
        <v>Простоквашино</v>
      </c>
      <c r="M846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846" s="16">
        <f>Продажи[[#This Row],[цена за шт в рублях]]/Продажи[[#This Row],[Средняя цена в категории за шт по поставщику]]-1</f>
        <v>0.27031650983746802</v>
      </c>
      <c r="O846" s="48">
        <f>VLOOKUP(Продажи[[#This Row],[id клиента]],клиенты!$A$2:$E$435,5,0)</f>
        <v>44578</v>
      </c>
      <c r="P846">
        <f>Продажи[[#This Row],[дата создания чека]]-Продажи[[#This Row],[Дата регистрации]]</f>
        <v>812</v>
      </c>
      <c r="Q846" t="str">
        <f>VLOOKUP(Продажи[[#This Row],[id клиента]],клиенты!$A$2:$G$435,7,0)</f>
        <v>Украина</v>
      </c>
      <c r="R846">
        <f>IF(COUNTIF($H$2:H846, H846)=1, 1, 0)</f>
        <v>0</v>
      </c>
      <c r="S846" t="str">
        <f>VLOOKUP(Продажи[[#This Row],[id клиента]],клиенты!$A$2:$D$435,4,0)</f>
        <v>нет</v>
      </c>
      <c r="T846" s="54">
        <f>VLOOKUP(Продажи[[#This Row],[id клиента]],клиенты!$A$2:$I$435,9,0)</f>
        <v>26.677618069815196</v>
      </c>
    </row>
    <row r="847" spans="1:20" x14ac:dyDescent="0.25">
      <c r="A847">
        <v>846</v>
      </c>
      <c r="B847">
        <v>69</v>
      </c>
      <c r="C847">
        <v>197</v>
      </c>
      <c r="D847">
        <v>2</v>
      </c>
      <c r="E847" s="35">
        <v>1970</v>
      </c>
      <c r="F847" s="48">
        <v>45195</v>
      </c>
      <c r="G847" t="s">
        <v>21</v>
      </c>
      <c r="H847">
        <v>125</v>
      </c>
      <c r="I847" t="str">
        <f>VLOOKUP(Продажи[[#This Row],[id товара]],Товары[],2,0)</f>
        <v>Чипсы</v>
      </c>
      <c r="J847" s="17">
        <f>AVERAGEIF(Продажи[Категория],Продажи[[#This Row],[Категория]],Продажи[цена за шт в рублях])</f>
        <v>273.72549019607845</v>
      </c>
      <c r="K847" s="16">
        <f>Продажи[[#This Row],[цена за шт в рублях]]/Продажи[[#This Row],[Средняя цена в категории за шт]]-1</f>
        <v>-0.28030085959885398</v>
      </c>
      <c r="L847" t="str">
        <f>VLOOKUP(Продажи[[#This Row],[id товара]],Товары[],3,0)</f>
        <v>Estrella</v>
      </c>
      <c r="M847" s="32">
        <f>AVERAGEIFS(Продажи[цена за шт в рублях],Продажи[Категория],Продажи[[#This Row],[Категория]],Продажи[Поставщик],Продажи[[#This Row],[Поставщик]])</f>
        <v>266.27272727272725</v>
      </c>
      <c r="N847" s="16">
        <f>Продажи[[#This Row],[цена за шт в рублях]]/Продажи[[#This Row],[Средняя цена в категории за шт по поставщику]]-1</f>
        <v>-0.26015705018777735</v>
      </c>
      <c r="O847" s="48">
        <f>VLOOKUP(Продажи[[#This Row],[id клиента]],клиенты!$A$2:$E$435,5,0)</f>
        <v>44701</v>
      </c>
      <c r="P847">
        <f>Продажи[[#This Row],[дата создания чека]]-Продажи[[#This Row],[Дата регистрации]]</f>
        <v>494</v>
      </c>
      <c r="Q847" t="str">
        <f>VLOOKUP(Продажи[[#This Row],[id клиента]],клиенты!$A$2:$G$435,7,0)</f>
        <v>Россия</v>
      </c>
      <c r="R847">
        <f>IF(COUNTIF($H$2:H847, H847)=1, 1, 0)</f>
        <v>0</v>
      </c>
      <c r="S847" t="str">
        <f>VLOOKUP(Продажи[[#This Row],[id клиента]],клиенты!$A$2:$D$435,4,0)</f>
        <v>нет</v>
      </c>
      <c r="T847" s="54">
        <f>VLOOKUP(Продажи[[#This Row],[id клиента]],клиенты!$A$2:$I$435,9,0)</f>
        <v>19.548254620123203</v>
      </c>
    </row>
    <row r="848" spans="1:20" x14ac:dyDescent="0.25">
      <c r="A848">
        <v>847</v>
      </c>
      <c r="B848">
        <v>206</v>
      </c>
      <c r="C848">
        <v>93</v>
      </c>
      <c r="D848">
        <v>2</v>
      </c>
      <c r="E848" s="35">
        <v>930</v>
      </c>
      <c r="F848" s="48">
        <v>45154</v>
      </c>
      <c r="G848" t="s">
        <v>17</v>
      </c>
      <c r="H848">
        <v>155</v>
      </c>
      <c r="I848" t="str">
        <f>VLOOKUP(Продажи[[#This Row],[id товара]],Товары[],2,0)</f>
        <v>Молоко</v>
      </c>
      <c r="J848" s="17">
        <f>AVERAGEIF(Продажи[Категория],Продажи[[#This Row],[Категория]],Продажи[цена за шт в рублях])</f>
        <v>294.95238095238096</v>
      </c>
      <c r="K848" s="16">
        <f>Продажи[[#This Row],[цена за шт в рублях]]/Продажи[[#This Row],[Средняя цена в категории за шт]]-1</f>
        <v>-0.68469486599935425</v>
      </c>
      <c r="L848" t="str">
        <f>VLOOKUP(Продажи[[#This Row],[id товара]],Товары[],3,0)</f>
        <v>Домик в деревне</v>
      </c>
      <c r="M848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848" s="16">
        <f>Продажи[[#This Row],[цена за шт в рублях]]/Продажи[[#This Row],[Средняя цена в категории за шт по поставщику]]-1</f>
        <v>-0.66154468257177523</v>
      </c>
      <c r="O848" s="48">
        <f>VLOOKUP(Продажи[[#This Row],[id клиента]],клиенты!$A$2:$E$435,5,0)</f>
        <v>44564</v>
      </c>
      <c r="P848">
        <f>Продажи[[#This Row],[дата создания чека]]-Продажи[[#This Row],[Дата регистрации]]</f>
        <v>590</v>
      </c>
      <c r="Q848" t="str">
        <f>VLOOKUP(Продажи[[#This Row],[id клиента]],клиенты!$A$2:$G$435,7,0)</f>
        <v>Украина</v>
      </c>
      <c r="R848">
        <f>IF(COUNTIF($H$2:H848, H848)=1, 1, 0)</f>
        <v>1</v>
      </c>
      <c r="S848" t="str">
        <f>VLOOKUP(Продажи[[#This Row],[id клиента]],клиенты!$A$2:$D$435,4,0)</f>
        <v>нет</v>
      </c>
      <c r="T848" s="54">
        <f>VLOOKUP(Продажи[[#This Row],[id клиента]],клиенты!$A$2:$I$435,9,0)</f>
        <v>19.383983572895279</v>
      </c>
    </row>
    <row r="849" spans="1:20" x14ac:dyDescent="0.25">
      <c r="A849">
        <v>848</v>
      </c>
      <c r="B849">
        <v>319</v>
      </c>
      <c r="C849">
        <v>193</v>
      </c>
      <c r="D849">
        <v>1</v>
      </c>
      <c r="E849" s="35">
        <v>965</v>
      </c>
      <c r="F849" s="48">
        <v>45396</v>
      </c>
      <c r="G849" t="s">
        <v>15</v>
      </c>
      <c r="H849">
        <v>43</v>
      </c>
      <c r="I849" t="str">
        <f>VLOOKUP(Продажи[[#This Row],[id товара]],Товары[],2,0)</f>
        <v>Йогурт</v>
      </c>
      <c r="J849" s="17">
        <f>AVERAGEIF(Продажи[Категория],Продажи[[#This Row],[Категория]],Продажи[цена за шт в рублях])</f>
        <v>263.25423728813558</v>
      </c>
      <c r="K849" s="16">
        <f>Продажи[[#This Row],[цена за шт в рублях]]/Продажи[[#This Row],[Средняя цена в категории за шт]]-1</f>
        <v>-0.26686840072109197</v>
      </c>
      <c r="L849" t="str">
        <f>VLOOKUP(Продажи[[#This Row],[id товара]],Товары[],3,0)</f>
        <v>Эрманн</v>
      </c>
      <c r="M849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849" s="16">
        <f>Продажи[[#This Row],[цена за шт в рублях]]/Продажи[[#This Row],[Средняя цена в категории за шт по поставщику]]-1</f>
        <v>-0.22334004024144871</v>
      </c>
      <c r="O849" s="48">
        <f>VLOOKUP(Продажи[[#This Row],[id клиента]],клиенты!$A$2:$E$435,5,0)</f>
        <v>44912</v>
      </c>
      <c r="P849">
        <f>Продажи[[#This Row],[дата создания чека]]-Продажи[[#This Row],[Дата регистрации]]</f>
        <v>484</v>
      </c>
      <c r="Q849" t="str">
        <f>VLOOKUP(Продажи[[#This Row],[id клиента]],клиенты!$A$2:$G$435,7,0)</f>
        <v>Россия</v>
      </c>
      <c r="R849">
        <f>IF(COUNTIF($H$2:H849, H849)=1, 1, 0)</f>
        <v>0</v>
      </c>
      <c r="S849" t="str">
        <f>VLOOKUP(Продажи[[#This Row],[id клиента]],клиенты!$A$2:$D$435,4,0)</f>
        <v>да</v>
      </c>
      <c r="T849" s="54">
        <f>VLOOKUP(Продажи[[#This Row],[id клиента]],клиенты!$A$2:$I$435,9,0)</f>
        <v>16.854209445585216</v>
      </c>
    </row>
    <row r="850" spans="1:20" x14ac:dyDescent="0.25">
      <c r="A850">
        <v>849</v>
      </c>
      <c r="B850">
        <v>59</v>
      </c>
      <c r="C850">
        <v>150</v>
      </c>
      <c r="D850">
        <v>4</v>
      </c>
      <c r="E850" s="35">
        <v>3000</v>
      </c>
      <c r="F850" s="48">
        <v>45134</v>
      </c>
      <c r="G850" t="s">
        <v>17</v>
      </c>
      <c r="H850">
        <v>343</v>
      </c>
      <c r="I850" t="str">
        <f>VLOOKUP(Продажи[[#This Row],[id товара]],Товары[],2,0)</f>
        <v>Сахар</v>
      </c>
      <c r="J850" s="17">
        <f>AVERAGEIF(Продажи[Категория],Продажи[[#This Row],[Категория]],Продажи[цена за шт в рублях])</f>
        <v>252.76271186440678</v>
      </c>
      <c r="K850" s="16">
        <f>Продажи[[#This Row],[цена за шт в рублях]]/Продажи[[#This Row],[Средняя цена в категории за шт]]-1</f>
        <v>-0.40655803661235168</v>
      </c>
      <c r="L850" t="str">
        <f>VLOOKUP(Продажи[[#This Row],[id товара]],Товары[],3,0)</f>
        <v>Продимекс</v>
      </c>
      <c r="M850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850" s="16">
        <f>Продажи[[#This Row],[цена за шт в рублях]]/Продажи[[#This Row],[Средняя цена в категории за шт по поставщику]]-1</f>
        <v>-0.37629937629937626</v>
      </c>
      <c r="O850" s="48">
        <f>VLOOKUP(Продажи[[#This Row],[id клиента]],клиенты!$A$2:$E$435,5,0)</f>
        <v>44874</v>
      </c>
      <c r="P850">
        <f>Продажи[[#This Row],[дата создания чека]]-Продажи[[#This Row],[Дата регистрации]]</f>
        <v>260</v>
      </c>
      <c r="Q850" t="str">
        <f>VLOOKUP(Продажи[[#This Row],[id клиента]],клиенты!$A$2:$G$435,7,0)</f>
        <v>Украина</v>
      </c>
      <c r="R850">
        <f>IF(COUNTIF($H$2:H850, H850)=1, 1, 0)</f>
        <v>0</v>
      </c>
      <c r="S850" t="str">
        <f>VLOOKUP(Продажи[[#This Row],[id клиента]],клиенты!$A$2:$D$435,4,0)</f>
        <v>нет</v>
      </c>
      <c r="T850" s="54">
        <f>VLOOKUP(Продажи[[#This Row],[id клиента]],клиенты!$A$2:$I$435,9,0)</f>
        <v>13.634496919917865</v>
      </c>
    </row>
    <row r="851" spans="1:20" x14ac:dyDescent="0.25">
      <c r="A851">
        <v>850</v>
      </c>
      <c r="B851">
        <v>16</v>
      </c>
      <c r="C851">
        <v>207</v>
      </c>
      <c r="D851">
        <v>2</v>
      </c>
      <c r="E851" s="35">
        <v>2070</v>
      </c>
      <c r="F851" s="48">
        <v>45251</v>
      </c>
      <c r="G851" t="s">
        <v>11</v>
      </c>
      <c r="H851">
        <v>26</v>
      </c>
      <c r="I851" t="str">
        <f>VLOOKUP(Продажи[[#This Row],[id товара]],Товары[],2,0)</f>
        <v>Сыр</v>
      </c>
      <c r="J851" s="17">
        <f>AVERAGEIF(Продажи[Категория],Продажи[[#This Row],[Категория]],Продажи[цена за шт в рублях])</f>
        <v>262.63492063492066</v>
      </c>
      <c r="K851" s="16">
        <f>Продажи[[#This Row],[цена за шт в рублях]]/Продажи[[#This Row],[Средняя цена в категории за шт]]-1</f>
        <v>-0.21183367581288537</v>
      </c>
      <c r="L851" t="str">
        <f>VLOOKUP(Продажи[[#This Row],[id товара]],Товары[],3,0)</f>
        <v>Сырная долина</v>
      </c>
      <c r="M851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851" s="16">
        <f>Продажи[[#This Row],[цена за шт в рублях]]/Продажи[[#This Row],[Средняя цена в категории за шт по поставщику]]-1</f>
        <v>-0.23616236162361626</v>
      </c>
      <c r="O851" s="48">
        <f>VLOOKUP(Продажи[[#This Row],[id клиента]],клиенты!$A$2:$E$435,5,0)</f>
        <v>44819</v>
      </c>
      <c r="P851">
        <f>Продажи[[#This Row],[дата создания чека]]-Продажи[[#This Row],[Дата регистрации]]</f>
        <v>432</v>
      </c>
      <c r="Q851" t="str">
        <f>VLOOKUP(Продажи[[#This Row],[id клиента]],клиенты!$A$2:$G$435,7,0)</f>
        <v>Таджикистан</v>
      </c>
      <c r="R851">
        <f>IF(COUNTIF($H$2:H851, H851)=1, 1, 0)</f>
        <v>0</v>
      </c>
      <c r="S851" t="str">
        <f>VLOOKUP(Продажи[[#This Row],[id клиента]],клиенты!$A$2:$D$435,4,0)</f>
        <v>да</v>
      </c>
      <c r="T851" s="54">
        <f>VLOOKUP(Продажи[[#This Row],[id клиента]],клиенты!$A$2:$I$435,9,0)</f>
        <v>19.975359342915812</v>
      </c>
    </row>
    <row r="852" spans="1:20" x14ac:dyDescent="0.25">
      <c r="A852">
        <v>851</v>
      </c>
      <c r="B852">
        <v>220</v>
      </c>
      <c r="C852">
        <v>305</v>
      </c>
      <c r="D852">
        <v>4</v>
      </c>
      <c r="E852" s="35">
        <v>6100</v>
      </c>
      <c r="F852" s="48">
        <v>45056</v>
      </c>
      <c r="G852" t="s">
        <v>14</v>
      </c>
      <c r="H852">
        <v>306</v>
      </c>
      <c r="I852" t="str">
        <f>VLOOKUP(Продажи[[#This Row],[id товара]],Товары[],2,0)</f>
        <v>Чай</v>
      </c>
      <c r="J852" s="17">
        <f>AVERAGEIF(Продажи[Категория],Продажи[[#This Row],[Категория]],Продажи[цена за шт в рублях])</f>
        <v>271.18181818181819</v>
      </c>
      <c r="K852" s="16">
        <f>Продажи[[#This Row],[цена за шт в рублях]]/Продажи[[#This Row],[Средняя цена в категории за шт]]-1</f>
        <v>0.12470667113643974</v>
      </c>
      <c r="L852" t="str">
        <f>VLOOKUP(Продажи[[#This Row],[id товара]],Товары[],3,0)</f>
        <v>Тесс</v>
      </c>
      <c r="M852" s="32">
        <f>AVERAGEIFS(Продажи[цена за шт в рублях],Продажи[Категория],Продажи[[#This Row],[Категория]],Продажи[Поставщик],Продажи[[#This Row],[Поставщик]])</f>
        <v>281.75</v>
      </c>
      <c r="N852" s="16">
        <f>Продажи[[#This Row],[цена за шт в рублях]]/Продажи[[#This Row],[Средняя цена в категории за шт по поставщику]]-1</f>
        <v>8.2519964507542065E-2</v>
      </c>
      <c r="O852" s="48">
        <f>VLOOKUP(Продажи[[#This Row],[id клиента]],клиенты!$A$2:$E$435,5,0)</f>
        <v>44872</v>
      </c>
      <c r="P852">
        <f>Продажи[[#This Row],[дата создания чека]]-Продажи[[#This Row],[Дата регистрации]]</f>
        <v>184</v>
      </c>
      <c r="Q852" t="str">
        <f>VLOOKUP(Продажи[[#This Row],[id клиента]],клиенты!$A$2:$G$435,7,0)</f>
        <v>Украина</v>
      </c>
      <c r="R852">
        <f>IF(COUNTIF($H$2:H852, H852)=1, 1, 0)</f>
        <v>0</v>
      </c>
      <c r="S852" t="str">
        <f>VLOOKUP(Продажи[[#This Row],[id клиента]],клиенты!$A$2:$D$435,4,0)</f>
        <v>да</v>
      </c>
      <c r="T852" s="54">
        <f>VLOOKUP(Продажи[[#This Row],[id клиента]],клиенты!$A$2:$I$435,9,0)</f>
        <v>16.591375770020534</v>
      </c>
    </row>
    <row r="853" spans="1:20" x14ac:dyDescent="0.25">
      <c r="A853">
        <v>852</v>
      </c>
      <c r="B853">
        <v>474</v>
      </c>
      <c r="C853">
        <v>171</v>
      </c>
      <c r="D853">
        <v>3</v>
      </c>
      <c r="E853" s="35">
        <v>2565</v>
      </c>
      <c r="F853" s="48">
        <v>44985</v>
      </c>
      <c r="G853" t="s">
        <v>11</v>
      </c>
      <c r="H853">
        <v>260</v>
      </c>
      <c r="I853" t="str">
        <f>VLOOKUP(Продажи[[#This Row],[id товара]],Товары[],2,0)</f>
        <v>Молоко</v>
      </c>
      <c r="J853" s="17">
        <f>AVERAGEIF(Продажи[Категория],Продажи[[#This Row],[Категория]],Продажи[цена за шт в рублях])</f>
        <v>294.95238095238096</v>
      </c>
      <c r="K853" s="16">
        <f>Продажи[[#This Row],[цена за шт в рублях]]/Продажи[[#This Row],[Средняя цена в категории за шт]]-1</f>
        <v>-0.42024539877300615</v>
      </c>
      <c r="L853" t="str">
        <f>VLOOKUP(Продажи[[#This Row],[id товара]],Товары[],3,0)</f>
        <v>Простоквашино</v>
      </c>
      <c r="M853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853" s="16">
        <f>Продажи[[#This Row],[цена за шт в рублях]]/Продажи[[#This Row],[Средняя цена в категории за шт по поставщику]]-1</f>
        <v>-0.46364414029084688</v>
      </c>
      <c r="O853" s="48">
        <f>VLOOKUP(Продажи[[#This Row],[id клиента]],клиенты!$A$2:$E$435,5,0)</f>
        <v>44729</v>
      </c>
      <c r="P853">
        <f>Продажи[[#This Row],[дата создания чека]]-Продажи[[#This Row],[Дата регистрации]]</f>
        <v>256</v>
      </c>
      <c r="Q853" t="str">
        <f>VLOOKUP(Продажи[[#This Row],[id клиента]],клиенты!$A$2:$G$435,7,0)</f>
        <v>Украина</v>
      </c>
      <c r="R853">
        <f>IF(COUNTIF($H$2:H853, H853)=1, 1, 0)</f>
        <v>0</v>
      </c>
      <c r="S853" t="str">
        <f>VLOOKUP(Продажи[[#This Row],[id клиента]],клиенты!$A$2:$D$435,4,0)</f>
        <v>да</v>
      </c>
      <c r="T853" s="54">
        <f>VLOOKUP(Продажи[[#This Row],[id клиента]],клиенты!$A$2:$I$435,9,0)</f>
        <v>16.197125256673512</v>
      </c>
    </row>
    <row r="854" spans="1:20" x14ac:dyDescent="0.25">
      <c r="A854">
        <v>853</v>
      </c>
      <c r="B854">
        <v>118</v>
      </c>
      <c r="C854">
        <v>466</v>
      </c>
      <c r="D854">
        <v>3</v>
      </c>
      <c r="E854" s="35">
        <v>6990</v>
      </c>
      <c r="F854" s="48">
        <v>44980</v>
      </c>
      <c r="G854" t="s">
        <v>22</v>
      </c>
      <c r="H854">
        <v>188</v>
      </c>
      <c r="I854" t="str">
        <f>VLOOKUP(Продажи[[#This Row],[id товара]],Товары[],2,0)</f>
        <v>Сахар</v>
      </c>
      <c r="J854" s="17">
        <f>AVERAGEIF(Продажи[Категория],Продажи[[#This Row],[Категория]],Продажи[цена за шт в рублях])</f>
        <v>252.76271186440678</v>
      </c>
      <c r="K854" s="16">
        <f>Продажи[[#This Row],[цена за шт в рублях]]/Продажи[[#This Row],[Средняя цена в категории за шт]]-1</f>
        <v>0.84362636625762755</v>
      </c>
      <c r="L854" t="str">
        <f>VLOOKUP(Продажи[[#This Row],[id товара]],Товары[],3,0)</f>
        <v>Продимекс</v>
      </c>
      <c r="M854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854" s="16">
        <f>Продажи[[#This Row],[цена за шт в рублях]]/Продажи[[#This Row],[Средняя цена в категории за шт по поставщику]]-1</f>
        <v>0.93762993762993774</v>
      </c>
      <c r="O854" s="48">
        <f>VLOOKUP(Продажи[[#This Row],[id клиента]],клиенты!$A$2:$E$435,5,0)</f>
        <v>44801</v>
      </c>
      <c r="P854">
        <f>Продажи[[#This Row],[дата создания чека]]-Продажи[[#This Row],[Дата регистрации]]</f>
        <v>179</v>
      </c>
      <c r="Q854" t="str">
        <f>VLOOKUP(Продажи[[#This Row],[id клиента]],клиенты!$A$2:$G$435,7,0)</f>
        <v>Таджикистан</v>
      </c>
      <c r="R854">
        <f>IF(COUNTIF($H$2:H854, H854)=1, 1, 0)</f>
        <v>0</v>
      </c>
      <c r="S854" t="str">
        <f>VLOOKUP(Продажи[[#This Row],[id клиента]],клиенты!$A$2:$D$435,4,0)</f>
        <v>нет</v>
      </c>
      <c r="T854" s="54">
        <f>VLOOKUP(Продажи[[#This Row],[id клиента]],клиенты!$A$2:$I$435,9,0)</f>
        <v>18.004106776180699</v>
      </c>
    </row>
    <row r="855" spans="1:20" x14ac:dyDescent="0.25">
      <c r="A855">
        <v>854</v>
      </c>
      <c r="B855">
        <v>207</v>
      </c>
      <c r="C855">
        <v>57</v>
      </c>
      <c r="D855">
        <v>2</v>
      </c>
      <c r="E855" s="35">
        <v>570</v>
      </c>
      <c r="F855" s="48">
        <v>45344</v>
      </c>
      <c r="G855" t="s">
        <v>21</v>
      </c>
      <c r="H855">
        <v>152</v>
      </c>
      <c r="I855" t="str">
        <f>VLOOKUP(Продажи[[#This Row],[id товара]],Товары[],2,0)</f>
        <v>Сахар</v>
      </c>
      <c r="J855" s="17">
        <f>AVERAGEIF(Продажи[Категория],Продажи[[#This Row],[Категория]],Продажи[цена за шт в рублях])</f>
        <v>252.76271186440678</v>
      </c>
      <c r="K855" s="16">
        <f>Продажи[[#This Row],[цена за шт в рублях]]/Продажи[[#This Row],[Средняя цена в категории за шт]]-1</f>
        <v>-0.7744920539126936</v>
      </c>
      <c r="L855" t="str">
        <f>VLOOKUP(Продажи[[#This Row],[id товара]],Товары[],3,0)</f>
        <v>Агросахар</v>
      </c>
      <c r="M855" s="32">
        <f>AVERAGEIFS(Продажи[цена за шт в рублях],Продажи[Категория],Продажи[[#This Row],[Категория]],Продажи[Поставщик],Продажи[[#This Row],[Поставщик]])</f>
        <v>215.85714285714286</v>
      </c>
      <c r="N855" s="16">
        <f>Продажи[[#This Row],[цена за шт в рублях]]/Продажи[[#This Row],[Средняя цена в категории за шт по поставщику]]-1</f>
        <v>-0.73593646591661144</v>
      </c>
      <c r="O855" s="48">
        <f>VLOOKUP(Продажи[[#This Row],[id клиента]],клиенты!$A$2:$E$435,5,0)</f>
        <v>44791</v>
      </c>
      <c r="P855">
        <f>Продажи[[#This Row],[дата создания чека]]-Продажи[[#This Row],[Дата регистрации]]</f>
        <v>553</v>
      </c>
      <c r="Q855" t="str">
        <f>VLOOKUP(Продажи[[#This Row],[id клиента]],клиенты!$A$2:$G$435,7,0)</f>
        <v>Беларусь</v>
      </c>
      <c r="R855">
        <f>IF(COUNTIF($H$2:H855, H855)=1, 1, 0)</f>
        <v>0</v>
      </c>
      <c r="S855" t="str">
        <f>VLOOKUP(Продажи[[#This Row],[id клиента]],клиенты!$A$2:$D$435,4,0)</f>
        <v>нет</v>
      </c>
      <c r="T855" s="54">
        <f>VLOOKUP(Продажи[[#This Row],[id клиента]],клиенты!$A$2:$I$435,9,0)</f>
        <v>19.121149897330596</v>
      </c>
    </row>
    <row r="856" spans="1:20" x14ac:dyDescent="0.25">
      <c r="A856">
        <v>855</v>
      </c>
      <c r="B856">
        <v>239</v>
      </c>
      <c r="C856">
        <v>397</v>
      </c>
      <c r="D856">
        <v>2</v>
      </c>
      <c r="E856" s="35">
        <v>3970</v>
      </c>
      <c r="F856" s="48">
        <v>45398</v>
      </c>
      <c r="G856" t="s">
        <v>14</v>
      </c>
      <c r="H856">
        <v>65</v>
      </c>
      <c r="I856" t="str">
        <f>VLOOKUP(Продажи[[#This Row],[id товара]],Товары[],2,0)</f>
        <v>Йогурт</v>
      </c>
      <c r="J856" s="17">
        <f>AVERAGEIF(Продажи[Категория],Продажи[[#This Row],[Категория]],Продажи[цена за шт в рублях])</f>
        <v>263.25423728813558</v>
      </c>
      <c r="K856" s="16">
        <f>Продажи[[#This Row],[цена за шт в рублях]]/Продажи[[#This Row],[Средняя цена в категории за шт]]-1</f>
        <v>0.50804790110739129</v>
      </c>
      <c r="L856" t="str">
        <f>VLOOKUP(Продажи[[#This Row],[id товара]],Товары[],3,0)</f>
        <v>Эрманн</v>
      </c>
      <c r="M856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856" s="16">
        <f>Продажи[[#This Row],[цена за шт в рублях]]/Продажи[[#This Row],[Средняя цена в категории за шт по поставщику]]-1</f>
        <v>0.59758551307847085</v>
      </c>
      <c r="O856" s="48">
        <f>VLOOKUP(Продажи[[#This Row],[id клиента]],клиенты!$A$2:$E$435,5,0)</f>
        <v>44623</v>
      </c>
      <c r="P856">
        <f>Продажи[[#This Row],[дата создания чека]]-Продажи[[#This Row],[Дата регистрации]]</f>
        <v>775</v>
      </c>
      <c r="Q856" t="str">
        <f>VLOOKUP(Продажи[[#This Row],[id клиента]],клиенты!$A$2:$G$435,7,0)</f>
        <v>Украина</v>
      </c>
      <c r="R856">
        <f>IF(COUNTIF($H$2:H856, H856)=1, 1, 0)</f>
        <v>0</v>
      </c>
      <c r="S856" t="str">
        <f>VLOOKUP(Продажи[[#This Row],[id клиента]],клиенты!$A$2:$D$435,4,0)</f>
        <v>нет</v>
      </c>
      <c r="T856" s="54">
        <f>VLOOKUP(Продажи[[#This Row],[id клиента]],клиенты!$A$2:$I$435,9,0)</f>
        <v>25.462012320328544</v>
      </c>
    </row>
    <row r="857" spans="1:20" x14ac:dyDescent="0.25">
      <c r="A857">
        <v>856</v>
      </c>
      <c r="B857">
        <v>367</v>
      </c>
      <c r="C857">
        <v>289</v>
      </c>
      <c r="D857">
        <v>1</v>
      </c>
      <c r="E857" s="35">
        <v>1445</v>
      </c>
      <c r="F857" s="48">
        <v>45041</v>
      </c>
      <c r="G857" t="s">
        <v>9</v>
      </c>
      <c r="H857">
        <v>281</v>
      </c>
      <c r="I857" t="str">
        <f>VLOOKUP(Продажи[[#This Row],[id товара]],Товары[],2,0)</f>
        <v>Колбаса</v>
      </c>
      <c r="J857" s="17">
        <f>AVERAGEIF(Продажи[Категория],Продажи[[#This Row],[Категория]],Продажи[цена за шт в рублях])</f>
        <v>286.92307692307691</v>
      </c>
      <c r="K857" s="16">
        <f>Продажи[[#This Row],[цена за шт в рублях]]/Продажи[[#This Row],[Средняя цена в категории за шт]]-1</f>
        <v>7.238605898123307E-3</v>
      </c>
      <c r="L857" t="str">
        <f>VLOOKUP(Продажи[[#This Row],[id товара]],Товары[],3,0)</f>
        <v>Окраина</v>
      </c>
      <c r="M857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857" s="16">
        <f>Продажи[[#This Row],[цена за шт в рублях]]/Продажи[[#This Row],[Средняя цена в категории за шт по поставщику]]-1</f>
        <v>5.6350898568382712E-2</v>
      </c>
      <c r="O857" s="48">
        <f>VLOOKUP(Продажи[[#This Row],[id клиента]],клиенты!$A$2:$E$435,5,0)</f>
        <v>44711</v>
      </c>
      <c r="P857">
        <f>Продажи[[#This Row],[дата создания чека]]-Продажи[[#This Row],[Дата регистрации]]</f>
        <v>330</v>
      </c>
      <c r="Q857" t="str">
        <f>VLOOKUP(Продажи[[#This Row],[id клиента]],клиенты!$A$2:$G$435,7,0)</f>
        <v>Узбекистан</v>
      </c>
      <c r="R857">
        <f>IF(COUNTIF($H$2:H857, H857)=1, 1, 0)</f>
        <v>0</v>
      </c>
      <c r="S857" t="str">
        <f>VLOOKUP(Продажи[[#This Row],[id клиента]],клиенты!$A$2:$D$435,4,0)</f>
        <v>нет</v>
      </c>
      <c r="T857" s="54">
        <f>VLOOKUP(Продажи[[#This Row],[id клиента]],клиенты!$A$2:$I$435,9,0)</f>
        <v>17.511293634496919</v>
      </c>
    </row>
    <row r="858" spans="1:20" x14ac:dyDescent="0.25">
      <c r="A858">
        <v>857</v>
      </c>
      <c r="B858">
        <v>87</v>
      </c>
      <c r="C858">
        <v>191</v>
      </c>
      <c r="D858">
        <v>3</v>
      </c>
      <c r="E858" s="35">
        <v>2865</v>
      </c>
      <c r="F858" s="48">
        <v>45125</v>
      </c>
      <c r="G858" t="s">
        <v>26</v>
      </c>
      <c r="H858">
        <v>430</v>
      </c>
      <c r="I858" t="str">
        <f>VLOOKUP(Продажи[[#This Row],[id товара]],Товары[],2,0)</f>
        <v>Кофе</v>
      </c>
      <c r="J858" s="17">
        <f>AVERAGEIF(Продажи[Категория],Продажи[[#This Row],[Категория]],Продажи[цена за шт в рублях])</f>
        <v>249.02380952380952</v>
      </c>
      <c r="K858" s="16">
        <f>Продажи[[#This Row],[цена за шт в рублях]]/Продажи[[#This Row],[Средняя цена в категории за шт]]-1</f>
        <v>-0.23300506740606175</v>
      </c>
      <c r="L858" t="str">
        <f>VLOOKUP(Продажи[[#This Row],[id товара]],Товары[],3,0)</f>
        <v>Jacobs</v>
      </c>
      <c r="M858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858" s="16">
        <f>Продажи[[#This Row],[цена за шт в рублях]]/Продажи[[#This Row],[Средняя цена в категории за шт по поставщику]]-1</f>
        <v>-0.30849847560975607</v>
      </c>
      <c r="O858" s="48">
        <f>VLOOKUP(Продажи[[#This Row],[id клиента]],клиенты!$A$2:$E$435,5,0)</f>
        <v>44799</v>
      </c>
      <c r="P858">
        <f>Продажи[[#This Row],[дата создания чека]]-Продажи[[#This Row],[Дата регистрации]]</f>
        <v>326</v>
      </c>
      <c r="Q858" t="str">
        <f>VLOOKUP(Продажи[[#This Row],[id клиента]],клиенты!$A$2:$G$435,7,0)</f>
        <v>Таджикистан</v>
      </c>
      <c r="R858">
        <f>IF(COUNTIF($H$2:H858, H858)=1, 1, 0)</f>
        <v>1</v>
      </c>
      <c r="S858" t="str">
        <f>VLOOKUP(Продажи[[#This Row],[id клиента]],клиенты!$A$2:$D$435,4,0)</f>
        <v>нет</v>
      </c>
      <c r="T858" s="54">
        <f>VLOOKUP(Продажи[[#This Row],[id клиента]],клиенты!$A$2:$I$435,9,0)</f>
        <v>10.710472279260781</v>
      </c>
    </row>
    <row r="859" spans="1:20" x14ac:dyDescent="0.25">
      <c r="A859">
        <v>858</v>
      </c>
      <c r="B859">
        <v>309</v>
      </c>
      <c r="C859">
        <v>244</v>
      </c>
      <c r="D859">
        <v>3</v>
      </c>
      <c r="E859" s="35">
        <v>3660</v>
      </c>
      <c r="F859" s="48">
        <v>45374</v>
      </c>
      <c r="G859" t="s">
        <v>27</v>
      </c>
      <c r="H859">
        <v>299</v>
      </c>
      <c r="I859" t="str">
        <f>VLOOKUP(Продажи[[#This Row],[id товара]],Товары[],2,0)</f>
        <v>Конфеты</v>
      </c>
      <c r="J859" s="17">
        <f>AVERAGEIF(Продажи[Категория],Продажи[[#This Row],[Категория]],Продажи[цена за шт в рублях])</f>
        <v>267.85483870967744</v>
      </c>
      <c r="K859" s="16">
        <f>Продажи[[#This Row],[цена за шт в рублях]]/Продажи[[#This Row],[Средняя цена в категории за шт]]-1</f>
        <v>-8.9058830613596762E-2</v>
      </c>
      <c r="L859" t="str">
        <f>VLOOKUP(Продажи[[#This Row],[id товара]],Товары[],3,0)</f>
        <v>Рот Фронт</v>
      </c>
      <c r="M859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859" s="16">
        <f>Продажи[[#This Row],[цена за шт в рублях]]/Продажи[[#This Row],[Средняя цена в категории за шт по поставщику]]-1</f>
        <v>-0.15347761440607965</v>
      </c>
      <c r="O859" s="48">
        <f>VLOOKUP(Продажи[[#This Row],[id клиента]],клиенты!$A$2:$E$435,5,0)</f>
        <v>44666</v>
      </c>
      <c r="P859">
        <f>Продажи[[#This Row],[дата создания чека]]-Продажи[[#This Row],[Дата регистрации]]</f>
        <v>708</v>
      </c>
      <c r="Q859" t="str">
        <f>VLOOKUP(Продажи[[#This Row],[id клиента]],клиенты!$A$2:$G$435,7,0)</f>
        <v>Украина</v>
      </c>
      <c r="R859">
        <f>IF(COUNTIF($H$2:H859, H859)=1, 1, 0)</f>
        <v>0</v>
      </c>
      <c r="S859" t="str">
        <f>VLOOKUP(Продажи[[#This Row],[id клиента]],клиенты!$A$2:$D$435,4,0)</f>
        <v>нет</v>
      </c>
      <c r="T859" s="54">
        <f>VLOOKUP(Продажи[[#This Row],[id клиента]],клиенты!$A$2:$I$435,9,0)</f>
        <v>23.260780287474333</v>
      </c>
    </row>
    <row r="860" spans="1:20" x14ac:dyDescent="0.25">
      <c r="A860">
        <v>859</v>
      </c>
      <c r="B860">
        <v>271</v>
      </c>
      <c r="C860">
        <v>392</v>
      </c>
      <c r="D860">
        <v>3</v>
      </c>
      <c r="E860" s="35">
        <v>5880</v>
      </c>
      <c r="F860" s="48">
        <v>45103</v>
      </c>
      <c r="G860" t="s">
        <v>19</v>
      </c>
      <c r="H860">
        <v>132</v>
      </c>
      <c r="I860" t="str">
        <f>VLOOKUP(Продажи[[#This Row],[id товара]],Товары[],2,0)</f>
        <v>Сыр</v>
      </c>
      <c r="J860" s="17">
        <f>AVERAGEIF(Продажи[Категория],Продажи[[#This Row],[Категория]],Продажи[цена за шт в рублях])</f>
        <v>262.63492063492066</v>
      </c>
      <c r="K860" s="16">
        <f>Продажи[[#This Row],[цена за шт в рублях]]/Продажи[[#This Row],[Средняя цена в категории за шт]]-1</f>
        <v>0.49256617913695133</v>
      </c>
      <c r="L860" t="str">
        <f>VLOOKUP(Продажи[[#This Row],[id товара]],Товары[],3,0)</f>
        <v>Сырная долина</v>
      </c>
      <c r="M860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860" s="16">
        <f>Продажи[[#This Row],[цена за шт в рублях]]/Продажи[[#This Row],[Средняя цена в категории за шт по поставщику]]-1</f>
        <v>0.44649446494464939</v>
      </c>
      <c r="O860" s="48">
        <f>VLOOKUP(Продажи[[#This Row],[id клиента]],клиенты!$A$2:$E$435,5,0)</f>
        <v>44601</v>
      </c>
      <c r="P860">
        <f>Продажи[[#This Row],[дата создания чека]]-Продажи[[#This Row],[Дата регистрации]]</f>
        <v>502</v>
      </c>
      <c r="Q860" t="str">
        <f>VLOOKUP(Продажи[[#This Row],[id клиента]],клиенты!$A$2:$G$435,7,0)</f>
        <v>Украина</v>
      </c>
      <c r="R860">
        <f>IF(COUNTIF($H$2:H860, H860)=1, 1, 0)</f>
        <v>0</v>
      </c>
      <c r="S860" t="str">
        <f>VLOOKUP(Продажи[[#This Row],[id клиента]],клиенты!$A$2:$D$435,4,0)</f>
        <v>да</v>
      </c>
      <c r="T860" s="54">
        <f>VLOOKUP(Продажи[[#This Row],[id клиента]],клиенты!$A$2:$I$435,9,0)</f>
        <v>22.472279260780287</v>
      </c>
    </row>
    <row r="861" spans="1:20" x14ac:dyDescent="0.25">
      <c r="A861">
        <v>860</v>
      </c>
      <c r="B861">
        <v>354</v>
      </c>
      <c r="C861">
        <v>493</v>
      </c>
      <c r="D861">
        <v>2</v>
      </c>
      <c r="E861" s="35">
        <v>4930</v>
      </c>
      <c r="F861" s="48">
        <v>45320</v>
      </c>
      <c r="G861" t="s">
        <v>24</v>
      </c>
      <c r="H861">
        <v>68</v>
      </c>
      <c r="I861" t="str">
        <f>VLOOKUP(Продажи[[#This Row],[id товара]],Товары[],2,0)</f>
        <v>Чай</v>
      </c>
      <c r="J861" s="17">
        <f>AVERAGEIF(Продажи[Категория],Продажи[[#This Row],[Категория]],Продажи[цена за шт в рублях])</f>
        <v>271.18181818181819</v>
      </c>
      <c r="K861" s="16">
        <f>Продажи[[#This Row],[цена за шт в рублях]]/Продажи[[#This Row],[Средняя цена в категории за шт]]-1</f>
        <v>0.81796848809922884</v>
      </c>
      <c r="L861" t="str">
        <f>VLOOKUP(Продажи[[#This Row],[id товара]],Товары[],3,0)</f>
        <v>Lipton</v>
      </c>
      <c r="M861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861" s="16">
        <f>Продажи[[#This Row],[цена за шт в рублях]]/Продажи[[#This Row],[Средняя цена в категории за шт по поставщику]]-1</f>
        <v>0.89500303459437602</v>
      </c>
      <c r="O861" s="48">
        <f>VLOOKUP(Продажи[[#This Row],[id клиента]],клиенты!$A$2:$E$435,5,0)</f>
        <v>44882</v>
      </c>
      <c r="P861">
        <f>Продажи[[#This Row],[дата создания чека]]-Продажи[[#This Row],[Дата регистрации]]</f>
        <v>438</v>
      </c>
      <c r="Q861" t="str">
        <f>VLOOKUP(Продажи[[#This Row],[id клиента]],клиенты!$A$2:$G$435,7,0)</f>
        <v>Узбекистан</v>
      </c>
      <c r="R861">
        <f>IF(COUNTIF($H$2:H861, H861)=1, 1, 0)</f>
        <v>0</v>
      </c>
      <c r="S861" t="str">
        <f>VLOOKUP(Продажи[[#This Row],[id клиента]],клиенты!$A$2:$D$435,4,0)</f>
        <v>да</v>
      </c>
      <c r="T861" s="54">
        <f>VLOOKUP(Продажи[[#This Row],[id клиента]],клиенты!$A$2:$I$435,9,0)</f>
        <v>16.854209445585216</v>
      </c>
    </row>
    <row r="862" spans="1:20" x14ac:dyDescent="0.25">
      <c r="A862">
        <v>861</v>
      </c>
      <c r="B862">
        <v>266</v>
      </c>
      <c r="C862">
        <v>339</v>
      </c>
      <c r="D862">
        <v>5</v>
      </c>
      <c r="E862" s="35">
        <v>8475</v>
      </c>
      <c r="F862" s="48">
        <v>45358</v>
      </c>
      <c r="G862" t="s">
        <v>9</v>
      </c>
      <c r="H862">
        <v>42</v>
      </c>
      <c r="I862" t="str">
        <f>VLOOKUP(Продажи[[#This Row],[id товара]],Товары[],2,0)</f>
        <v>Рыба</v>
      </c>
      <c r="J862" s="17">
        <f>AVERAGEIF(Продажи[Категория],Продажи[[#This Row],[Категория]],Продажи[цена за шт в рублях])</f>
        <v>258.5128205128205</v>
      </c>
      <c r="K862" s="16">
        <f>Продажи[[#This Row],[цена за шт в рублях]]/Продажи[[#This Row],[Средняя цена в категории за шт]]-1</f>
        <v>0.31134695496925224</v>
      </c>
      <c r="L862" t="str">
        <f>VLOOKUP(Продажи[[#This Row],[id товара]],Товары[],3,0)</f>
        <v>Меридиан</v>
      </c>
      <c r="M862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862" s="16">
        <f>Продажи[[#This Row],[цена за шт в рублях]]/Продажи[[#This Row],[Средняя цена в категории за шт по поставщику]]-1</f>
        <v>0.30060934326337185</v>
      </c>
      <c r="O862" s="48">
        <f>VLOOKUP(Продажи[[#This Row],[id клиента]],клиенты!$A$2:$E$435,5,0)</f>
        <v>44783</v>
      </c>
      <c r="P862">
        <f>Продажи[[#This Row],[дата создания чека]]-Продажи[[#This Row],[Дата регистрации]]</f>
        <v>575</v>
      </c>
      <c r="Q862" t="str">
        <f>VLOOKUP(Продажи[[#This Row],[id клиента]],клиенты!$A$2:$G$435,7,0)</f>
        <v>Таджикистан</v>
      </c>
      <c r="R862">
        <f>IF(COUNTIF($H$2:H862, H862)=1, 1, 0)</f>
        <v>0</v>
      </c>
      <c r="S862" t="str">
        <f>VLOOKUP(Продажи[[#This Row],[id клиента]],клиенты!$A$2:$D$435,4,0)</f>
        <v>да</v>
      </c>
      <c r="T862" s="54">
        <f>VLOOKUP(Продажи[[#This Row],[id клиента]],клиенты!$A$2:$I$435,9,0)</f>
        <v>19.351129363449694</v>
      </c>
    </row>
    <row r="863" spans="1:20" x14ac:dyDescent="0.25">
      <c r="A863">
        <v>862</v>
      </c>
      <c r="B863">
        <v>441</v>
      </c>
      <c r="C863">
        <v>316</v>
      </c>
      <c r="D863">
        <v>4</v>
      </c>
      <c r="E863" s="35">
        <v>6320</v>
      </c>
      <c r="F863" s="48">
        <v>45410</v>
      </c>
      <c r="G863" t="s">
        <v>22</v>
      </c>
      <c r="H863">
        <v>488</v>
      </c>
      <c r="I863" t="str">
        <f>VLOOKUP(Продажи[[#This Row],[id товара]],Товары[],2,0)</f>
        <v>Чай</v>
      </c>
      <c r="J863" s="17">
        <f>AVERAGEIF(Продажи[Категория],Продажи[[#This Row],[Категория]],Продажи[цена за шт в рублях])</f>
        <v>271.18181818181819</v>
      </c>
      <c r="K863" s="16">
        <f>Продажи[[#This Row],[цена за шт в рублях]]/Продажи[[#This Row],[Средняя цена в категории за шт]]-1</f>
        <v>0.16526986255447529</v>
      </c>
      <c r="L863" t="str">
        <f>VLOOKUP(Продажи[[#This Row],[id товара]],Товары[],3,0)</f>
        <v>Lipton</v>
      </c>
      <c r="M863" s="32">
        <f>AVERAGEIFS(Продажи[цена за шт в рублях],Продажи[Категория],Продажи[[#This Row],[Категория]],Продажи[Поставщик],Продажи[[#This Row],[Поставщик]])</f>
        <v>260.15789473684208</v>
      </c>
      <c r="N863" s="16">
        <f>Продажи[[#This Row],[цена за шт в рублях]]/Продажи[[#This Row],[Средняя цена в категории за шт по поставщику]]-1</f>
        <v>0.21464697552093881</v>
      </c>
      <c r="O863" s="48">
        <f>VLOOKUP(Продажи[[#This Row],[id клиента]],клиенты!$A$2:$E$435,5,0)</f>
        <v>44738</v>
      </c>
      <c r="P863">
        <f>Продажи[[#This Row],[дата создания чека]]-Продажи[[#This Row],[Дата регистрации]]</f>
        <v>672</v>
      </c>
      <c r="Q863" t="str">
        <f>VLOOKUP(Продажи[[#This Row],[id клиента]],клиенты!$A$2:$G$435,7,0)</f>
        <v>Беларусь</v>
      </c>
      <c r="R863">
        <f>IF(COUNTIF($H$2:H863, H863)=1, 1, 0)</f>
        <v>1</v>
      </c>
      <c r="S863" t="str">
        <f>VLOOKUP(Продажи[[#This Row],[id клиента]],клиенты!$A$2:$D$435,4,0)</f>
        <v>да</v>
      </c>
      <c r="T863" s="54">
        <f>VLOOKUP(Продажи[[#This Row],[id клиента]],клиенты!$A$2:$I$435,9,0)</f>
        <v>22.078028747433265</v>
      </c>
    </row>
    <row r="864" spans="1:20" x14ac:dyDescent="0.25">
      <c r="A864">
        <v>863</v>
      </c>
      <c r="B864">
        <v>245</v>
      </c>
      <c r="C864">
        <v>284</v>
      </c>
      <c r="D864">
        <v>4</v>
      </c>
      <c r="E864" s="35">
        <v>5680</v>
      </c>
      <c r="F864" s="48">
        <v>45405</v>
      </c>
      <c r="G864" t="s">
        <v>15</v>
      </c>
      <c r="H864">
        <v>324</v>
      </c>
      <c r="I864" t="str">
        <f>VLOOKUP(Продажи[[#This Row],[id товара]],Товары[],2,0)</f>
        <v>Сахар</v>
      </c>
      <c r="J864" s="17">
        <f>AVERAGEIF(Продажи[Категория],Продажи[[#This Row],[Категория]],Продажи[цена за шт в рублях])</f>
        <v>252.76271186440678</v>
      </c>
      <c r="K864" s="16">
        <f>Продажи[[#This Row],[цена за шт в рублях]]/Продажи[[#This Row],[Средняя цена в категории за шт]]-1</f>
        <v>0.12358345068061416</v>
      </c>
      <c r="L864" t="str">
        <f>VLOOKUP(Продажи[[#This Row],[id товара]],Товары[],3,0)</f>
        <v>Продимекс</v>
      </c>
      <c r="M864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864" s="16">
        <f>Продажи[[#This Row],[цена за шт в рублях]]/Продажи[[#This Row],[Средняя цена в категории за шт по поставщику]]-1</f>
        <v>0.18087318087318094</v>
      </c>
      <c r="O864" s="48">
        <f>VLOOKUP(Продажи[[#This Row],[id клиента]],клиенты!$A$2:$E$435,5,0)</f>
        <v>44761</v>
      </c>
      <c r="P864">
        <f>Продажи[[#This Row],[дата создания чека]]-Продажи[[#This Row],[Дата регистрации]]</f>
        <v>644</v>
      </c>
      <c r="Q864" t="str">
        <f>VLOOKUP(Продажи[[#This Row],[id клиента]],клиенты!$A$2:$G$435,7,0)</f>
        <v>Узбекистан</v>
      </c>
      <c r="R864">
        <f>IF(COUNTIF($H$2:H864, H864)=1, 1, 0)</f>
        <v>0</v>
      </c>
      <c r="S864" t="str">
        <f>VLOOKUP(Продажи[[#This Row],[id клиента]],клиенты!$A$2:$D$435,4,0)</f>
        <v>нет</v>
      </c>
      <c r="T864" s="54">
        <f>VLOOKUP(Продажи[[#This Row],[id клиента]],клиенты!$A$2:$I$435,9,0)</f>
        <v>21.15811088295688</v>
      </c>
    </row>
    <row r="865" spans="1:20" x14ac:dyDescent="0.25">
      <c r="A865">
        <v>864</v>
      </c>
      <c r="B865">
        <v>369</v>
      </c>
      <c r="C865">
        <v>206</v>
      </c>
      <c r="D865">
        <v>4</v>
      </c>
      <c r="E865" s="35">
        <v>4120</v>
      </c>
      <c r="F865" s="48">
        <v>45132</v>
      </c>
      <c r="G865" t="s">
        <v>17</v>
      </c>
      <c r="H865">
        <v>346</v>
      </c>
      <c r="I865" t="str">
        <f>VLOOKUP(Продажи[[#This Row],[id товара]],Товары[],2,0)</f>
        <v>Молоко</v>
      </c>
      <c r="J865" s="17">
        <f>AVERAGEIF(Продажи[Категория],Продажи[[#This Row],[Категория]],Продажи[цена за шт в рублях])</f>
        <v>294.95238095238096</v>
      </c>
      <c r="K865" s="16">
        <f>Продажи[[#This Row],[цена за шт в рублях]]/Продажи[[#This Row],[Средняя цена в категории за шт]]-1</f>
        <v>-0.30158217629964479</v>
      </c>
      <c r="L865" t="str">
        <f>VLOOKUP(Продажи[[#This Row],[id товара]],Товары[],3,0)</f>
        <v>Домик в деревне</v>
      </c>
      <c r="M865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865" s="16">
        <f>Продажи[[#This Row],[цена за шт в рублях]]/Продажи[[#This Row],[Средняя цена в категории за шт по поставщику]]-1</f>
        <v>-0.25030327537403962</v>
      </c>
      <c r="O865" s="48">
        <f>VLOOKUP(Продажи[[#This Row],[id клиента]],клиенты!$A$2:$E$435,5,0)</f>
        <v>44636</v>
      </c>
      <c r="P865">
        <f>Продажи[[#This Row],[дата создания чека]]-Продажи[[#This Row],[Дата регистрации]]</f>
        <v>496</v>
      </c>
      <c r="Q865" t="str">
        <f>VLOOKUP(Продажи[[#This Row],[id клиента]],клиенты!$A$2:$G$435,7,0)</f>
        <v>Россия</v>
      </c>
      <c r="R865">
        <f>IF(COUNTIF($H$2:H865, H865)=1, 1, 0)</f>
        <v>0</v>
      </c>
      <c r="S865" t="str">
        <f>VLOOKUP(Продажи[[#This Row],[id клиента]],клиенты!$A$2:$D$435,4,0)</f>
        <v>да</v>
      </c>
      <c r="T865" s="54">
        <f>VLOOKUP(Продажи[[#This Row],[id клиента]],клиенты!$A$2:$I$435,9,0)</f>
        <v>22.11088295687885</v>
      </c>
    </row>
    <row r="866" spans="1:20" x14ac:dyDescent="0.25">
      <c r="A866">
        <v>865</v>
      </c>
      <c r="B866">
        <v>176</v>
      </c>
      <c r="C866">
        <v>217</v>
      </c>
      <c r="D866">
        <v>4</v>
      </c>
      <c r="E866" s="35">
        <v>4340</v>
      </c>
      <c r="F866" s="48">
        <v>45135</v>
      </c>
      <c r="G866" t="s">
        <v>12</v>
      </c>
      <c r="H866">
        <v>313</v>
      </c>
      <c r="I866" t="str">
        <f>VLOOKUP(Продажи[[#This Row],[id товара]],Товары[],2,0)</f>
        <v>Сахар</v>
      </c>
      <c r="J866" s="17">
        <f>AVERAGEIF(Продажи[Категория],Продажи[[#This Row],[Категория]],Продажи[цена за шт в рублях])</f>
        <v>252.76271186440678</v>
      </c>
      <c r="K866" s="16">
        <f>Продажи[[#This Row],[цена за шт в рублях]]/Продажи[[#This Row],[Средняя цена в категории за шт]]-1</f>
        <v>-0.14148729296586871</v>
      </c>
      <c r="L866" t="str">
        <f>VLOOKUP(Продажи[[#This Row],[id товара]],Товары[],3,0)</f>
        <v>Продимекс</v>
      </c>
      <c r="M866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866" s="16">
        <f>Продажи[[#This Row],[цена за шт в рублях]]/Продажи[[#This Row],[Средняя цена в категории за шт по поставщику]]-1</f>
        <v>-9.7713097713097663E-2</v>
      </c>
      <c r="O866" s="48">
        <f>VLOOKUP(Продажи[[#This Row],[id клиента]],клиенты!$A$2:$E$435,5,0)</f>
        <v>44896</v>
      </c>
      <c r="P866">
        <f>Продажи[[#This Row],[дата создания чека]]-Продажи[[#This Row],[Дата регистрации]]</f>
        <v>239</v>
      </c>
      <c r="Q866" t="str">
        <f>VLOOKUP(Продажи[[#This Row],[id клиента]],клиенты!$A$2:$G$435,7,0)</f>
        <v>Узбекистан</v>
      </c>
      <c r="R866">
        <f>IF(COUNTIF($H$2:H866, H866)=1, 1, 0)</f>
        <v>0</v>
      </c>
      <c r="S866" t="str">
        <f>VLOOKUP(Продажи[[#This Row],[id клиента]],клиенты!$A$2:$D$435,4,0)</f>
        <v>да</v>
      </c>
      <c r="T866" s="54">
        <f>VLOOKUP(Продажи[[#This Row],[id клиента]],клиенты!$A$2:$I$435,9,0)</f>
        <v>9.8891170431211499</v>
      </c>
    </row>
    <row r="867" spans="1:20" x14ac:dyDescent="0.25">
      <c r="A867">
        <v>866</v>
      </c>
      <c r="B867">
        <v>467</v>
      </c>
      <c r="C867">
        <v>72</v>
      </c>
      <c r="D867">
        <v>2</v>
      </c>
      <c r="E867" s="35">
        <v>720</v>
      </c>
      <c r="F867" s="48">
        <v>45050</v>
      </c>
      <c r="G867" t="s">
        <v>13</v>
      </c>
      <c r="H867">
        <v>233</v>
      </c>
      <c r="I867" t="str">
        <f>VLOOKUP(Продажи[[#This Row],[id товара]],Товары[],2,0)</f>
        <v>Макароны</v>
      </c>
      <c r="J867" s="17">
        <f>AVERAGEIF(Продажи[Категория],Продажи[[#This Row],[Категория]],Продажи[цена за шт в рублях])</f>
        <v>265.47674418604652</v>
      </c>
      <c r="K867" s="16">
        <f>Продажи[[#This Row],[цена за шт в рублях]]/Продажи[[#This Row],[Средняя цена в категории за шт]]-1</f>
        <v>-0.72878980333756727</v>
      </c>
      <c r="L867" t="str">
        <f>VLOOKUP(Продажи[[#This Row],[id товара]],Товары[],3,0)</f>
        <v>Борилла</v>
      </c>
      <c r="M867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867" s="16">
        <f>Продажи[[#This Row],[цена за шт в рублях]]/Продажи[[#This Row],[Средняя цена в категории за шт по поставщику]]-1</f>
        <v>-0.69527145359019271</v>
      </c>
      <c r="O867" s="48">
        <f>VLOOKUP(Продажи[[#This Row],[id клиента]],клиенты!$A$2:$E$435,5,0)</f>
        <v>44616</v>
      </c>
      <c r="P867">
        <f>Продажи[[#This Row],[дата создания чека]]-Продажи[[#This Row],[Дата регистрации]]</f>
        <v>434</v>
      </c>
      <c r="Q867" t="str">
        <f>VLOOKUP(Продажи[[#This Row],[id клиента]],клиенты!$A$2:$G$435,7,0)</f>
        <v>Таджикистан</v>
      </c>
      <c r="R867">
        <f>IF(COUNTIF($H$2:H867, H867)=1, 1, 0)</f>
        <v>0</v>
      </c>
      <c r="S867" t="str">
        <f>VLOOKUP(Продажи[[#This Row],[id клиента]],клиенты!$A$2:$D$435,4,0)</f>
        <v>да</v>
      </c>
      <c r="T867" s="54">
        <f>VLOOKUP(Продажи[[#This Row],[id клиента]],клиенты!$A$2:$I$435,9,0)</f>
        <v>24.706365503080082</v>
      </c>
    </row>
    <row r="868" spans="1:20" x14ac:dyDescent="0.25">
      <c r="A868">
        <v>867</v>
      </c>
      <c r="B868">
        <v>237</v>
      </c>
      <c r="C868">
        <v>121</v>
      </c>
      <c r="D868">
        <v>3</v>
      </c>
      <c r="E868" s="35">
        <v>1815</v>
      </c>
      <c r="F868" s="48">
        <v>45240</v>
      </c>
      <c r="G868" t="s">
        <v>26</v>
      </c>
      <c r="H868">
        <v>77</v>
      </c>
      <c r="I868" t="str">
        <f>VLOOKUP(Продажи[[#This Row],[id товара]],Товары[],2,0)</f>
        <v>Конфеты</v>
      </c>
      <c r="J868" s="17">
        <f>AVERAGEIF(Продажи[Категория],Продажи[[#This Row],[Категория]],Продажи[цена за шт в рублях])</f>
        <v>267.85483870967744</v>
      </c>
      <c r="K868" s="16">
        <f>Продажи[[#This Row],[цена за шт в рублях]]/Продажи[[#This Row],[Средняя цена в категории за шт]]-1</f>
        <v>-0.54826278075510326</v>
      </c>
      <c r="L868" t="str">
        <f>VLOOKUP(Продажи[[#This Row],[id товара]],Товары[],3,0)</f>
        <v>Рот Фронт</v>
      </c>
      <c r="M868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868" s="16">
        <f>Продажи[[#This Row],[цена за шт в рублях]]/Продажи[[#This Row],[Средняя цена в категории за шт по поставщику]]-1</f>
        <v>-0.58020816124235919</v>
      </c>
      <c r="O868" s="48">
        <f>VLOOKUP(Продажи[[#This Row],[id клиента]],клиенты!$A$2:$E$435,5,0)</f>
        <v>44644</v>
      </c>
      <c r="P868">
        <f>Продажи[[#This Row],[дата создания чека]]-Продажи[[#This Row],[Дата регистрации]]</f>
        <v>596</v>
      </c>
      <c r="Q868" t="str">
        <f>VLOOKUP(Продажи[[#This Row],[id клиента]],клиенты!$A$2:$G$435,7,0)</f>
        <v>Россия</v>
      </c>
      <c r="R868">
        <f>IF(COUNTIF($H$2:H868, H868)=1, 1, 0)</f>
        <v>0</v>
      </c>
      <c r="S868" t="str">
        <f>VLOOKUP(Продажи[[#This Row],[id клиента]],клиенты!$A$2:$D$435,4,0)</f>
        <v>нет</v>
      </c>
      <c r="T868" s="54">
        <f>VLOOKUP(Продажи[[#This Row],[id клиента]],клиенты!$A$2:$I$435,9,0)</f>
        <v>19.581108829568787</v>
      </c>
    </row>
    <row r="869" spans="1:20" x14ac:dyDescent="0.25">
      <c r="A869">
        <v>868</v>
      </c>
      <c r="B869">
        <v>300</v>
      </c>
      <c r="C869">
        <v>140</v>
      </c>
      <c r="D869">
        <v>4</v>
      </c>
      <c r="E869" s="35">
        <v>2800</v>
      </c>
      <c r="F869" s="48">
        <v>45317</v>
      </c>
      <c r="G869" t="s">
        <v>17</v>
      </c>
      <c r="H869">
        <v>107</v>
      </c>
      <c r="I869" t="str">
        <f>VLOOKUP(Продажи[[#This Row],[id товара]],Товары[],2,0)</f>
        <v>Сахар</v>
      </c>
      <c r="J869" s="17">
        <f>AVERAGEIF(Продажи[Категория],Продажи[[#This Row],[Категория]],Продажи[цена за шт в рублях])</f>
        <v>252.76271186440678</v>
      </c>
      <c r="K869" s="16">
        <f>Продажи[[#This Row],[цена за шт в рублях]]/Продажи[[#This Row],[Средняя цена в категории за шт]]-1</f>
        <v>-0.44612083417152815</v>
      </c>
      <c r="L869" t="str">
        <f>VLOOKUP(Продажи[[#This Row],[id товара]],Товары[],3,0)</f>
        <v>Продимекс</v>
      </c>
      <c r="M869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869" s="16">
        <f>Продажи[[#This Row],[цена за шт в рублях]]/Продажи[[#This Row],[Средняя цена в категории за шт по поставщику]]-1</f>
        <v>-0.41787941787941785</v>
      </c>
      <c r="O869" s="48">
        <f>VLOOKUP(Продажи[[#This Row],[id клиента]],клиенты!$A$2:$E$435,5,0)</f>
        <v>44744</v>
      </c>
      <c r="P869">
        <f>Продажи[[#This Row],[дата создания чека]]-Продажи[[#This Row],[Дата регистрации]]</f>
        <v>573</v>
      </c>
      <c r="Q869" t="str">
        <f>VLOOKUP(Продажи[[#This Row],[id клиента]],клиенты!$A$2:$G$435,7,0)</f>
        <v>Таджикистан</v>
      </c>
      <c r="R869">
        <f>IF(COUNTIF($H$2:H869, H869)=1, 1, 0)</f>
        <v>0</v>
      </c>
      <c r="S869" t="str">
        <f>VLOOKUP(Продажи[[#This Row],[id клиента]],клиенты!$A$2:$D$435,4,0)</f>
        <v>нет</v>
      </c>
      <c r="T869" s="54">
        <f>VLOOKUP(Продажи[[#This Row],[id клиента]],клиенты!$A$2:$I$435,9,0)</f>
        <v>19.482546201232033</v>
      </c>
    </row>
    <row r="870" spans="1:20" x14ac:dyDescent="0.25">
      <c r="A870">
        <v>869</v>
      </c>
      <c r="B870">
        <v>137</v>
      </c>
      <c r="C870">
        <v>295</v>
      </c>
      <c r="D870">
        <v>2</v>
      </c>
      <c r="E870" s="35">
        <v>2950</v>
      </c>
      <c r="F870" s="48">
        <v>45111</v>
      </c>
      <c r="G870" t="s">
        <v>21</v>
      </c>
      <c r="H870">
        <v>375</v>
      </c>
      <c r="I870" t="str">
        <f>VLOOKUP(Продажи[[#This Row],[id товара]],Товары[],2,0)</f>
        <v>Фрукты</v>
      </c>
      <c r="J870" s="17">
        <f>AVERAGEIF(Продажи[Категория],Продажи[[#This Row],[Категория]],Продажи[цена за шт в рублях])</f>
        <v>274.16279069767444</v>
      </c>
      <c r="K870" s="16">
        <f>Продажи[[#This Row],[цена за шт в рублях]]/Продажи[[#This Row],[Средняя цена в категории за шт]]-1</f>
        <v>7.6003053694121636E-2</v>
      </c>
      <c r="L870" t="str">
        <f>VLOOKUP(Продажи[[#This Row],[id товара]],Товары[],3,0)</f>
        <v>Экзотик</v>
      </c>
      <c r="M870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870" s="16">
        <f>Продажи[[#This Row],[цена за шт в рублях]]/Продажи[[#This Row],[Средняя цена в категории за шт по поставщику]]-1</f>
        <v>0.16284799211628487</v>
      </c>
      <c r="O870" s="48">
        <f>VLOOKUP(Продажи[[#This Row],[id клиента]],клиенты!$A$2:$E$435,5,0)</f>
        <v>44674</v>
      </c>
      <c r="P870">
        <f>Продажи[[#This Row],[дата создания чека]]-Продажи[[#This Row],[Дата регистрации]]</f>
        <v>437</v>
      </c>
      <c r="Q870" t="str">
        <f>VLOOKUP(Продажи[[#This Row],[id клиента]],клиенты!$A$2:$G$435,7,0)</f>
        <v>Россия</v>
      </c>
      <c r="R870">
        <f>IF(COUNTIF($H$2:H870, H870)=1, 1, 0)</f>
        <v>0</v>
      </c>
      <c r="S870" t="str">
        <f>VLOOKUP(Продажи[[#This Row],[id клиента]],клиенты!$A$2:$D$435,4,0)</f>
        <v>да</v>
      </c>
      <c r="T870" s="54">
        <f>VLOOKUP(Продажи[[#This Row],[id клиента]],клиенты!$A$2:$I$435,9,0)</f>
        <v>14.35728952772074</v>
      </c>
    </row>
    <row r="871" spans="1:20" x14ac:dyDescent="0.25">
      <c r="A871">
        <v>870</v>
      </c>
      <c r="B871">
        <v>194</v>
      </c>
      <c r="C871">
        <v>325</v>
      </c>
      <c r="D871">
        <v>4</v>
      </c>
      <c r="E871" s="35">
        <v>6500</v>
      </c>
      <c r="F871" s="48">
        <v>45319</v>
      </c>
      <c r="G871" t="s">
        <v>20</v>
      </c>
      <c r="H871">
        <v>62</v>
      </c>
      <c r="I871" t="str">
        <f>VLOOKUP(Продажи[[#This Row],[id товара]],Товары[],2,0)</f>
        <v>Соль</v>
      </c>
      <c r="J871" s="17">
        <f>AVERAGEIF(Продажи[Категория],Продажи[[#This Row],[Категория]],Продажи[цена за шт в рублях])</f>
        <v>264.8679245283019</v>
      </c>
      <c r="K871" s="16">
        <f>Продажи[[#This Row],[цена за шт в рублях]]/Продажи[[#This Row],[Средняя цена в категории за шт]]-1</f>
        <v>0.22702664197179079</v>
      </c>
      <c r="L871" t="str">
        <f>VLOOKUP(Продажи[[#This Row],[id товара]],Товары[],3,0)</f>
        <v>Салта</v>
      </c>
      <c r="M871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871" s="16">
        <f>Продажи[[#This Row],[цена за шт в рублях]]/Продажи[[#This Row],[Средняя цена в категории за шт по поставщику]]-1</f>
        <v>0.18743149433686512</v>
      </c>
      <c r="O871" s="48">
        <f>VLOOKUP(Продажи[[#This Row],[id клиента]],клиенты!$A$2:$E$435,5,0)</f>
        <v>44671</v>
      </c>
      <c r="P871">
        <f>Продажи[[#This Row],[дата создания чека]]-Продажи[[#This Row],[Дата регистрации]]</f>
        <v>648</v>
      </c>
      <c r="Q871" t="str">
        <f>VLOOKUP(Продажи[[#This Row],[id клиента]],клиенты!$A$2:$G$435,7,0)</f>
        <v>Россия</v>
      </c>
      <c r="R871">
        <f>IF(COUNTIF($H$2:H871, H871)=1, 1, 0)</f>
        <v>0</v>
      </c>
      <c r="S871" t="str">
        <f>VLOOKUP(Продажи[[#This Row],[id клиента]],клиенты!$A$2:$D$435,4,0)</f>
        <v>нет</v>
      </c>
      <c r="T871" s="54">
        <f>VLOOKUP(Продажи[[#This Row],[id клиента]],клиенты!$A$2:$I$435,9,0)</f>
        <v>22.275154004106778</v>
      </c>
    </row>
    <row r="872" spans="1:20" x14ac:dyDescent="0.25">
      <c r="A872">
        <v>871</v>
      </c>
      <c r="B872">
        <v>215</v>
      </c>
      <c r="C872">
        <v>147</v>
      </c>
      <c r="D872">
        <v>3</v>
      </c>
      <c r="E872" s="35">
        <v>2205</v>
      </c>
      <c r="F872" s="48">
        <v>45173</v>
      </c>
      <c r="G872" t="s">
        <v>13</v>
      </c>
      <c r="H872">
        <v>368</v>
      </c>
      <c r="I872" t="str">
        <f>VLOOKUP(Продажи[[#This Row],[id товара]],Товары[],2,0)</f>
        <v>Сок</v>
      </c>
      <c r="J872" s="17">
        <f>AVERAGEIF(Продажи[Категория],Продажи[[#This Row],[Категория]],Продажи[цена за шт в рублях])</f>
        <v>268.60344827586209</v>
      </c>
      <c r="K872" s="16">
        <f>Продажи[[#This Row],[цена за шт в рублях]]/Продажи[[#This Row],[Средняя цена в категории за шт]]-1</f>
        <v>-0.45272482187560181</v>
      </c>
      <c r="L872" t="str">
        <f>VLOOKUP(Продажи[[#This Row],[id товара]],Товары[],3,0)</f>
        <v>Фруктовый сад</v>
      </c>
      <c r="M872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872" s="16">
        <f>Продажи[[#This Row],[цена за шт в рублях]]/Продажи[[#This Row],[Средняя цена в категории за шт по поставщику]]-1</f>
        <v>-0.4786656322730799</v>
      </c>
      <c r="O872" s="48">
        <f>VLOOKUP(Продажи[[#This Row],[id клиента]],клиенты!$A$2:$E$435,5,0)</f>
        <v>44872</v>
      </c>
      <c r="P872">
        <f>Продажи[[#This Row],[дата создания чека]]-Продажи[[#This Row],[Дата регистрации]]</f>
        <v>301</v>
      </c>
      <c r="Q872" t="str">
        <f>VLOOKUP(Продажи[[#This Row],[id клиента]],клиенты!$A$2:$G$435,7,0)</f>
        <v>Узбекистан</v>
      </c>
      <c r="R872">
        <f>IF(COUNTIF($H$2:H872, H872)=1, 1, 0)</f>
        <v>0</v>
      </c>
      <c r="S872" t="str">
        <f>VLOOKUP(Продажи[[#This Row],[id клиента]],клиенты!$A$2:$D$435,4,0)</f>
        <v>да</v>
      </c>
      <c r="T872" s="54">
        <f>VLOOKUP(Продажи[[#This Row],[id клиента]],клиенты!$A$2:$I$435,9,0)</f>
        <v>9.8891170431211499</v>
      </c>
    </row>
    <row r="873" spans="1:20" x14ac:dyDescent="0.25">
      <c r="A873">
        <v>872</v>
      </c>
      <c r="B873">
        <v>307</v>
      </c>
      <c r="C873">
        <v>419</v>
      </c>
      <c r="D873">
        <v>1</v>
      </c>
      <c r="E873" s="35">
        <v>2095</v>
      </c>
      <c r="F873" s="48">
        <v>45189</v>
      </c>
      <c r="G873" t="s">
        <v>25</v>
      </c>
      <c r="H873">
        <v>64</v>
      </c>
      <c r="I873" t="str">
        <f>VLOOKUP(Продажи[[#This Row],[id товара]],Товары[],2,0)</f>
        <v>Сыр</v>
      </c>
      <c r="J873" s="17">
        <f>AVERAGEIF(Продажи[Категория],Продажи[[#This Row],[Категория]],Продажи[цена за шт в рублях])</f>
        <v>262.63492063492066</v>
      </c>
      <c r="K873" s="16">
        <f>Продажи[[#This Row],[цена за шт в рублях]]/Продажи[[#This Row],[Средняя цена в категории за шт]]-1</f>
        <v>0.59537048229179246</v>
      </c>
      <c r="L873" t="str">
        <f>VLOOKUP(Продажи[[#This Row],[id товара]],Товары[],3,0)</f>
        <v>Карат</v>
      </c>
      <c r="M873" s="32">
        <f>AVERAGEIFS(Продажи[цена за шт в рублях],Продажи[Категория],Продажи[[#This Row],[Категория]],Продажи[Поставщик],Продажи[[#This Row],[Поставщик]])</f>
        <v>311.33333333333331</v>
      </c>
      <c r="N873" s="16">
        <f>Продажи[[#This Row],[цена за шт в рублях]]/Продажи[[#This Row],[Средняя цена в категории за шт по поставщику]]-1</f>
        <v>0.34582441113490381</v>
      </c>
      <c r="O873" s="48">
        <f>VLOOKUP(Продажи[[#This Row],[id клиента]],клиенты!$A$2:$E$435,5,0)</f>
        <v>44707</v>
      </c>
      <c r="P873">
        <f>Продажи[[#This Row],[дата создания чека]]-Продажи[[#This Row],[Дата регистрации]]</f>
        <v>482</v>
      </c>
      <c r="Q873" t="str">
        <f>VLOOKUP(Продажи[[#This Row],[id клиента]],клиенты!$A$2:$G$435,7,0)</f>
        <v>Узбекистан</v>
      </c>
      <c r="R873">
        <f>IF(COUNTIF($H$2:H873, H873)=1, 1, 0)</f>
        <v>0</v>
      </c>
      <c r="S873" t="str">
        <f>VLOOKUP(Продажи[[#This Row],[id клиента]],клиенты!$A$2:$D$435,4,0)</f>
        <v>да</v>
      </c>
      <c r="T873" s="54">
        <f>VLOOKUP(Продажи[[#This Row],[id клиента]],клиенты!$A$2:$I$435,9,0)</f>
        <v>15.835728952772074</v>
      </c>
    </row>
    <row r="874" spans="1:20" x14ac:dyDescent="0.25">
      <c r="A874">
        <v>873</v>
      </c>
      <c r="B874">
        <v>424</v>
      </c>
      <c r="C874">
        <v>457</v>
      </c>
      <c r="D874">
        <v>1</v>
      </c>
      <c r="E874" s="35">
        <v>2285</v>
      </c>
      <c r="F874" s="48">
        <v>45099</v>
      </c>
      <c r="G874" t="s">
        <v>18</v>
      </c>
      <c r="H874">
        <v>286</v>
      </c>
      <c r="I874" t="str">
        <f>VLOOKUP(Продажи[[#This Row],[id товара]],Товары[],2,0)</f>
        <v>Печенье</v>
      </c>
      <c r="J874" s="17">
        <f>AVERAGEIF(Продажи[Категория],Продажи[[#This Row],[Категория]],Продажи[цена за шт в рублях])</f>
        <v>283.468085106383</v>
      </c>
      <c r="K874" s="16">
        <f>Продажи[[#This Row],[цена за шт в рублях]]/Продажи[[#This Row],[Средняя цена в категории за шт]]-1</f>
        <v>0.61217443518726999</v>
      </c>
      <c r="L874" t="str">
        <f>VLOOKUP(Продажи[[#This Row],[id товара]],Товары[],3,0)</f>
        <v>КДВ</v>
      </c>
      <c r="M874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874" s="16">
        <f>Продажи[[#This Row],[цена за шт в рублях]]/Продажи[[#This Row],[Средняя цена в категории за шт по поставщику]]-1</f>
        <v>0.41452380952380952</v>
      </c>
      <c r="O874" s="48">
        <f>VLOOKUP(Продажи[[#This Row],[id клиента]],клиенты!$A$2:$E$435,5,0)</f>
        <v>44563</v>
      </c>
      <c r="P874">
        <f>Продажи[[#This Row],[дата создания чека]]-Продажи[[#This Row],[Дата регистрации]]</f>
        <v>536</v>
      </c>
      <c r="Q874" t="str">
        <f>VLOOKUP(Продажи[[#This Row],[id клиента]],клиенты!$A$2:$G$435,7,0)</f>
        <v>Таджикистан</v>
      </c>
      <c r="R874">
        <f>IF(COUNTIF($H$2:H874, H874)=1, 1, 0)</f>
        <v>0</v>
      </c>
      <c r="S874" t="str">
        <f>VLOOKUP(Продажи[[#This Row],[id клиента]],клиенты!$A$2:$D$435,4,0)</f>
        <v>нет</v>
      </c>
      <c r="T874" s="54">
        <f>VLOOKUP(Продажи[[#This Row],[id клиента]],клиенты!$A$2:$I$435,9,0)</f>
        <v>28.451745379876797</v>
      </c>
    </row>
    <row r="875" spans="1:20" x14ac:dyDescent="0.25">
      <c r="A875">
        <v>874</v>
      </c>
      <c r="B875">
        <v>439</v>
      </c>
      <c r="C875">
        <v>392</v>
      </c>
      <c r="D875">
        <v>2</v>
      </c>
      <c r="E875" s="35">
        <v>3920</v>
      </c>
      <c r="F875" s="48">
        <v>45135</v>
      </c>
      <c r="G875" t="s">
        <v>15</v>
      </c>
      <c r="H875">
        <v>74</v>
      </c>
      <c r="I875" t="str">
        <f>VLOOKUP(Продажи[[#This Row],[id товара]],Товары[],2,0)</f>
        <v>Сок</v>
      </c>
      <c r="J875" s="17">
        <f>AVERAGEIF(Продажи[Категория],Продажи[[#This Row],[Категория]],Продажи[цена за шт в рублях])</f>
        <v>268.60344827586209</v>
      </c>
      <c r="K875" s="16">
        <f>Продажи[[#This Row],[цена за шт в рублях]]/Продажи[[#This Row],[Средняя цена в категории за шт]]-1</f>
        <v>0.45940047499839509</v>
      </c>
      <c r="L875" t="str">
        <f>VLOOKUP(Продажи[[#This Row],[id товара]],Товары[],3,0)</f>
        <v>Добрый</v>
      </c>
      <c r="M875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875" s="16">
        <f>Продажи[[#This Row],[цена за шт в рублях]]/Продажи[[#This Row],[Средняя цена в категории за шт по поставщику]]-1</f>
        <v>0.61437663796330955</v>
      </c>
      <c r="O875" s="48">
        <f>VLOOKUP(Продажи[[#This Row],[id клиента]],клиенты!$A$2:$E$435,5,0)</f>
        <v>44857</v>
      </c>
      <c r="P875">
        <f>Продажи[[#This Row],[дата создания чека]]-Продажи[[#This Row],[Дата регистрации]]</f>
        <v>278</v>
      </c>
      <c r="Q875" t="str">
        <f>VLOOKUP(Продажи[[#This Row],[id клиента]],клиенты!$A$2:$G$435,7,0)</f>
        <v>Россия</v>
      </c>
      <c r="R875">
        <f>IF(COUNTIF($H$2:H875, H875)=1, 1, 0)</f>
        <v>0</v>
      </c>
      <c r="S875" t="str">
        <f>VLOOKUP(Продажи[[#This Row],[id клиента]],клиенты!$A$2:$D$435,4,0)</f>
        <v>нет</v>
      </c>
      <c r="T875" s="54">
        <f>VLOOKUP(Продажи[[#This Row],[id клиента]],клиенты!$A$2:$I$435,9,0)</f>
        <v>11.663244353182751</v>
      </c>
    </row>
    <row r="876" spans="1:20" x14ac:dyDescent="0.25">
      <c r="A876">
        <v>875</v>
      </c>
      <c r="B876">
        <v>83</v>
      </c>
      <c r="C876">
        <v>282</v>
      </c>
      <c r="D876">
        <v>5</v>
      </c>
      <c r="E876" s="35">
        <v>7050</v>
      </c>
      <c r="F876" s="48">
        <v>44970</v>
      </c>
      <c r="G876" t="s">
        <v>12</v>
      </c>
      <c r="H876">
        <v>6</v>
      </c>
      <c r="I876" t="str">
        <f>VLOOKUP(Продажи[[#This Row],[id товара]],Товары[],2,0)</f>
        <v>Сок</v>
      </c>
      <c r="J876" s="17">
        <f>AVERAGEIF(Продажи[Категория],Продажи[[#This Row],[Категория]],Продажи[цена за шт в рублях])</f>
        <v>268.60344827586209</v>
      </c>
      <c r="K876" s="16">
        <f>Продажи[[#This Row],[цена за шт в рублях]]/Продажи[[#This Row],[Средняя цена в категории за шт]]-1</f>
        <v>4.9874831503947448E-2</v>
      </c>
      <c r="L876" t="str">
        <f>VLOOKUP(Продажи[[#This Row],[id товара]],Товары[],3,0)</f>
        <v>Сады Придонья</v>
      </c>
      <c r="M876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876" s="16">
        <f>Продажи[[#This Row],[цена за шт в рублях]]/Продажи[[#This Row],[Средняя цена в категории за шт по поставщику]]-1</f>
        <v>0.10944206008583679</v>
      </c>
      <c r="O876" s="48">
        <f>VLOOKUP(Продажи[[#This Row],[id клиента]],клиенты!$A$2:$E$435,5,0)</f>
        <v>44710</v>
      </c>
      <c r="P876">
        <f>Продажи[[#This Row],[дата создания чека]]-Продажи[[#This Row],[Дата регистрации]]</f>
        <v>260</v>
      </c>
      <c r="Q876" t="str">
        <f>VLOOKUP(Продажи[[#This Row],[id клиента]],клиенты!$A$2:$G$435,7,0)</f>
        <v>Украина</v>
      </c>
      <c r="R876">
        <f>IF(COUNTIF($H$2:H876, H876)=1, 1, 0)</f>
        <v>1</v>
      </c>
      <c r="S876" t="str">
        <f>VLOOKUP(Продажи[[#This Row],[id клиента]],клиенты!$A$2:$D$435,4,0)</f>
        <v>нет</v>
      </c>
      <c r="T876" s="54">
        <f>VLOOKUP(Продажи[[#This Row],[id клиента]],клиенты!$A$2:$I$435,9,0)</f>
        <v>8.5420944558521565</v>
      </c>
    </row>
    <row r="877" spans="1:20" x14ac:dyDescent="0.25">
      <c r="A877">
        <v>876</v>
      </c>
      <c r="B877">
        <v>329</v>
      </c>
      <c r="C877">
        <v>265</v>
      </c>
      <c r="D877">
        <v>2</v>
      </c>
      <c r="E877" s="35">
        <v>2650</v>
      </c>
      <c r="F877" s="48">
        <v>45413</v>
      </c>
      <c r="G877" t="s">
        <v>22</v>
      </c>
      <c r="H877">
        <v>258</v>
      </c>
      <c r="I877" t="str">
        <f>VLOOKUP(Продажи[[#This Row],[id товара]],Товары[],2,0)</f>
        <v>Соль</v>
      </c>
      <c r="J877" s="17">
        <f>AVERAGEIF(Продажи[Категория],Продажи[[#This Row],[Категория]],Продажи[цена за шт в рублях])</f>
        <v>264.8679245283019</v>
      </c>
      <c r="K877" s="16">
        <f>Продажи[[#This Row],[цена за шт в рублях]]/Продажи[[#This Row],[Средняя цена в категории за шт]]-1</f>
        <v>4.9864653084474853E-4</v>
      </c>
      <c r="L877" t="str">
        <f>VLOOKUP(Продажи[[#This Row],[id товара]],Товары[],3,0)</f>
        <v>Славянская</v>
      </c>
      <c r="M877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877" s="16">
        <f>Продажи[[#This Row],[цена за шт в рублях]]/Продажи[[#This Row],[Средняя цена в категории за шт по поставщику]]-1</f>
        <v>0.11853675694688715</v>
      </c>
      <c r="O877" s="48">
        <f>VLOOKUP(Продажи[[#This Row],[id клиента]],клиенты!$A$2:$E$435,5,0)</f>
        <v>44717</v>
      </c>
      <c r="P877">
        <f>Продажи[[#This Row],[дата создания чека]]-Продажи[[#This Row],[Дата регистрации]]</f>
        <v>696</v>
      </c>
      <c r="Q877" t="str">
        <f>VLOOKUP(Продажи[[#This Row],[id клиента]],клиенты!$A$2:$G$435,7,0)</f>
        <v>Украина</v>
      </c>
      <c r="R877">
        <f>IF(COUNTIF($H$2:H877, H877)=1, 1, 0)</f>
        <v>0</v>
      </c>
      <c r="S877" t="str">
        <f>VLOOKUP(Продажи[[#This Row],[id клиента]],клиенты!$A$2:$D$435,4,0)</f>
        <v>да</v>
      </c>
      <c r="T877" s="54">
        <f>VLOOKUP(Продажи[[#This Row],[id клиента]],клиенты!$A$2:$I$435,9,0)</f>
        <v>22.866529774127311</v>
      </c>
    </row>
    <row r="878" spans="1:20" x14ac:dyDescent="0.25">
      <c r="A878">
        <v>877</v>
      </c>
      <c r="B878">
        <v>91</v>
      </c>
      <c r="C878">
        <v>146</v>
      </c>
      <c r="D878">
        <v>1</v>
      </c>
      <c r="E878" s="35">
        <v>730</v>
      </c>
      <c r="F878" s="48">
        <v>45022</v>
      </c>
      <c r="G878" t="s">
        <v>24</v>
      </c>
      <c r="H878">
        <v>138</v>
      </c>
      <c r="I878" t="str">
        <f>VLOOKUP(Продажи[[#This Row],[id товара]],Товары[],2,0)</f>
        <v>Сыр</v>
      </c>
      <c r="J878" s="17">
        <f>AVERAGEIF(Продажи[Категория],Продажи[[#This Row],[Категория]],Продажи[цена за шт в рублях])</f>
        <v>262.63492063492066</v>
      </c>
      <c r="K878" s="16">
        <f>Продажи[[#This Row],[цена за шт в рублях]]/Продажи[[#This Row],[Средняя цена в категории за шт]]-1</f>
        <v>-0.44409524960715585</v>
      </c>
      <c r="L878" t="str">
        <f>VLOOKUP(Продажи[[#This Row],[id товара]],Товары[],3,0)</f>
        <v>Сырная долина</v>
      </c>
      <c r="M878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878" s="16">
        <f>Продажи[[#This Row],[цена за шт в рублях]]/Продажи[[#This Row],[Средняя цена в категории за шт по поставщику]]-1</f>
        <v>-0.46125461254612543</v>
      </c>
      <c r="O878" s="48">
        <f>VLOOKUP(Продажи[[#This Row],[id клиента]],клиенты!$A$2:$E$435,5,0)</f>
        <v>44723</v>
      </c>
      <c r="P878">
        <f>Продажи[[#This Row],[дата создания чека]]-Продажи[[#This Row],[Дата регистрации]]</f>
        <v>299</v>
      </c>
      <c r="Q878" t="str">
        <f>VLOOKUP(Продажи[[#This Row],[id клиента]],клиенты!$A$2:$G$435,7,0)</f>
        <v>Украина</v>
      </c>
      <c r="R878">
        <f>IF(COUNTIF($H$2:H878, H878)=1, 1, 0)</f>
        <v>0</v>
      </c>
      <c r="S878" t="str">
        <f>VLOOKUP(Продажи[[#This Row],[id клиента]],клиенты!$A$2:$D$435,4,0)</f>
        <v>да</v>
      </c>
      <c r="T878" s="54">
        <f>VLOOKUP(Продажи[[#This Row],[id клиента]],клиенты!$A$2:$I$435,9,0)</f>
        <v>15.770020533880903</v>
      </c>
    </row>
    <row r="879" spans="1:20" x14ac:dyDescent="0.25">
      <c r="A879">
        <v>878</v>
      </c>
      <c r="B879">
        <v>296</v>
      </c>
      <c r="C879">
        <v>58</v>
      </c>
      <c r="D879">
        <v>2</v>
      </c>
      <c r="E879" s="35">
        <v>580</v>
      </c>
      <c r="F879" s="48">
        <v>45401</v>
      </c>
      <c r="G879" t="s">
        <v>8</v>
      </c>
      <c r="H879">
        <v>419</v>
      </c>
      <c r="I879" t="str">
        <f>VLOOKUP(Продажи[[#This Row],[id товара]],Товары[],2,0)</f>
        <v>Крупа</v>
      </c>
      <c r="J879" s="17">
        <f>AVERAGEIF(Продажи[Категория],Продажи[[#This Row],[Категория]],Продажи[цена за шт в рублях])</f>
        <v>255.11627906976744</v>
      </c>
      <c r="K879" s="16">
        <f>Продажи[[#This Row],[цена за шт в рублях]]/Продажи[[#This Row],[Средняя цена в категории за шт]]-1</f>
        <v>-0.7726526891522334</v>
      </c>
      <c r="L879" t="str">
        <f>VLOOKUP(Продажи[[#This Row],[id товара]],Товары[],3,0)</f>
        <v>Мистраль</v>
      </c>
      <c r="M879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879" s="16">
        <f>Продажи[[#This Row],[цена за шт в рублях]]/Продажи[[#This Row],[Средняя цена в категории за шт по поставщику]]-1</f>
        <v>-0.76828518746158569</v>
      </c>
      <c r="O879" s="48">
        <f>VLOOKUP(Продажи[[#This Row],[id клиента]],клиенты!$A$2:$E$435,5,0)</f>
        <v>44869</v>
      </c>
      <c r="P879">
        <f>Продажи[[#This Row],[дата создания чека]]-Продажи[[#This Row],[Дата регистрации]]</f>
        <v>532</v>
      </c>
      <c r="Q879" t="str">
        <f>VLOOKUP(Продажи[[#This Row],[id клиента]],клиенты!$A$2:$G$435,7,0)</f>
        <v>Таджикистан</v>
      </c>
      <c r="R879">
        <f>IF(COUNTIF($H$2:H879, H879)=1, 1, 0)</f>
        <v>0</v>
      </c>
      <c r="S879" t="str">
        <f>VLOOKUP(Продажи[[#This Row],[id клиента]],клиенты!$A$2:$D$435,4,0)</f>
        <v>да</v>
      </c>
      <c r="T879" s="54">
        <f>VLOOKUP(Продажи[[#This Row],[id клиента]],клиенты!$A$2:$I$435,9,0)</f>
        <v>17.478439425051334</v>
      </c>
    </row>
    <row r="880" spans="1:20" x14ac:dyDescent="0.25">
      <c r="A880">
        <v>879</v>
      </c>
      <c r="B880">
        <v>437</v>
      </c>
      <c r="C880">
        <v>379</v>
      </c>
      <c r="D880">
        <v>2</v>
      </c>
      <c r="E880" s="35">
        <v>3790</v>
      </c>
      <c r="F880" s="48">
        <v>45381</v>
      </c>
      <c r="G880" t="s">
        <v>25</v>
      </c>
      <c r="H880">
        <v>148</v>
      </c>
      <c r="I880" t="str">
        <f>VLOOKUP(Продажи[[#This Row],[id товара]],Товары[],2,0)</f>
        <v>Чай</v>
      </c>
      <c r="J880" s="17">
        <f>AVERAGEIF(Продажи[Категория],Продажи[[#This Row],[Категория]],Продажи[цена за шт в рублях])</f>
        <v>271.18181818181819</v>
      </c>
      <c r="K880" s="16">
        <f>Продажи[[#This Row],[цена за шт в рублях]]/Продажи[[#This Row],[Средняя цена в категории за шт]]-1</f>
        <v>0.39758632249413339</v>
      </c>
      <c r="L880" t="str">
        <f>VLOOKUP(Продажи[[#This Row],[id товара]],Товары[],3,0)</f>
        <v>Тесс</v>
      </c>
      <c r="M880" s="32">
        <f>AVERAGEIFS(Продажи[цена за шт в рублях],Продажи[Категория],Продажи[[#This Row],[Категория]],Продажи[Поставщик],Продажи[[#This Row],[Поставщик]])</f>
        <v>281.75</v>
      </c>
      <c r="N880" s="16">
        <f>Продажи[[#This Row],[цена за шт в рублях]]/Продажи[[#This Row],[Средняя цена в категории за шт по поставщику]]-1</f>
        <v>0.34516415261756883</v>
      </c>
      <c r="O880" s="48">
        <f>VLOOKUP(Продажи[[#This Row],[id клиента]],клиенты!$A$2:$E$435,5,0)</f>
        <v>44700</v>
      </c>
      <c r="P880">
        <f>Продажи[[#This Row],[дата создания чека]]-Продажи[[#This Row],[Дата регистрации]]</f>
        <v>681</v>
      </c>
      <c r="Q880" t="str">
        <f>VLOOKUP(Продажи[[#This Row],[id клиента]],клиенты!$A$2:$G$435,7,0)</f>
        <v>Россия</v>
      </c>
      <c r="R880">
        <f>IF(COUNTIF($H$2:H880, H880)=1, 1, 0)</f>
        <v>0</v>
      </c>
      <c r="S880" t="str">
        <f>VLOOKUP(Продажи[[#This Row],[id клиента]],клиенты!$A$2:$D$435,4,0)</f>
        <v>да</v>
      </c>
      <c r="T880" s="54">
        <f>VLOOKUP(Продажи[[#This Row],[id клиента]],клиенты!$A$2:$I$435,9,0)</f>
        <v>22.373716632443532</v>
      </c>
    </row>
    <row r="881" spans="1:20" x14ac:dyDescent="0.25">
      <c r="A881">
        <v>880</v>
      </c>
      <c r="B881">
        <v>193</v>
      </c>
      <c r="C881">
        <v>201</v>
      </c>
      <c r="D881">
        <v>4</v>
      </c>
      <c r="E881" s="35">
        <v>4020</v>
      </c>
      <c r="F881" s="48">
        <v>45203</v>
      </c>
      <c r="G881" t="s">
        <v>14</v>
      </c>
      <c r="H881">
        <v>105</v>
      </c>
      <c r="I881" t="str">
        <f>VLOOKUP(Продажи[[#This Row],[id товара]],Товары[],2,0)</f>
        <v>Соль</v>
      </c>
      <c r="J881" s="17">
        <f>AVERAGEIF(Продажи[Категория],Продажи[[#This Row],[Категория]],Продажи[цена за шт в рублях])</f>
        <v>264.8679245283019</v>
      </c>
      <c r="K881" s="16">
        <f>Продажи[[#This Row],[цена за шт в рублях]]/Продажи[[#This Row],[Средняя цена в категории за шт]]-1</f>
        <v>-0.24113121527283088</v>
      </c>
      <c r="L881" t="str">
        <f>VLOOKUP(Продажи[[#This Row],[id товара]],Товары[],3,0)</f>
        <v>Салта</v>
      </c>
      <c r="M881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881" s="16">
        <f>Продажи[[#This Row],[цена за шт в рублях]]/Продажи[[#This Row],[Средняя цена в категории за шт по поставщику]]-1</f>
        <v>-0.2656192911947387</v>
      </c>
      <c r="O881" s="48">
        <f>VLOOKUP(Продажи[[#This Row],[id клиента]],клиенты!$A$2:$E$435,5,0)</f>
        <v>44918</v>
      </c>
      <c r="P881">
        <f>Продажи[[#This Row],[дата создания чека]]-Продажи[[#This Row],[Дата регистрации]]</f>
        <v>285</v>
      </c>
      <c r="Q881" t="str">
        <f>VLOOKUP(Продажи[[#This Row],[id клиента]],клиенты!$A$2:$G$435,7,0)</f>
        <v>Узбекистан</v>
      </c>
      <c r="R881">
        <f>IF(COUNTIF($H$2:H881, H881)=1, 1, 0)</f>
        <v>0</v>
      </c>
      <c r="S881" t="str">
        <f>VLOOKUP(Продажи[[#This Row],[id клиента]],клиенты!$A$2:$D$435,4,0)</f>
        <v>да</v>
      </c>
      <c r="T881" s="54">
        <f>VLOOKUP(Продажи[[#This Row],[id клиента]],клиенты!$A$2:$I$435,9,0)</f>
        <v>9.3634496919917858</v>
      </c>
    </row>
    <row r="882" spans="1:20" x14ac:dyDescent="0.25">
      <c r="A882">
        <v>881</v>
      </c>
      <c r="B882">
        <v>144</v>
      </c>
      <c r="C882">
        <v>337</v>
      </c>
      <c r="D882">
        <v>3</v>
      </c>
      <c r="E882" s="35">
        <v>5055</v>
      </c>
      <c r="F882" s="48">
        <v>45039</v>
      </c>
      <c r="G882" t="s">
        <v>24</v>
      </c>
      <c r="H882">
        <v>365</v>
      </c>
      <c r="I882" t="str">
        <f>VLOOKUP(Продажи[[#This Row],[id товара]],Товары[],2,0)</f>
        <v>Макароны</v>
      </c>
      <c r="J882" s="17">
        <f>AVERAGEIF(Продажи[Категория],Продажи[[#This Row],[Категория]],Продажи[цена за шт в рублях])</f>
        <v>265.47674418604652</v>
      </c>
      <c r="K882" s="16">
        <f>Продажи[[#This Row],[цена за шт в рублях]]/Продажи[[#This Row],[Средняя цена в категории за шт]]-1</f>
        <v>0.2694143927116639</v>
      </c>
      <c r="L882" t="str">
        <f>VLOOKUP(Продажи[[#This Row],[id товара]],Товары[],3,0)</f>
        <v>Роллтон</v>
      </c>
      <c r="M882" s="32">
        <f>AVERAGEIFS(Продажи[цена за шт в рублях],Продажи[Категория],Продажи[[#This Row],[Категория]],Продажи[Поставщик],Продажи[[#This Row],[Поставщик]])</f>
        <v>235.55555555555554</v>
      </c>
      <c r="N882" s="16">
        <f>Продажи[[#This Row],[цена за шт в рублях]]/Продажи[[#This Row],[Средняя цена в категории за шт по поставщику]]-1</f>
        <v>0.43066037735849072</v>
      </c>
      <c r="O882" s="48">
        <f>VLOOKUP(Продажи[[#This Row],[id клиента]],клиенты!$A$2:$E$435,5,0)</f>
        <v>44841</v>
      </c>
      <c r="P882">
        <f>Продажи[[#This Row],[дата создания чека]]-Продажи[[#This Row],[Дата регистрации]]</f>
        <v>198</v>
      </c>
      <c r="Q882" t="str">
        <f>VLOOKUP(Продажи[[#This Row],[id клиента]],клиенты!$A$2:$G$435,7,0)</f>
        <v>Беларусь</v>
      </c>
      <c r="R882">
        <f>IF(COUNTIF($H$2:H882, H882)=1, 1, 0)</f>
        <v>0</v>
      </c>
      <c r="S882" t="str">
        <f>VLOOKUP(Продажи[[#This Row],[id клиента]],клиенты!$A$2:$D$435,4,0)</f>
        <v>нет</v>
      </c>
      <c r="T882" s="54">
        <f>VLOOKUP(Продажи[[#This Row],[id клиента]],клиенты!$A$2:$I$435,9,0)</f>
        <v>17.971252566735114</v>
      </c>
    </row>
    <row r="883" spans="1:20" x14ac:dyDescent="0.25">
      <c r="A883">
        <v>882</v>
      </c>
      <c r="B883">
        <v>27</v>
      </c>
      <c r="C883">
        <v>160</v>
      </c>
      <c r="D883">
        <v>1</v>
      </c>
      <c r="E883" s="35">
        <v>800</v>
      </c>
      <c r="F883" s="48">
        <v>45276</v>
      </c>
      <c r="G883" t="s">
        <v>16</v>
      </c>
      <c r="H883">
        <v>416</v>
      </c>
      <c r="I883" t="str">
        <f>VLOOKUP(Продажи[[#This Row],[id товара]],Товары[],2,0)</f>
        <v>Макароны</v>
      </c>
      <c r="J883" s="17">
        <f>AVERAGEIF(Продажи[Категория],Продажи[[#This Row],[Категория]],Продажи[цена за шт в рублях])</f>
        <v>265.47674418604652</v>
      </c>
      <c r="K883" s="16">
        <f>Продажи[[#This Row],[цена за шт в рублях]]/Продажи[[#This Row],[Средняя цена в категории за шт]]-1</f>
        <v>-0.39731067408348297</v>
      </c>
      <c r="L883" t="str">
        <f>VLOOKUP(Продажи[[#This Row],[id товара]],Товары[],3,0)</f>
        <v>Паста Зара</v>
      </c>
      <c r="M883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883" s="16">
        <f>Продажи[[#This Row],[цена за шт в рублях]]/Продажи[[#This Row],[Средняя цена в категории за шт по поставщику]]-1</f>
        <v>-0.42170557780599782</v>
      </c>
      <c r="O883" s="48">
        <f>VLOOKUP(Продажи[[#This Row],[id клиента]],клиенты!$A$2:$E$435,5,0)</f>
        <v>44703</v>
      </c>
      <c r="P883">
        <f>Продажи[[#This Row],[дата создания чека]]-Продажи[[#This Row],[Дата регистрации]]</f>
        <v>573</v>
      </c>
      <c r="Q883" t="str">
        <f>VLOOKUP(Продажи[[#This Row],[id клиента]],клиенты!$A$2:$G$435,7,0)</f>
        <v>Таджикистан</v>
      </c>
      <c r="R883">
        <f>IF(COUNTIF($H$2:H883, H883)=1, 1, 0)</f>
        <v>0</v>
      </c>
      <c r="S883" t="str">
        <f>VLOOKUP(Продажи[[#This Row],[id клиента]],клиенты!$A$2:$D$435,4,0)</f>
        <v>нет</v>
      </c>
      <c r="T883" s="54">
        <f>VLOOKUP(Продажи[[#This Row],[id клиента]],клиенты!$A$2:$I$435,9,0)</f>
        <v>18.82546201232033</v>
      </c>
    </row>
    <row r="884" spans="1:20" x14ac:dyDescent="0.25">
      <c r="A884">
        <v>883</v>
      </c>
      <c r="B884">
        <v>375</v>
      </c>
      <c r="C884">
        <v>197</v>
      </c>
      <c r="D884">
        <v>5</v>
      </c>
      <c r="E884" s="35">
        <v>4925</v>
      </c>
      <c r="F884" s="48">
        <v>45368</v>
      </c>
      <c r="G884" t="s">
        <v>15</v>
      </c>
      <c r="H884">
        <v>315</v>
      </c>
      <c r="I884" t="str">
        <f>VLOOKUP(Продажи[[#This Row],[id товара]],Товары[],2,0)</f>
        <v>Макароны</v>
      </c>
      <c r="J884" s="17">
        <f>AVERAGEIF(Продажи[Категория],Продажи[[#This Row],[Категория]],Продажи[цена за шт в рублях])</f>
        <v>265.47674418604652</v>
      </c>
      <c r="K884" s="16">
        <f>Продажи[[#This Row],[цена за шт в рублях]]/Продажи[[#This Row],[Средняя цена в категории за шт]]-1</f>
        <v>-0.25793876746528843</v>
      </c>
      <c r="L884" t="str">
        <f>VLOOKUP(Продажи[[#This Row],[id товара]],Товары[],3,0)</f>
        <v>Борилла</v>
      </c>
      <c r="M884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884" s="16">
        <f>Продажи[[#This Row],[цена за шт в рублях]]/Продажи[[#This Row],[Средняя цена в категории за шт по поставщику]]-1</f>
        <v>-0.16622883829538826</v>
      </c>
      <c r="O884" s="48">
        <f>VLOOKUP(Продажи[[#This Row],[id клиента]],клиенты!$A$2:$E$435,5,0)</f>
        <v>44747</v>
      </c>
      <c r="P884">
        <f>Продажи[[#This Row],[дата создания чека]]-Продажи[[#This Row],[Дата регистрации]]</f>
        <v>621</v>
      </c>
      <c r="Q884" t="str">
        <f>VLOOKUP(Продажи[[#This Row],[id клиента]],клиенты!$A$2:$G$435,7,0)</f>
        <v>Узбекистан</v>
      </c>
      <c r="R884">
        <f>IF(COUNTIF($H$2:H884, H884)=1, 1, 0)</f>
        <v>0</v>
      </c>
      <c r="S884" t="str">
        <f>VLOOKUP(Продажи[[#This Row],[id клиента]],клиенты!$A$2:$D$435,4,0)</f>
        <v>да</v>
      </c>
      <c r="T884" s="54">
        <f>VLOOKUP(Продажи[[#This Row],[id клиента]],клиенты!$A$2:$I$435,9,0)</f>
        <v>20.402464065708418</v>
      </c>
    </row>
    <row r="885" spans="1:20" x14ac:dyDescent="0.25">
      <c r="A885">
        <v>884</v>
      </c>
      <c r="B885">
        <v>453</v>
      </c>
      <c r="C885">
        <v>437</v>
      </c>
      <c r="D885">
        <v>2</v>
      </c>
      <c r="E885" s="35">
        <v>4370</v>
      </c>
      <c r="F885" s="48">
        <v>45394</v>
      </c>
      <c r="G885" t="s">
        <v>25</v>
      </c>
      <c r="H885">
        <v>81</v>
      </c>
      <c r="I885" t="str">
        <f>VLOOKUP(Продажи[[#This Row],[id товара]],Товары[],2,0)</f>
        <v>Макароны</v>
      </c>
      <c r="J885" s="17">
        <f>AVERAGEIF(Продажи[Категория],Продажи[[#This Row],[Категория]],Продажи[цена за шт в рублях])</f>
        <v>265.47674418604652</v>
      </c>
      <c r="K885" s="16">
        <f>Продажи[[#This Row],[цена за шт в рублях]]/Продажи[[#This Row],[Средняя цена в категории за шт]]-1</f>
        <v>0.64609522140948705</v>
      </c>
      <c r="L885" t="str">
        <f>VLOOKUP(Продажи[[#This Row],[id товара]],Товары[],3,0)</f>
        <v>Макфа</v>
      </c>
      <c r="M885" s="32">
        <f>AVERAGEIFS(Продажи[цена за шт в рублях],Продажи[Категория],Продажи[[#This Row],[Категория]],Продажи[Поставщик],Продажи[[#This Row],[Поставщик]])</f>
        <v>329.27272727272725</v>
      </c>
      <c r="N885" s="16">
        <f>Продажи[[#This Row],[цена за шт в рублях]]/Продажи[[#This Row],[Средняя цена в категории за шт по поставщику]]-1</f>
        <v>0.32716731087796802</v>
      </c>
      <c r="O885" s="48">
        <f>VLOOKUP(Продажи[[#This Row],[id клиента]],клиенты!$A$2:$E$435,5,0)</f>
        <v>44825</v>
      </c>
      <c r="P885">
        <f>Продажи[[#This Row],[дата создания чека]]-Продажи[[#This Row],[Дата регистрации]]</f>
        <v>569</v>
      </c>
      <c r="Q885" t="str">
        <f>VLOOKUP(Продажи[[#This Row],[id клиента]],клиенты!$A$2:$G$435,7,0)</f>
        <v>Россия</v>
      </c>
      <c r="R885">
        <f>IF(COUNTIF($H$2:H885, H885)=1, 1, 0)</f>
        <v>0</v>
      </c>
      <c r="S885" t="str">
        <f>VLOOKUP(Продажи[[#This Row],[id клиента]],клиенты!$A$2:$D$435,4,0)</f>
        <v>да</v>
      </c>
      <c r="T885" s="54">
        <f>VLOOKUP(Продажи[[#This Row],[id клиента]],клиенты!$A$2:$I$435,9,0)</f>
        <v>18.694045174537987</v>
      </c>
    </row>
    <row r="886" spans="1:20" x14ac:dyDescent="0.25">
      <c r="A886">
        <v>885</v>
      </c>
      <c r="B886">
        <v>388</v>
      </c>
      <c r="C886">
        <v>205</v>
      </c>
      <c r="D886">
        <v>2</v>
      </c>
      <c r="E886" s="35">
        <v>2050</v>
      </c>
      <c r="F886" s="48">
        <v>45404</v>
      </c>
      <c r="G886" t="s">
        <v>21</v>
      </c>
      <c r="H886">
        <v>262</v>
      </c>
      <c r="I886" t="str">
        <f>VLOOKUP(Продажи[[#This Row],[id товара]],Товары[],2,0)</f>
        <v>Рыба</v>
      </c>
      <c r="J886" s="17">
        <f>AVERAGEIF(Продажи[Категория],Продажи[[#This Row],[Категория]],Продажи[цена за шт в рублях])</f>
        <v>258.5128205128205</v>
      </c>
      <c r="K886" s="16">
        <f>Продажи[[#This Row],[цена за шт в рублях]]/Продажи[[#This Row],[Средняя цена в категории за шт]]-1</f>
        <v>-0.20700257885340201</v>
      </c>
      <c r="L886" t="str">
        <f>VLOOKUP(Продажи[[#This Row],[id товара]],Товары[],3,0)</f>
        <v>Меридиан</v>
      </c>
      <c r="M886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886" s="16">
        <f>Продажи[[#This Row],[цена за шт в рублях]]/Продажи[[#This Row],[Средняя цена в категории за шт по поставщику]]-1</f>
        <v>-0.21349582487023244</v>
      </c>
      <c r="O886" s="48">
        <f>VLOOKUP(Продажи[[#This Row],[id клиента]],клиенты!$A$2:$E$435,5,0)</f>
        <v>44778</v>
      </c>
      <c r="P886">
        <f>Продажи[[#This Row],[дата создания чека]]-Продажи[[#This Row],[Дата регистрации]]</f>
        <v>626</v>
      </c>
      <c r="Q886" t="str">
        <f>VLOOKUP(Продажи[[#This Row],[id клиента]],клиенты!$A$2:$G$435,7,0)</f>
        <v>Таджикистан</v>
      </c>
      <c r="R886">
        <f>IF(COUNTIF($H$2:H886, H886)=1, 1, 0)</f>
        <v>0</v>
      </c>
      <c r="S886" t="str">
        <f>VLOOKUP(Продажи[[#This Row],[id клиента]],клиенты!$A$2:$D$435,4,0)</f>
        <v>да</v>
      </c>
      <c r="T886" s="54">
        <f>VLOOKUP(Продажи[[#This Row],[id клиента]],клиенты!$A$2:$I$435,9,0)</f>
        <v>20.566735112936346</v>
      </c>
    </row>
    <row r="887" spans="1:20" x14ac:dyDescent="0.25">
      <c r="A887">
        <v>886</v>
      </c>
      <c r="B887">
        <v>312</v>
      </c>
      <c r="C887">
        <v>476</v>
      </c>
      <c r="D887">
        <v>2</v>
      </c>
      <c r="E887" s="35">
        <v>4760</v>
      </c>
      <c r="F887" s="48">
        <v>45113</v>
      </c>
      <c r="G887" t="s">
        <v>24</v>
      </c>
      <c r="H887">
        <v>239</v>
      </c>
      <c r="I887" t="str">
        <f>VLOOKUP(Продажи[[#This Row],[id товара]],Товары[],2,0)</f>
        <v>Хлеб</v>
      </c>
      <c r="J887" s="17">
        <f>AVERAGEIF(Продажи[Категория],Продажи[[#This Row],[Категория]],Продажи[цена за шт в рублях])</f>
        <v>300.31818181818181</v>
      </c>
      <c r="K887" s="16">
        <f>Продажи[[#This Row],[цена за шт в рублях]]/Продажи[[#This Row],[Средняя цена в категории за шт]]-1</f>
        <v>0.58498562131073117</v>
      </c>
      <c r="L887" t="str">
        <f>VLOOKUP(Продажи[[#This Row],[id товара]],Товары[],3,0)</f>
        <v>Каравай</v>
      </c>
      <c r="M887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887" s="16">
        <f>Продажи[[#This Row],[цена за шт в рублях]]/Продажи[[#This Row],[Средняя цена в категории за шт по поставщику]]-1</f>
        <v>0.43734272773024663</v>
      </c>
      <c r="O887" s="48">
        <f>VLOOKUP(Продажи[[#This Row],[id клиента]],клиенты!$A$2:$E$435,5,0)</f>
        <v>44767</v>
      </c>
      <c r="P887">
        <f>Продажи[[#This Row],[дата создания чека]]-Продажи[[#This Row],[Дата регистрации]]</f>
        <v>346</v>
      </c>
      <c r="Q887" t="str">
        <f>VLOOKUP(Продажи[[#This Row],[id клиента]],клиенты!$A$2:$G$435,7,0)</f>
        <v>Узбекистан</v>
      </c>
      <c r="R887">
        <f>IF(COUNTIF($H$2:H887, H887)=1, 1, 0)</f>
        <v>0</v>
      </c>
      <c r="S887" t="str">
        <f>VLOOKUP(Продажи[[#This Row],[id клиента]],клиенты!$A$2:$D$435,4,0)</f>
        <v>нет</v>
      </c>
      <c r="T887" s="54">
        <f>VLOOKUP(Продажи[[#This Row],[id клиента]],клиенты!$A$2:$I$435,9,0)</f>
        <v>11.893223819301848</v>
      </c>
    </row>
    <row r="888" spans="1:20" x14ac:dyDescent="0.25">
      <c r="A888">
        <v>887</v>
      </c>
      <c r="B888">
        <v>486</v>
      </c>
      <c r="C888">
        <v>230</v>
      </c>
      <c r="D888">
        <v>2</v>
      </c>
      <c r="E888" s="35">
        <v>2300</v>
      </c>
      <c r="F888" s="48">
        <v>45207</v>
      </c>
      <c r="G888" t="s">
        <v>9</v>
      </c>
      <c r="H888">
        <v>358</v>
      </c>
      <c r="I888" t="str">
        <f>VLOOKUP(Продажи[[#This Row],[id товара]],Товары[],2,0)</f>
        <v>Соль</v>
      </c>
      <c r="J888" s="17">
        <f>AVERAGEIF(Продажи[Категория],Продажи[[#This Row],[Категория]],Продажи[цена за шт в рублях])</f>
        <v>264.8679245283019</v>
      </c>
      <c r="K888" s="16">
        <f>Продажи[[#This Row],[цена за шт в рублях]]/Продажи[[#This Row],[Средняя цена в категории за шт]]-1</f>
        <v>-0.13164268414304037</v>
      </c>
      <c r="L888" t="str">
        <f>VLOOKUP(Продажи[[#This Row],[id товара]],Товары[],3,0)</f>
        <v>Илецкая</v>
      </c>
      <c r="M888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888" s="16">
        <f>Продажи[[#This Row],[цена за шт в рублях]]/Продажи[[#This Row],[Средняя цена в категории за шт по поставщику]]-1</f>
        <v>-3.4289713086074092E-2</v>
      </c>
      <c r="O888" s="48">
        <f>VLOOKUP(Продажи[[#This Row],[id клиента]],клиенты!$A$2:$E$435,5,0)</f>
        <v>44771</v>
      </c>
      <c r="P888">
        <f>Продажи[[#This Row],[дата создания чека]]-Продажи[[#This Row],[Дата регистрации]]</f>
        <v>436</v>
      </c>
      <c r="Q888" t="str">
        <f>VLOOKUP(Продажи[[#This Row],[id клиента]],клиенты!$A$2:$G$435,7,0)</f>
        <v>Украина</v>
      </c>
      <c r="R888">
        <f>IF(COUNTIF($H$2:H888, H888)=1, 1, 0)</f>
        <v>0</v>
      </c>
      <c r="S888" t="str">
        <f>VLOOKUP(Продажи[[#This Row],[id клиента]],клиенты!$A$2:$D$435,4,0)</f>
        <v>да</v>
      </c>
      <c r="T888" s="54">
        <f>VLOOKUP(Продажи[[#This Row],[id клиента]],клиенты!$A$2:$I$435,9,0)</f>
        <v>20.829568788501028</v>
      </c>
    </row>
    <row r="889" spans="1:20" x14ac:dyDescent="0.25">
      <c r="A889">
        <v>888</v>
      </c>
      <c r="B889">
        <v>295</v>
      </c>
      <c r="C889">
        <v>219</v>
      </c>
      <c r="D889">
        <v>5</v>
      </c>
      <c r="E889" s="35">
        <v>5475</v>
      </c>
      <c r="F889" s="48">
        <v>45165</v>
      </c>
      <c r="G889" t="s">
        <v>19</v>
      </c>
      <c r="H889">
        <v>331</v>
      </c>
      <c r="I889" t="str">
        <f>VLOOKUP(Продажи[[#This Row],[id товара]],Товары[],2,0)</f>
        <v>Печенье</v>
      </c>
      <c r="J889" s="17">
        <f>AVERAGEIF(Продажи[Категория],Продажи[[#This Row],[Категория]],Продажи[цена за шт в рублях])</f>
        <v>283.468085106383</v>
      </c>
      <c r="K889" s="16">
        <f>Продажи[[#This Row],[цена за шт в рублях]]/Продажи[[#This Row],[Средняя цена в категории за шт]]-1</f>
        <v>-0.22742625534789462</v>
      </c>
      <c r="L889" t="str">
        <f>VLOOKUP(Продажи[[#This Row],[id товара]],Товары[],3,0)</f>
        <v>Белогорье</v>
      </c>
      <c r="M889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889" s="16">
        <f>Продажи[[#This Row],[цена за шт в рублях]]/Продажи[[#This Row],[Средняя цена в категории за шт по поставщику]]-1</f>
        <v>-0.12224448897795592</v>
      </c>
      <c r="O889" s="48">
        <f>VLOOKUP(Продажи[[#This Row],[id клиента]],клиенты!$A$2:$E$435,5,0)</f>
        <v>44813</v>
      </c>
      <c r="P889">
        <f>Продажи[[#This Row],[дата создания чека]]-Продажи[[#This Row],[Дата регистрации]]</f>
        <v>352</v>
      </c>
      <c r="Q889" t="str">
        <f>VLOOKUP(Продажи[[#This Row],[id клиента]],клиенты!$A$2:$G$435,7,0)</f>
        <v>Узбекистан</v>
      </c>
      <c r="R889">
        <f>IF(COUNTIF($H$2:H889, H889)=1, 1, 0)</f>
        <v>0</v>
      </c>
      <c r="S889" t="str">
        <f>VLOOKUP(Продажи[[#This Row],[id клиента]],клиенты!$A$2:$D$435,4,0)</f>
        <v>нет</v>
      </c>
      <c r="T889" s="54">
        <f>VLOOKUP(Продажи[[#This Row],[id клиента]],клиенты!$A$2:$I$435,9,0)</f>
        <v>11.564681724845997</v>
      </c>
    </row>
    <row r="890" spans="1:20" x14ac:dyDescent="0.25">
      <c r="A890">
        <v>889</v>
      </c>
      <c r="B890">
        <v>1</v>
      </c>
      <c r="C890">
        <v>206</v>
      </c>
      <c r="D890">
        <v>3</v>
      </c>
      <c r="E890" s="35">
        <v>3090</v>
      </c>
      <c r="F890" s="48">
        <v>44986</v>
      </c>
      <c r="G890" t="s">
        <v>13</v>
      </c>
      <c r="H890">
        <v>31</v>
      </c>
      <c r="I890" t="str">
        <f>VLOOKUP(Продажи[[#This Row],[id товара]],Товары[],2,0)</f>
        <v>Крупа</v>
      </c>
      <c r="J890" s="17">
        <f>AVERAGEIF(Продажи[Категория],Продажи[[#This Row],[Категория]],Продажи[цена за шт в рублях])</f>
        <v>255.11627906976744</v>
      </c>
      <c r="K890" s="16">
        <f>Продажи[[#This Row],[цена за шт в рублях]]/Продажи[[#This Row],[Средняя цена в категории за шт]]-1</f>
        <v>-0.1925250683682771</v>
      </c>
      <c r="L890" t="str">
        <f>VLOOKUP(Продажи[[#This Row],[id товара]],Товары[],3,0)</f>
        <v>Ярмарка</v>
      </c>
      <c r="M890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890" s="16">
        <f>Продажи[[#This Row],[цена за шт в рублях]]/Продажи[[#This Row],[Средняя цена в категории за шт по поставщику]]-1</f>
        <v>-0.18283447529751173</v>
      </c>
      <c r="O890" s="48">
        <f>VLOOKUP(Продажи[[#This Row],[id клиента]],клиенты!$A$2:$E$435,5,0)</f>
        <v>44580</v>
      </c>
      <c r="P890">
        <f>Продажи[[#This Row],[дата создания чека]]-Продажи[[#This Row],[Дата регистрации]]</f>
        <v>406</v>
      </c>
      <c r="Q890" t="str">
        <f>VLOOKUP(Продажи[[#This Row],[id клиента]],клиенты!$A$2:$G$435,7,0)</f>
        <v>Украина</v>
      </c>
      <c r="R890">
        <f>IF(COUNTIF($H$2:H890, H890)=1, 1, 0)</f>
        <v>0</v>
      </c>
      <c r="S890" t="str">
        <f>VLOOKUP(Продажи[[#This Row],[id клиента]],клиенты!$A$2:$D$435,4,0)</f>
        <v>нет</v>
      </c>
      <c r="T890" s="54">
        <f>VLOOKUP(Продажи[[#This Row],[id клиента]],клиенты!$A$2:$I$435,9,0)</f>
        <v>19.811088295687885</v>
      </c>
    </row>
    <row r="891" spans="1:20" x14ac:dyDescent="0.25">
      <c r="A891">
        <v>890</v>
      </c>
      <c r="B891">
        <v>347</v>
      </c>
      <c r="C891">
        <v>343</v>
      </c>
      <c r="D891">
        <v>3</v>
      </c>
      <c r="E891" s="35">
        <v>5145</v>
      </c>
      <c r="F891" s="48">
        <v>44937</v>
      </c>
      <c r="G891" t="s">
        <v>10</v>
      </c>
      <c r="H891">
        <v>74</v>
      </c>
      <c r="I891" t="str">
        <f>VLOOKUP(Продажи[[#This Row],[id товара]],Товары[],2,0)</f>
        <v>Макароны</v>
      </c>
      <c r="J891" s="17">
        <f>AVERAGEIF(Продажи[Категория],Продажи[[#This Row],[Категория]],Продажи[цена за шт в рублях])</f>
        <v>265.47674418604652</v>
      </c>
      <c r="K891" s="16">
        <f>Продажи[[#This Row],[цена за шт в рублях]]/Продажи[[#This Row],[Средняя цена в категории за шт]]-1</f>
        <v>0.29201524243353338</v>
      </c>
      <c r="L891" t="str">
        <f>VLOOKUP(Продажи[[#This Row],[id товара]],Товары[],3,0)</f>
        <v>Паста Зара</v>
      </c>
      <c r="M891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891" s="16">
        <f>Продажи[[#This Row],[цена за шт в рублях]]/Продажи[[#This Row],[Средняя цена в категории за шт по поставщику]]-1</f>
        <v>0.239718667578392</v>
      </c>
      <c r="O891" s="48">
        <f>VLOOKUP(Продажи[[#This Row],[id клиента]],клиенты!$A$2:$E$435,5,0)</f>
        <v>44857</v>
      </c>
      <c r="P891">
        <f>Продажи[[#This Row],[дата создания чека]]-Продажи[[#This Row],[Дата регистрации]]</f>
        <v>80</v>
      </c>
      <c r="Q891" t="str">
        <f>VLOOKUP(Продажи[[#This Row],[id клиента]],клиенты!$A$2:$G$435,7,0)</f>
        <v>Россия</v>
      </c>
      <c r="R891">
        <f>IF(COUNTIF($H$2:H891, H891)=1, 1, 0)</f>
        <v>0</v>
      </c>
      <c r="S891" t="str">
        <f>VLOOKUP(Продажи[[#This Row],[id клиента]],клиенты!$A$2:$D$435,4,0)</f>
        <v>нет</v>
      </c>
      <c r="T891" s="54">
        <f>VLOOKUP(Продажи[[#This Row],[id клиента]],клиенты!$A$2:$I$435,9,0)</f>
        <v>11.663244353182751</v>
      </c>
    </row>
    <row r="892" spans="1:20" x14ac:dyDescent="0.25">
      <c r="A892">
        <v>891</v>
      </c>
      <c r="B892">
        <v>308</v>
      </c>
      <c r="C892">
        <v>147</v>
      </c>
      <c r="D892">
        <v>2</v>
      </c>
      <c r="E892" s="35">
        <v>1470</v>
      </c>
      <c r="F892" s="48">
        <v>45261</v>
      </c>
      <c r="G892" t="s">
        <v>19</v>
      </c>
      <c r="H892">
        <v>80</v>
      </c>
      <c r="I892" t="str">
        <f>VLOOKUP(Продажи[[#This Row],[id товара]],Товары[],2,0)</f>
        <v>Конфеты</v>
      </c>
      <c r="J892" s="17">
        <f>AVERAGEIF(Продажи[Категория],Продажи[[#This Row],[Категория]],Продажи[цена за шт в рублях])</f>
        <v>267.85483870967744</v>
      </c>
      <c r="K892" s="16">
        <f>Продажи[[#This Row],[цена за шт в рублях]]/Продажи[[#This Row],[Средняя цена в категории за шт]]-1</f>
        <v>-0.45119527909917512</v>
      </c>
      <c r="L892" t="str">
        <f>VLOOKUP(Продажи[[#This Row],[id товара]],Товары[],3,0)</f>
        <v>Бабаевский</v>
      </c>
      <c r="M892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892" s="16">
        <f>Продажи[[#This Row],[цена за шт в рублях]]/Продажи[[#This Row],[Средняя цена в категории за шт по поставщику]]-1</f>
        <v>-0.41260914607074151</v>
      </c>
      <c r="O892" s="48">
        <f>VLOOKUP(Продажи[[#This Row],[id клиента]],клиенты!$A$2:$E$435,5,0)</f>
        <v>44623</v>
      </c>
      <c r="P892">
        <f>Продажи[[#This Row],[дата создания чека]]-Продажи[[#This Row],[Дата регистрации]]</f>
        <v>638</v>
      </c>
      <c r="Q892" t="str">
        <f>VLOOKUP(Продажи[[#This Row],[id клиента]],клиенты!$A$2:$G$435,7,0)</f>
        <v>Беларусь</v>
      </c>
      <c r="R892">
        <f>IF(COUNTIF($H$2:H892, H892)=1, 1, 0)</f>
        <v>0</v>
      </c>
      <c r="S892" t="str">
        <f>VLOOKUP(Продажи[[#This Row],[id клиента]],клиенты!$A$2:$D$435,4,0)</f>
        <v>нет</v>
      </c>
      <c r="T892" s="54">
        <f>VLOOKUP(Продажи[[#This Row],[id клиента]],клиенты!$A$2:$I$435,9,0)</f>
        <v>25.790554414784395</v>
      </c>
    </row>
    <row r="893" spans="1:20" x14ac:dyDescent="0.25">
      <c r="A893">
        <v>892</v>
      </c>
      <c r="B893">
        <v>52</v>
      </c>
      <c r="C893">
        <v>423</v>
      </c>
      <c r="D893">
        <v>3</v>
      </c>
      <c r="E893" s="35">
        <v>6345</v>
      </c>
      <c r="F893" s="48">
        <v>45378</v>
      </c>
      <c r="G893" t="s">
        <v>14</v>
      </c>
      <c r="H893">
        <v>496</v>
      </c>
      <c r="I893" t="str">
        <f>VLOOKUP(Продажи[[#This Row],[id товара]],Товары[],2,0)</f>
        <v>Соль</v>
      </c>
      <c r="J893" s="17">
        <f>AVERAGEIF(Продажи[Категория],Продажи[[#This Row],[Категория]],Продажи[цена за шт в рублях])</f>
        <v>264.8679245283019</v>
      </c>
      <c r="K893" s="16">
        <f>Продажи[[#This Row],[цена за шт в рублях]]/Продажи[[#This Row],[Средняя цена в категории за шт]]-1</f>
        <v>0.59702236785866925</v>
      </c>
      <c r="L893" t="str">
        <f>VLOOKUP(Продажи[[#This Row],[id товара]],Товары[],3,0)</f>
        <v>Илецкая</v>
      </c>
      <c r="M893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893" s="16">
        <f>Продажи[[#This Row],[цена за шт в рублях]]/Продажи[[#This Row],[Средняя цена в категории за шт по поставщику]]-1</f>
        <v>0.77606717984604634</v>
      </c>
      <c r="O893" s="48">
        <f>VLOOKUP(Продажи[[#This Row],[id клиента]],клиенты!$A$2:$E$435,5,0)</f>
        <v>44867</v>
      </c>
      <c r="P893">
        <f>Продажи[[#This Row],[дата создания чека]]-Продажи[[#This Row],[Дата регистрации]]</f>
        <v>511</v>
      </c>
      <c r="Q893" t="str">
        <f>VLOOKUP(Продажи[[#This Row],[id клиента]],клиенты!$A$2:$G$435,7,0)</f>
        <v>Украина</v>
      </c>
      <c r="R893">
        <f>IF(COUNTIF($H$2:H893, H893)=1, 1, 0)</f>
        <v>0</v>
      </c>
      <c r="S893" t="str">
        <f>VLOOKUP(Продажи[[#This Row],[id клиента]],клиенты!$A$2:$D$435,4,0)</f>
        <v>да</v>
      </c>
      <c r="T893" s="54">
        <f>VLOOKUP(Продажи[[#This Row],[id клиента]],клиенты!$A$2:$I$435,9,0)</f>
        <v>16.788501026694046</v>
      </c>
    </row>
    <row r="894" spans="1:20" x14ac:dyDescent="0.25">
      <c r="A894">
        <v>893</v>
      </c>
      <c r="B894">
        <v>75</v>
      </c>
      <c r="C894">
        <v>494</v>
      </c>
      <c r="D894">
        <v>4</v>
      </c>
      <c r="E894" s="35">
        <v>9880</v>
      </c>
      <c r="F894" s="48">
        <v>45030</v>
      </c>
      <c r="G894" t="s">
        <v>11</v>
      </c>
      <c r="H894">
        <v>477</v>
      </c>
      <c r="I894" t="str">
        <f>VLOOKUP(Продажи[[#This Row],[id товара]],Товары[],2,0)</f>
        <v>Печенье</v>
      </c>
      <c r="J894" s="17">
        <f>AVERAGEIF(Продажи[Категория],Продажи[[#This Row],[Категория]],Продажи[цена за шт в рублях])</f>
        <v>283.468085106383</v>
      </c>
      <c r="K894" s="16">
        <f>Продажи[[#This Row],[цена за шт в рублях]]/Продажи[[#This Row],[Средняя цена в категории за шт]]-1</f>
        <v>0.7427005929595436</v>
      </c>
      <c r="L894" t="str">
        <f>VLOOKUP(Продажи[[#This Row],[id товара]],Товары[],3,0)</f>
        <v>Белогорье</v>
      </c>
      <c r="M894" s="32">
        <f>AVERAGEIFS(Продажи[цена за шт в рублях],Продажи[Категория],Продажи[[#This Row],[Категория]],Продажи[Поставщик],Продажи[[#This Row],[Поставщик]])</f>
        <v>249.5</v>
      </c>
      <c r="N894" s="16">
        <f>Продажи[[#This Row],[цена за шт в рублях]]/Продажи[[#This Row],[Средняя цена в категории за шт по поставщику]]-1</f>
        <v>0.97995991983967934</v>
      </c>
      <c r="O894" s="48">
        <f>VLOOKUP(Продажи[[#This Row],[id клиента]],клиенты!$A$2:$E$435,5,0)</f>
        <v>44738</v>
      </c>
      <c r="P894">
        <f>Продажи[[#This Row],[дата создания чека]]-Продажи[[#This Row],[Дата регистрации]]</f>
        <v>292</v>
      </c>
      <c r="Q894" t="str">
        <f>VLOOKUP(Продажи[[#This Row],[id клиента]],клиенты!$A$2:$G$435,7,0)</f>
        <v>Узбекистан</v>
      </c>
      <c r="R894">
        <f>IF(COUNTIF($H$2:H894, H894)=1, 1, 0)</f>
        <v>0</v>
      </c>
      <c r="S894" t="str">
        <f>VLOOKUP(Продажи[[#This Row],[id клиента]],клиенты!$A$2:$D$435,4,0)</f>
        <v>да</v>
      </c>
      <c r="T894" s="54">
        <f>VLOOKUP(Продажи[[#This Row],[id клиента]],клиенты!$A$2:$I$435,9,0)</f>
        <v>20.073921971252567</v>
      </c>
    </row>
    <row r="895" spans="1:20" x14ac:dyDescent="0.25">
      <c r="A895">
        <v>894</v>
      </c>
      <c r="B895">
        <v>148</v>
      </c>
      <c r="C895">
        <v>270</v>
      </c>
      <c r="D895">
        <v>2</v>
      </c>
      <c r="E895" s="35">
        <v>2700</v>
      </c>
      <c r="F895" s="48">
        <v>45206</v>
      </c>
      <c r="G895" t="s">
        <v>13</v>
      </c>
      <c r="H895">
        <v>196</v>
      </c>
      <c r="I895" t="str">
        <f>VLOOKUP(Продажи[[#This Row],[id товара]],Товары[],2,0)</f>
        <v>Сок</v>
      </c>
      <c r="J895" s="17">
        <f>AVERAGEIF(Продажи[Категория],Продажи[[#This Row],[Категория]],Продажи[цена за шт в рублях])</f>
        <v>268.60344827586209</v>
      </c>
      <c r="K895" s="16">
        <f>Продажи[[#This Row],[цена за шт в рублях]]/Продажи[[#This Row],[Средняя цена в категории за шт]]-1</f>
        <v>5.199306759098743E-3</v>
      </c>
      <c r="L895" t="str">
        <f>VLOOKUP(Продажи[[#This Row],[id товара]],Товары[],3,0)</f>
        <v>Фруктовый сад</v>
      </c>
      <c r="M89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895" s="16">
        <f>Продажи[[#This Row],[цена за шт в рублях]]/Продажи[[#This Row],[Средняя цена в категории за шт по поставщику]]-1</f>
        <v>-4.2447079685248856E-2</v>
      </c>
      <c r="O895" s="48">
        <f>VLOOKUP(Продажи[[#This Row],[id клиента]],клиенты!$A$2:$E$435,5,0)</f>
        <v>44835</v>
      </c>
      <c r="P895">
        <f>Продажи[[#This Row],[дата создания чека]]-Продажи[[#This Row],[Дата регистрации]]</f>
        <v>371</v>
      </c>
      <c r="Q895" t="str">
        <f>VLOOKUP(Продажи[[#This Row],[id клиента]],клиенты!$A$2:$G$435,7,0)</f>
        <v>Россия</v>
      </c>
      <c r="R895">
        <f>IF(COUNTIF($H$2:H895, H895)=1, 1, 0)</f>
        <v>0</v>
      </c>
      <c r="S895" t="str">
        <f>VLOOKUP(Продажи[[#This Row],[id клиента]],клиенты!$A$2:$D$435,4,0)</f>
        <v>да</v>
      </c>
      <c r="T895" s="54">
        <f>VLOOKUP(Продажи[[#This Row],[id клиента]],клиенты!$A$2:$I$435,9,0)</f>
        <v>12.188911704312115</v>
      </c>
    </row>
    <row r="896" spans="1:20" x14ac:dyDescent="0.25">
      <c r="A896">
        <v>895</v>
      </c>
      <c r="B896">
        <v>481</v>
      </c>
      <c r="C896">
        <v>470</v>
      </c>
      <c r="D896">
        <v>2</v>
      </c>
      <c r="E896" s="35">
        <v>4700</v>
      </c>
      <c r="F896" s="48">
        <v>45101</v>
      </c>
      <c r="G896" t="s">
        <v>9</v>
      </c>
      <c r="H896">
        <v>400</v>
      </c>
      <c r="I896" t="str">
        <f>VLOOKUP(Продажи[[#This Row],[id товара]],Товары[],2,0)</f>
        <v>Чипсы</v>
      </c>
      <c r="J896" s="17">
        <f>AVERAGEIF(Продажи[Категория],Продажи[[#This Row],[Категория]],Продажи[цена за шт в рублях])</f>
        <v>273.72549019607845</v>
      </c>
      <c r="K896" s="16">
        <f>Продажи[[#This Row],[цена за шт в рублях]]/Продажи[[#This Row],[Средняя цена в категории за шт]]-1</f>
        <v>0.71704871060171915</v>
      </c>
      <c r="L896" t="str">
        <f>VLOOKUP(Продажи[[#This Row],[id товара]],Товары[],3,0)</f>
        <v>Pringles</v>
      </c>
      <c r="M896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896" s="16">
        <f>Продажи[[#This Row],[цена за шт в рублях]]/Продажи[[#This Row],[Средняя цена в категории за шт по поставщику]]-1</f>
        <v>0.67714528462192014</v>
      </c>
      <c r="O896" s="48">
        <f>VLOOKUP(Продажи[[#This Row],[id клиента]],клиенты!$A$2:$E$435,5,0)</f>
        <v>44765</v>
      </c>
      <c r="P896">
        <f>Продажи[[#This Row],[дата создания чека]]-Продажи[[#This Row],[Дата регистрации]]</f>
        <v>336</v>
      </c>
      <c r="Q896" t="str">
        <f>VLOOKUP(Продажи[[#This Row],[id клиента]],клиенты!$A$2:$G$435,7,0)</f>
        <v>Беларусь</v>
      </c>
      <c r="R896">
        <f>IF(COUNTIF($H$2:H896, H896)=1, 1, 0)</f>
        <v>1</v>
      </c>
      <c r="S896" t="str">
        <f>VLOOKUP(Продажи[[#This Row],[id клиента]],клиенты!$A$2:$D$435,4,0)</f>
        <v>да</v>
      </c>
      <c r="T896" s="54">
        <f>VLOOKUP(Продажи[[#This Row],[id клиента]],клиенты!$A$2:$I$435,9,0)</f>
        <v>11.039014373716633</v>
      </c>
    </row>
    <row r="897" spans="1:20" x14ac:dyDescent="0.25">
      <c r="A897">
        <v>896</v>
      </c>
      <c r="B897">
        <v>194</v>
      </c>
      <c r="C897">
        <v>278</v>
      </c>
      <c r="D897">
        <v>4</v>
      </c>
      <c r="E897" s="35">
        <v>5560</v>
      </c>
      <c r="F897" s="48">
        <v>45286</v>
      </c>
      <c r="G897" t="s">
        <v>17</v>
      </c>
      <c r="H897">
        <v>271</v>
      </c>
      <c r="I897" t="str">
        <f>VLOOKUP(Продажи[[#This Row],[id товара]],Товары[],2,0)</f>
        <v>Соль</v>
      </c>
      <c r="J897" s="17">
        <f>AVERAGEIF(Продажи[Категория],Продажи[[#This Row],[Категория]],Продажи[цена за шт в рублях])</f>
        <v>264.8679245283019</v>
      </c>
      <c r="K897" s="16">
        <f>Продажи[[#This Row],[цена за шт в рублях]]/Продажи[[#This Row],[Средняя цена в категории за шт]]-1</f>
        <v>4.9579712209716353E-2</v>
      </c>
      <c r="L897" t="str">
        <f>VLOOKUP(Продажи[[#This Row],[id товара]],Товары[],3,0)</f>
        <v>Салта</v>
      </c>
      <c r="M897" s="32">
        <f>AVERAGEIFS(Продажи[цена за шт в рублях],Продажи[Категория],Продажи[[#This Row],[Категория]],Продажи[Поставщик],Продажи[[#This Row],[Поставщик]])</f>
        <v>273.7</v>
      </c>
      <c r="N897" s="16">
        <f>Продажи[[#This Row],[цена за шт в рублях]]/Продажи[[#This Row],[Средняя цена в категории за шт по поставщику]]-1</f>
        <v>1.5710632078918652E-2</v>
      </c>
      <c r="O897" s="48">
        <f>VLOOKUP(Продажи[[#This Row],[id клиента]],клиенты!$A$2:$E$435,5,0)</f>
        <v>44892</v>
      </c>
      <c r="P897">
        <f>Продажи[[#This Row],[дата создания чека]]-Продажи[[#This Row],[Дата регистрации]]</f>
        <v>394</v>
      </c>
      <c r="Q897" t="str">
        <f>VLOOKUP(Продажи[[#This Row],[id клиента]],клиенты!$A$2:$G$435,7,0)</f>
        <v>Беларусь</v>
      </c>
      <c r="R897">
        <f>IF(COUNTIF($H$2:H897, H897)=1, 1, 0)</f>
        <v>0</v>
      </c>
      <c r="S897" t="str">
        <f>VLOOKUP(Продажи[[#This Row],[id клиента]],клиенты!$A$2:$D$435,4,0)</f>
        <v>нет</v>
      </c>
      <c r="T897" s="54">
        <f>VLOOKUP(Продажи[[#This Row],[id клиента]],клиенты!$A$2:$I$435,9,0)</f>
        <v>16.591375770020534</v>
      </c>
    </row>
    <row r="898" spans="1:20" x14ac:dyDescent="0.25">
      <c r="A898">
        <v>897</v>
      </c>
      <c r="B898">
        <v>422</v>
      </c>
      <c r="C898">
        <v>244</v>
      </c>
      <c r="D898">
        <v>3</v>
      </c>
      <c r="E898" s="35">
        <v>3660</v>
      </c>
      <c r="F898" s="48">
        <v>45370</v>
      </c>
      <c r="G898" t="s">
        <v>13</v>
      </c>
      <c r="H898">
        <v>265</v>
      </c>
      <c r="I898" t="str">
        <f>VLOOKUP(Продажи[[#This Row],[id товара]],Товары[],2,0)</f>
        <v>Кофе</v>
      </c>
      <c r="J898" s="17">
        <f>AVERAGEIF(Продажи[Категория],Продажи[[#This Row],[Категория]],Продажи[цена за шт в рублях])</f>
        <v>249.02380952380952</v>
      </c>
      <c r="K898" s="16">
        <f>Продажи[[#This Row],[цена за шт в рублях]]/Продажи[[#This Row],[Средняя цена в категории за шт]]-1</f>
        <v>-2.0174012811932318E-2</v>
      </c>
      <c r="L898" t="str">
        <f>VLOOKUP(Продажи[[#This Row],[id товара]],Товары[],3,0)</f>
        <v>Nescafe</v>
      </c>
      <c r="M898" s="32">
        <f>AVERAGEIFS(Продажи[цена за шт в рублях],Продажи[Категория],Продажи[[#This Row],[Категория]],Продажи[Поставщик],Продажи[[#This Row],[Поставщик]])</f>
        <v>256.89999999999998</v>
      </c>
      <c r="N898" s="16">
        <f>Продажи[[#This Row],[цена за шт в рублях]]/Продажи[[#This Row],[Средняя цена в категории за шт по поставщику]]-1</f>
        <v>-5.0214091086025592E-2</v>
      </c>
      <c r="O898" s="48">
        <f>VLOOKUP(Продажи[[#This Row],[id клиента]],клиенты!$A$2:$E$435,5,0)</f>
        <v>44756</v>
      </c>
      <c r="P898">
        <f>Продажи[[#This Row],[дата создания чека]]-Продажи[[#This Row],[Дата регистрации]]</f>
        <v>614</v>
      </c>
      <c r="Q898" t="str">
        <f>VLOOKUP(Продажи[[#This Row],[id клиента]],клиенты!$A$2:$G$435,7,0)</f>
        <v>Узбекистан</v>
      </c>
      <c r="R898">
        <f>IF(COUNTIF($H$2:H898, H898)=1, 1, 0)</f>
        <v>0</v>
      </c>
      <c r="S898" t="str">
        <f>VLOOKUP(Продажи[[#This Row],[id клиента]],клиенты!$A$2:$D$435,4,0)</f>
        <v>нет</v>
      </c>
      <c r="T898" s="54">
        <f>VLOOKUP(Продажи[[#This Row],[id клиента]],клиенты!$A$2:$I$435,9,0)</f>
        <v>21.913757700205338</v>
      </c>
    </row>
    <row r="899" spans="1:20" x14ac:dyDescent="0.25">
      <c r="A899">
        <v>898</v>
      </c>
      <c r="B899">
        <v>52</v>
      </c>
      <c r="C899">
        <v>142</v>
      </c>
      <c r="D899">
        <v>3</v>
      </c>
      <c r="E899" s="35">
        <v>2130</v>
      </c>
      <c r="F899" s="48">
        <v>44929</v>
      </c>
      <c r="G899" t="s">
        <v>18</v>
      </c>
      <c r="H899">
        <v>366</v>
      </c>
      <c r="I899" t="str">
        <f>VLOOKUP(Продажи[[#This Row],[id товара]],Товары[],2,0)</f>
        <v>Соль</v>
      </c>
      <c r="J899" s="17">
        <f>AVERAGEIF(Продажи[Категория],Продажи[[#This Row],[Категория]],Продажи[цена за шт в рублях])</f>
        <v>264.8679245283019</v>
      </c>
      <c r="K899" s="16">
        <f>Продажи[[#This Row],[цена за шт в рублях]]/Продажи[[#This Row],[Средняя цена в категории за шт]]-1</f>
        <v>-0.46388374412309452</v>
      </c>
      <c r="L899" t="str">
        <f>VLOOKUP(Продажи[[#This Row],[id товара]],Товары[],3,0)</f>
        <v>Илецкая</v>
      </c>
      <c r="M899" s="32">
        <f>AVERAGEIFS(Продажи[цена за шт в рублях],Продажи[Категория],Продажи[[#This Row],[Категория]],Продажи[Поставщик],Продажи[[#This Row],[Поставщик]])</f>
        <v>238.16666666666666</v>
      </c>
      <c r="N899" s="16">
        <f>Продажи[[#This Row],[цена за шт в рублях]]/Продажи[[#This Row],[Средняя цена в категории за шт по поставщику]]-1</f>
        <v>-0.40377886634009796</v>
      </c>
      <c r="O899" s="48">
        <f>VLOOKUP(Продажи[[#This Row],[id клиента]],клиенты!$A$2:$E$435,5,0)</f>
        <v>44827</v>
      </c>
      <c r="P899">
        <f>Продажи[[#This Row],[дата создания чека]]-Продажи[[#This Row],[Дата регистрации]]</f>
        <v>102</v>
      </c>
      <c r="Q899" t="str">
        <f>VLOOKUP(Продажи[[#This Row],[id клиента]],клиенты!$A$2:$G$435,7,0)</f>
        <v>Узбекистан</v>
      </c>
      <c r="R899">
        <f>IF(COUNTIF($H$2:H899, H899)=1, 1, 0)</f>
        <v>0</v>
      </c>
      <c r="S899" t="str">
        <f>VLOOKUP(Продажи[[#This Row],[id клиента]],клиенты!$A$2:$D$435,4,0)</f>
        <v>нет</v>
      </c>
      <c r="T899" s="54">
        <f>VLOOKUP(Продажи[[#This Row],[id клиента]],клиенты!$A$2:$I$435,9,0)</f>
        <v>15.178644763860369</v>
      </c>
    </row>
    <row r="900" spans="1:20" x14ac:dyDescent="0.25">
      <c r="A900">
        <v>899</v>
      </c>
      <c r="B900">
        <v>73</v>
      </c>
      <c r="C900">
        <v>160</v>
      </c>
      <c r="D900">
        <v>4</v>
      </c>
      <c r="E900" s="35">
        <v>3200</v>
      </c>
      <c r="F900" s="48">
        <v>45163</v>
      </c>
      <c r="G900" t="s">
        <v>12</v>
      </c>
      <c r="H900">
        <v>302</v>
      </c>
      <c r="I900" t="str">
        <f>VLOOKUP(Продажи[[#This Row],[id товара]],Товары[],2,0)</f>
        <v>Хлеб</v>
      </c>
      <c r="J900" s="17">
        <f>AVERAGEIF(Продажи[Категория],Продажи[[#This Row],[Категория]],Продажи[цена за шт в рублях])</f>
        <v>300.31818181818181</v>
      </c>
      <c r="K900" s="16">
        <f>Продажи[[#This Row],[цена за шт в рублях]]/Продажи[[#This Row],[Средняя цена в категории за шт]]-1</f>
        <v>-0.46723172392916601</v>
      </c>
      <c r="L900" t="str">
        <f>VLOOKUP(Продажи[[#This Row],[id товара]],Товары[],3,0)</f>
        <v>Дарница</v>
      </c>
      <c r="M900" s="32">
        <f>AVERAGEIFS(Продажи[цена за шт в рублях],Продажи[Категория],Продажи[[#This Row],[Категория]],Продажи[Поставщик],Продажи[[#This Row],[Поставщик]])</f>
        <v>264</v>
      </c>
      <c r="N900" s="16">
        <f>Продажи[[#This Row],[цена за шт в рублях]]/Продажи[[#This Row],[Средняя цена в категории за шт по поставщику]]-1</f>
        <v>-0.39393939393939392</v>
      </c>
      <c r="O900" s="48">
        <f>VLOOKUP(Продажи[[#This Row],[id клиента]],клиенты!$A$2:$E$435,5,0)</f>
        <v>44859</v>
      </c>
      <c r="P900">
        <f>Продажи[[#This Row],[дата создания чека]]-Продажи[[#This Row],[Дата регистрации]]</f>
        <v>304</v>
      </c>
      <c r="Q900" t="str">
        <f>VLOOKUP(Продажи[[#This Row],[id клиента]],клиенты!$A$2:$G$435,7,0)</f>
        <v>Россия</v>
      </c>
      <c r="R900">
        <f>IF(COUNTIF($H$2:H900, H900)=1, 1, 0)</f>
        <v>0</v>
      </c>
      <c r="S900" t="str">
        <f>VLOOKUP(Продажи[[#This Row],[id клиента]],клиенты!$A$2:$D$435,4,0)</f>
        <v>нет</v>
      </c>
      <c r="T900" s="54">
        <f>VLOOKUP(Продажи[[#This Row],[id клиента]],клиенты!$A$2:$I$435,9,0)</f>
        <v>12.878850102669405</v>
      </c>
    </row>
    <row r="901" spans="1:20" x14ac:dyDescent="0.25">
      <c r="A901">
        <v>900</v>
      </c>
      <c r="B901">
        <v>208</v>
      </c>
      <c r="C901">
        <v>476</v>
      </c>
      <c r="D901">
        <v>5</v>
      </c>
      <c r="E901" s="35">
        <v>11900</v>
      </c>
      <c r="F901" s="48">
        <v>45262</v>
      </c>
      <c r="G901" t="s">
        <v>26</v>
      </c>
      <c r="H901">
        <v>326</v>
      </c>
      <c r="I901" t="str">
        <f>VLOOKUP(Продажи[[#This Row],[id товара]],Товары[],2,0)</f>
        <v>Конфеты</v>
      </c>
      <c r="J901" s="17">
        <f>AVERAGEIF(Продажи[Категория],Продажи[[#This Row],[Категория]],Продажи[цена за шт в рублях])</f>
        <v>267.85483870967744</v>
      </c>
      <c r="K901" s="16">
        <f>Продажи[[#This Row],[цена за шт в рублях]]/Продажи[[#This Row],[Средняя цена в категории за шт]]-1</f>
        <v>0.77708195339314745</v>
      </c>
      <c r="L901" t="str">
        <f>VLOOKUP(Продажи[[#This Row],[id товара]],Товары[],3,0)</f>
        <v>Славянка</v>
      </c>
      <c r="M901" s="32">
        <f>AVERAGEIFS(Продажи[цена за шт в рублях],Продажи[Категория],Продажи[[#This Row],[Категория]],Продажи[Поставщик],Продажи[[#This Row],[Поставщик]])</f>
        <v>268</v>
      </c>
      <c r="N901" s="16">
        <f>Продажи[[#This Row],[цена за шт в рублях]]/Продажи[[#This Row],[Средняя цена в категории за шт по поставщику]]-1</f>
        <v>0.77611940298507465</v>
      </c>
      <c r="O901" s="48">
        <f>VLOOKUP(Продажи[[#This Row],[id клиента]],клиенты!$A$2:$E$435,5,0)</f>
        <v>44655</v>
      </c>
      <c r="P901">
        <f>Продажи[[#This Row],[дата создания чека]]-Продажи[[#This Row],[Дата регистрации]]</f>
        <v>607</v>
      </c>
      <c r="Q901" t="str">
        <f>VLOOKUP(Продажи[[#This Row],[id клиента]],клиенты!$A$2:$G$435,7,0)</f>
        <v>Россия</v>
      </c>
      <c r="R901">
        <f>IF(COUNTIF($H$2:H901, H901)=1, 1, 0)</f>
        <v>0</v>
      </c>
      <c r="S901" t="str">
        <f>VLOOKUP(Продажи[[#This Row],[id клиента]],клиенты!$A$2:$D$435,4,0)</f>
        <v>нет</v>
      </c>
      <c r="T901" s="54">
        <f>VLOOKUP(Продажи[[#This Row],[id клиента]],клиенты!$A$2:$I$435,9,0)</f>
        <v>20.829568788501028</v>
      </c>
    </row>
    <row r="902" spans="1:20" x14ac:dyDescent="0.25">
      <c r="A902">
        <v>901</v>
      </c>
      <c r="B902">
        <v>458</v>
      </c>
      <c r="C902">
        <v>343</v>
      </c>
      <c r="D902">
        <v>3</v>
      </c>
      <c r="E902" s="35">
        <v>5145</v>
      </c>
      <c r="F902" s="48">
        <v>45005</v>
      </c>
      <c r="G902" t="s">
        <v>20</v>
      </c>
      <c r="H902">
        <v>282</v>
      </c>
      <c r="I902" t="str">
        <f>VLOOKUP(Продажи[[#This Row],[id товара]],Товары[],2,0)</f>
        <v>Макароны</v>
      </c>
      <c r="J902" s="17">
        <f>AVERAGEIF(Продажи[Категория],Продажи[[#This Row],[Категория]],Продажи[цена за шт в рублях])</f>
        <v>265.47674418604652</v>
      </c>
      <c r="K902" s="16">
        <f>Продажи[[#This Row],[цена за шт в рублях]]/Продажи[[#This Row],[Средняя цена в категории за шт]]-1</f>
        <v>0.29201524243353338</v>
      </c>
      <c r="L902" t="str">
        <f>VLOOKUP(Продажи[[#This Row],[id товара]],Товары[],3,0)</f>
        <v>Борилла</v>
      </c>
      <c r="M902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902" s="16">
        <f>Продажи[[#This Row],[цена за шт в рублях]]/Продажи[[#This Row],[Средняя цена в категории за шт по поставщику]]-1</f>
        <v>0.45169293636894325</v>
      </c>
      <c r="O902" s="48">
        <f>VLOOKUP(Продажи[[#This Row],[id клиента]],клиенты!$A$2:$E$435,5,0)</f>
        <v>44735</v>
      </c>
      <c r="P902">
        <f>Продажи[[#This Row],[дата создания чека]]-Продажи[[#This Row],[Дата регистрации]]</f>
        <v>270</v>
      </c>
      <c r="Q902" t="str">
        <f>VLOOKUP(Продажи[[#This Row],[id клиента]],клиенты!$A$2:$G$435,7,0)</f>
        <v>Узбекистан</v>
      </c>
      <c r="R902">
        <f>IF(COUNTIF($H$2:H902, H902)=1, 1, 0)</f>
        <v>1</v>
      </c>
      <c r="S902" t="str">
        <f>VLOOKUP(Продажи[[#This Row],[id клиента]],клиенты!$A$2:$D$435,4,0)</f>
        <v>да</v>
      </c>
      <c r="T902" s="54">
        <f>VLOOKUP(Продажи[[#This Row],[id клиента]],клиенты!$A$2:$I$435,9,0)</f>
        <v>8.8706365503080082</v>
      </c>
    </row>
    <row r="903" spans="1:20" x14ac:dyDescent="0.25">
      <c r="A903">
        <v>902</v>
      </c>
      <c r="B903">
        <v>444</v>
      </c>
      <c r="C903">
        <v>328</v>
      </c>
      <c r="D903">
        <v>3</v>
      </c>
      <c r="E903" s="35">
        <v>4920</v>
      </c>
      <c r="F903" s="48">
        <v>45102</v>
      </c>
      <c r="G903" t="s">
        <v>27</v>
      </c>
      <c r="H903">
        <v>292</v>
      </c>
      <c r="I903" t="str">
        <f>VLOOKUP(Продажи[[#This Row],[id товара]],Товары[],2,0)</f>
        <v>Йогурт</v>
      </c>
      <c r="J903" s="17">
        <f>AVERAGEIF(Продажи[Категория],Продажи[[#This Row],[Категория]],Продажи[цена за шт в рублях])</f>
        <v>263.25423728813558</v>
      </c>
      <c r="K903" s="16">
        <f>Продажи[[#This Row],[цена за шт в рублях]]/Продажи[[#This Row],[Средняя цена в категории за шт]]-1</f>
        <v>0.24594385784187489</v>
      </c>
      <c r="L903" t="str">
        <f>VLOOKUP(Продажи[[#This Row],[id товара]],Товары[],3,0)</f>
        <v>Эрманн</v>
      </c>
      <c r="M903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903" s="16">
        <f>Продажи[[#This Row],[цена за шт в рублях]]/Продажи[[#This Row],[Средняя цена в категории за шт по поставщику]]-1</f>
        <v>0.31991951710261568</v>
      </c>
      <c r="O903" s="48">
        <f>VLOOKUP(Продажи[[#This Row],[id клиента]],клиенты!$A$2:$E$435,5,0)</f>
        <v>44608</v>
      </c>
      <c r="P903">
        <f>Продажи[[#This Row],[дата создания чека]]-Продажи[[#This Row],[Дата регистрации]]</f>
        <v>494</v>
      </c>
      <c r="Q903" t="str">
        <f>VLOOKUP(Продажи[[#This Row],[id клиента]],клиенты!$A$2:$G$435,7,0)</f>
        <v>Россия</v>
      </c>
      <c r="R903">
        <f>IF(COUNTIF($H$2:H903, H903)=1, 1, 0)</f>
        <v>0</v>
      </c>
      <c r="S903" t="str">
        <f>VLOOKUP(Продажи[[#This Row],[id клиента]],клиенты!$A$2:$D$435,4,0)</f>
        <v>нет</v>
      </c>
      <c r="T903" s="54">
        <f>VLOOKUP(Продажи[[#This Row],[id клиента]],клиенты!$A$2:$I$435,9,0)</f>
        <v>25.396303901437371</v>
      </c>
    </row>
    <row r="904" spans="1:20" x14ac:dyDescent="0.25">
      <c r="A904">
        <v>903</v>
      </c>
      <c r="B904">
        <v>369</v>
      </c>
      <c r="C904">
        <v>379</v>
      </c>
      <c r="D904">
        <v>5</v>
      </c>
      <c r="E904" s="35">
        <v>9475</v>
      </c>
      <c r="F904" s="48">
        <v>45189</v>
      </c>
      <c r="G904" t="s">
        <v>24</v>
      </c>
      <c r="H904">
        <v>267</v>
      </c>
      <c r="I904" t="str">
        <f>VLOOKUP(Продажи[[#This Row],[id товара]],Товары[],2,0)</f>
        <v>Молоко</v>
      </c>
      <c r="J904" s="17">
        <f>AVERAGEIF(Продажи[Категория],Продажи[[#This Row],[Категория]],Продажи[цена за шт в рублях])</f>
        <v>294.95238095238096</v>
      </c>
      <c r="K904" s="16">
        <f>Продажи[[#This Row],[цена за шт в рублях]]/Продажи[[#This Row],[Средняя цена в категории за шт]]-1</f>
        <v>0.28495318049725538</v>
      </c>
      <c r="L904" t="str">
        <f>VLOOKUP(Продажи[[#This Row],[id товара]],Товары[],3,0)</f>
        <v>Домик в деревне</v>
      </c>
      <c r="M904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904" s="16">
        <f>Продажи[[#This Row],[цена за шт в рублях]]/Продажи[[#This Row],[Средняя цена в категории за шт по поставщику]]-1</f>
        <v>0.37929640113222818</v>
      </c>
      <c r="O904" s="48">
        <f>VLOOKUP(Продажи[[#This Row],[id клиента]],клиенты!$A$2:$E$435,5,0)</f>
        <v>44910</v>
      </c>
      <c r="P904">
        <f>Продажи[[#This Row],[дата создания чека]]-Продажи[[#This Row],[Дата регистрации]]</f>
        <v>279</v>
      </c>
      <c r="Q904" t="str">
        <f>VLOOKUP(Продажи[[#This Row],[id клиента]],клиенты!$A$2:$G$435,7,0)</f>
        <v>Россия</v>
      </c>
      <c r="R904">
        <f>IF(COUNTIF($H$2:H904, H904)=1, 1, 0)</f>
        <v>0</v>
      </c>
      <c r="S904" t="str">
        <f>VLOOKUP(Продажи[[#This Row],[id клиента]],клиенты!$A$2:$D$435,4,0)</f>
        <v>да</v>
      </c>
      <c r="T904" s="54">
        <f>VLOOKUP(Продажи[[#This Row],[id клиента]],клиенты!$A$2:$I$435,9,0)</f>
        <v>9.1663244353182751</v>
      </c>
    </row>
    <row r="905" spans="1:20" x14ac:dyDescent="0.25">
      <c r="A905">
        <v>904</v>
      </c>
      <c r="B905">
        <v>6</v>
      </c>
      <c r="C905">
        <v>70</v>
      </c>
      <c r="D905">
        <v>5</v>
      </c>
      <c r="E905" s="35">
        <v>1750</v>
      </c>
      <c r="F905" s="48">
        <v>45364</v>
      </c>
      <c r="G905" t="s">
        <v>12</v>
      </c>
      <c r="H905">
        <v>433</v>
      </c>
      <c r="I905" t="str">
        <f>VLOOKUP(Продажи[[#This Row],[id товара]],Товары[],2,0)</f>
        <v>Фрукты</v>
      </c>
      <c r="J905" s="17">
        <f>AVERAGEIF(Продажи[Категория],Продажи[[#This Row],[Категория]],Продажи[цена за шт в рублях])</f>
        <v>274.16279069767444</v>
      </c>
      <c r="K905" s="16">
        <f>Продажи[[#This Row],[цена за шт в рублях]]/Продажи[[#This Row],[Средняя цена в категории за шт]]-1</f>
        <v>-0.74467724149631009</v>
      </c>
      <c r="L905" t="str">
        <f>VLOOKUP(Продажи[[#This Row],[id товара]],Товары[],3,0)</f>
        <v>Фрукты-Ягоды</v>
      </c>
      <c r="M905" s="32">
        <f>AVERAGEIFS(Продажи[цена за шт в рублях],Продажи[Категория],Продажи[[#This Row],[Категория]],Продажи[Поставщик],Продажи[[#This Row],[Поставщик]])</f>
        <v>280.66666666666669</v>
      </c>
      <c r="N905" s="16">
        <f>Продажи[[#This Row],[цена за шт в рублях]]/Продажи[[#This Row],[Средняя цена в категории за шт по поставщику]]-1</f>
        <v>-0.75059382422802856</v>
      </c>
      <c r="O905" s="48">
        <f>VLOOKUP(Продажи[[#This Row],[id клиента]],клиенты!$A$2:$E$435,5,0)</f>
        <v>44832</v>
      </c>
      <c r="P905">
        <f>Продажи[[#This Row],[дата создания чека]]-Продажи[[#This Row],[Дата регистрации]]</f>
        <v>532</v>
      </c>
      <c r="Q905" t="str">
        <f>VLOOKUP(Продажи[[#This Row],[id клиента]],клиенты!$A$2:$G$435,7,0)</f>
        <v>Таджикистан</v>
      </c>
      <c r="R905">
        <f>IF(COUNTIF($H$2:H905, H905)=1, 1, 0)</f>
        <v>1</v>
      </c>
      <c r="S905" t="str">
        <f>VLOOKUP(Продажи[[#This Row],[id клиента]],клиенты!$A$2:$D$435,4,0)</f>
        <v>да</v>
      </c>
      <c r="T905" s="54">
        <f>VLOOKUP(Продажи[[#This Row],[id клиента]],клиенты!$A$2:$I$435,9,0)</f>
        <v>17.478439425051334</v>
      </c>
    </row>
    <row r="906" spans="1:20" x14ac:dyDescent="0.25">
      <c r="A906">
        <v>905</v>
      </c>
      <c r="B906">
        <v>318</v>
      </c>
      <c r="C906">
        <v>280</v>
      </c>
      <c r="D906">
        <v>1</v>
      </c>
      <c r="E906" s="35">
        <v>1400</v>
      </c>
      <c r="F906" s="48">
        <v>45213</v>
      </c>
      <c r="G906" t="s">
        <v>9</v>
      </c>
      <c r="H906">
        <v>382</v>
      </c>
      <c r="I906" t="str">
        <f>VLOOKUP(Продажи[[#This Row],[id товара]],Товары[],2,0)</f>
        <v>Молоко</v>
      </c>
      <c r="J906" s="17">
        <f>AVERAGEIF(Продажи[Категория],Продажи[[#This Row],[Категория]],Продажи[цена за шт в рублях])</f>
        <v>294.95238095238096</v>
      </c>
      <c r="K906" s="16">
        <f>Продажи[[#This Row],[цена за шт в рублях]]/Продажи[[#This Row],[Средняя цена в категории за шт]]-1</f>
        <v>-5.0694220213109542E-2</v>
      </c>
      <c r="L906" t="str">
        <f>VLOOKUP(Продажи[[#This Row],[id товара]],Товары[],3,0)</f>
        <v>Домик в деревне</v>
      </c>
      <c r="M906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906" s="16">
        <f>Продажи[[#This Row],[цена за шт в рублях]]/Продажи[[#This Row],[Средняя цена в категории за шт по поставщику]]-1</f>
        <v>1.9005256773150014E-2</v>
      </c>
      <c r="O906" s="48">
        <f>VLOOKUP(Продажи[[#This Row],[id клиента]],клиенты!$A$2:$E$435,5,0)</f>
        <v>44850</v>
      </c>
      <c r="P906">
        <f>Продажи[[#This Row],[дата создания чека]]-Продажи[[#This Row],[Дата регистрации]]</f>
        <v>363</v>
      </c>
      <c r="Q906" t="str">
        <f>VLOOKUP(Продажи[[#This Row],[id клиента]],клиенты!$A$2:$G$435,7,0)</f>
        <v>Беларусь</v>
      </c>
      <c r="R906">
        <f>IF(COUNTIF($H$2:H906, H906)=1, 1, 0)</f>
        <v>0</v>
      </c>
      <c r="S906" t="str">
        <f>VLOOKUP(Продажи[[#This Row],[id клиента]],клиенты!$A$2:$D$435,4,0)</f>
        <v>да</v>
      </c>
      <c r="T906" s="54">
        <f>VLOOKUP(Продажи[[#This Row],[id клиента]],клиенты!$A$2:$I$435,9,0)</f>
        <v>11.958932238193018</v>
      </c>
    </row>
    <row r="907" spans="1:20" x14ac:dyDescent="0.25">
      <c r="A907">
        <v>906</v>
      </c>
      <c r="B907">
        <v>269</v>
      </c>
      <c r="C907">
        <v>315</v>
      </c>
      <c r="D907">
        <v>1</v>
      </c>
      <c r="E907" s="35">
        <v>1575</v>
      </c>
      <c r="F907" s="48">
        <v>45355</v>
      </c>
      <c r="G907" t="s">
        <v>10</v>
      </c>
      <c r="H907">
        <v>41</v>
      </c>
      <c r="I907" t="str">
        <f>VLOOKUP(Продажи[[#This Row],[id товара]],Товары[],2,0)</f>
        <v>Сахар</v>
      </c>
      <c r="J907" s="17">
        <f>AVERAGEIF(Продажи[Категория],Продажи[[#This Row],[Категория]],Продажи[цена за шт в рублях])</f>
        <v>252.76271186440678</v>
      </c>
      <c r="K907" s="16">
        <f>Продажи[[#This Row],[цена за шт в рублях]]/Продажи[[#This Row],[Средняя цена в категории за шт]]-1</f>
        <v>0.2462281231140615</v>
      </c>
      <c r="L907" t="str">
        <f>VLOOKUP(Продажи[[#This Row],[id товара]],Товары[],3,0)</f>
        <v>Русский сахар</v>
      </c>
      <c r="M907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907" s="16">
        <f>Продажи[[#This Row],[цена за шт в рублях]]/Продажи[[#This Row],[Средняя цена в категории за шт по поставщику]]-1</f>
        <v>7.3576583801122641E-2</v>
      </c>
      <c r="O907" s="48">
        <f>VLOOKUP(Продажи[[#This Row],[id клиента]],клиенты!$A$2:$E$435,5,0)</f>
        <v>44842</v>
      </c>
      <c r="P907">
        <f>Продажи[[#This Row],[дата создания чека]]-Продажи[[#This Row],[Дата регистрации]]</f>
        <v>513</v>
      </c>
      <c r="Q907" t="str">
        <f>VLOOKUP(Продажи[[#This Row],[id клиента]],клиенты!$A$2:$G$435,7,0)</f>
        <v>Россия</v>
      </c>
      <c r="R907">
        <f>IF(COUNTIF($H$2:H907, H907)=1, 1, 0)</f>
        <v>0</v>
      </c>
      <c r="S907" t="str">
        <f>VLOOKUP(Продажи[[#This Row],[id клиента]],клиенты!$A$2:$D$435,4,0)</f>
        <v>да</v>
      </c>
      <c r="T907" s="54">
        <f>VLOOKUP(Продажи[[#This Row],[id клиента]],клиенты!$A$2:$I$435,9,0)</f>
        <v>16.854209445585216</v>
      </c>
    </row>
    <row r="908" spans="1:20" x14ac:dyDescent="0.25">
      <c r="A908">
        <v>907</v>
      </c>
      <c r="B908">
        <v>55</v>
      </c>
      <c r="C908">
        <v>353</v>
      </c>
      <c r="D908">
        <v>1</v>
      </c>
      <c r="E908" s="35">
        <v>1765</v>
      </c>
      <c r="F908" s="48">
        <v>45413</v>
      </c>
      <c r="G908" t="s">
        <v>27</v>
      </c>
      <c r="H908">
        <v>129</v>
      </c>
      <c r="I908" t="str">
        <f>VLOOKUP(Продажи[[#This Row],[id товара]],Товары[],2,0)</f>
        <v>Крупа</v>
      </c>
      <c r="J908" s="17">
        <f>AVERAGEIF(Продажи[Категория],Продажи[[#This Row],[Категория]],Продажи[цена за шт в рублях])</f>
        <v>255.11627906976744</v>
      </c>
      <c r="K908" s="16">
        <f>Продажи[[#This Row],[цена за шт в рублях]]/Продажи[[#This Row],[Средняя цена в категории за шт]]-1</f>
        <v>0.38368277119416594</v>
      </c>
      <c r="L908" t="str">
        <f>VLOOKUP(Продажи[[#This Row],[id товара]],Товары[],3,0)</f>
        <v>Националь</v>
      </c>
      <c r="M908" s="32">
        <f>AVERAGEIFS(Продажи[цена за шт в рублях],Продажи[Категория],Продажи[[#This Row],[Категория]],Продажи[Поставщик],Продажи[[#This Row],[Поставщик]])</f>
        <v>274.28571428571428</v>
      </c>
      <c r="N908" s="16">
        <f>Продажи[[#This Row],[цена за шт в рублях]]/Продажи[[#This Row],[Средняя цена в категории за шт по поставщику]]-1</f>
        <v>0.28697916666666679</v>
      </c>
      <c r="O908" s="48">
        <f>VLOOKUP(Продажи[[#This Row],[id клиента]],клиенты!$A$2:$E$435,5,0)</f>
        <v>44868</v>
      </c>
      <c r="P908">
        <f>Продажи[[#This Row],[дата создания чека]]-Продажи[[#This Row],[Дата регистрации]]</f>
        <v>545</v>
      </c>
      <c r="Q908" t="str">
        <f>VLOOKUP(Продажи[[#This Row],[id клиента]],клиенты!$A$2:$G$435,7,0)</f>
        <v>Беларусь</v>
      </c>
      <c r="R908">
        <f>IF(COUNTIF($H$2:H908, H908)=1, 1, 0)</f>
        <v>0</v>
      </c>
      <c r="S908" t="str">
        <f>VLOOKUP(Продажи[[#This Row],[id клиента]],клиенты!$A$2:$D$435,4,0)</f>
        <v>нет</v>
      </c>
      <c r="T908" s="54">
        <f>VLOOKUP(Продажи[[#This Row],[id клиента]],клиенты!$A$2:$I$435,9,0)</f>
        <v>17.905544147843944</v>
      </c>
    </row>
    <row r="909" spans="1:20" x14ac:dyDescent="0.25">
      <c r="A909">
        <v>908</v>
      </c>
      <c r="B909">
        <v>327</v>
      </c>
      <c r="C909">
        <v>342</v>
      </c>
      <c r="D909">
        <v>2</v>
      </c>
      <c r="E909" s="35">
        <v>3420</v>
      </c>
      <c r="F909" s="48">
        <v>45284</v>
      </c>
      <c r="G909" t="s">
        <v>9</v>
      </c>
      <c r="H909">
        <v>335</v>
      </c>
      <c r="I909" t="str">
        <f>VLOOKUP(Продажи[[#This Row],[id товара]],Товары[],2,0)</f>
        <v>Колбаса</v>
      </c>
      <c r="J909" s="17">
        <f>AVERAGEIF(Продажи[Категория],Продажи[[#This Row],[Категория]],Продажи[цена за шт в рублях])</f>
        <v>286.92307692307691</v>
      </c>
      <c r="K909" s="16">
        <f>Продажи[[#This Row],[цена за шт в рублях]]/Продажи[[#This Row],[Средняя цена в категории за шт]]-1</f>
        <v>0.19195710455764092</v>
      </c>
      <c r="L909" t="str">
        <f>VLOOKUP(Продажи[[#This Row],[id товара]],Товары[],3,0)</f>
        <v>Черкизово</v>
      </c>
      <c r="M909" s="32">
        <f>AVERAGEIFS(Продажи[цена за шт в рублях],Продажи[Категория],Продажи[[#This Row],[Категория]],Продажи[Поставщик],Продажи[[#This Row],[Поставщик]])</f>
        <v>320.25</v>
      </c>
      <c r="N909" s="16">
        <f>Продажи[[#This Row],[цена за шт в рублях]]/Продажи[[#This Row],[Средняя цена в категории за шт по поставщику]]-1</f>
        <v>6.7915690866510614E-2</v>
      </c>
      <c r="O909" s="48">
        <f>VLOOKUP(Продажи[[#This Row],[id клиента]],клиенты!$A$2:$E$435,5,0)</f>
        <v>44619</v>
      </c>
      <c r="P909">
        <f>Продажи[[#This Row],[дата создания чека]]-Продажи[[#This Row],[Дата регистрации]]</f>
        <v>665</v>
      </c>
      <c r="Q909" t="str">
        <f>VLOOKUP(Продажи[[#This Row],[id клиента]],клиенты!$A$2:$G$435,7,0)</f>
        <v>Узбекистан</v>
      </c>
      <c r="R909">
        <f>IF(COUNTIF($H$2:H909, H909)=1, 1, 0)</f>
        <v>0</v>
      </c>
      <c r="S909" t="str">
        <f>VLOOKUP(Продажи[[#This Row],[id клиента]],клиенты!$A$2:$D$435,4,0)</f>
        <v>нет</v>
      </c>
      <c r="T909" s="54">
        <f>VLOOKUP(Продажи[[#This Row],[id клиента]],клиенты!$A$2:$I$435,9,0)</f>
        <v>23.260780287474333</v>
      </c>
    </row>
    <row r="910" spans="1:20" x14ac:dyDescent="0.25">
      <c r="A910">
        <v>909</v>
      </c>
      <c r="B910">
        <v>364</v>
      </c>
      <c r="C910">
        <v>299</v>
      </c>
      <c r="D910">
        <v>3</v>
      </c>
      <c r="E910" s="35">
        <v>4485</v>
      </c>
      <c r="F910" s="48">
        <v>44932</v>
      </c>
      <c r="G910" t="s">
        <v>22</v>
      </c>
      <c r="H910">
        <v>194</v>
      </c>
      <c r="I910" t="str">
        <f>VLOOKUP(Продажи[[#This Row],[id товара]],Товары[],2,0)</f>
        <v>Сахар</v>
      </c>
      <c r="J910" s="17">
        <f>AVERAGEIF(Продажи[Категория],Продажи[[#This Row],[Категория]],Продажи[цена за шт в рублях])</f>
        <v>252.76271186440678</v>
      </c>
      <c r="K910" s="16">
        <f>Продажи[[#This Row],[цена за шт в рублях]]/Продажи[[#This Row],[Средняя цена в категории за шт]]-1</f>
        <v>0.18292764701937902</v>
      </c>
      <c r="L910" t="str">
        <f>VLOOKUP(Продажи[[#This Row],[id товара]],Товары[],3,0)</f>
        <v>Русский сахар</v>
      </c>
      <c r="M910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910" s="16">
        <f>Продажи[[#This Row],[цена за шт в рублях]]/Продажи[[#This Row],[Средняя цена в категории за шт по поставщику]]-1</f>
        <v>1.9045709703287894E-2</v>
      </c>
      <c r="O910" s="48">
        <f>VLOOKUP(Продажи[[#This Row],[id клиента]],клиенты!$A$2:$E$435,5,0)</f>
        <v>44924</v>
      </c>
      <c r="P910">
        <f>Продажи[[#This Row],[дата создания чека]]-Продажи[[#This Row],[Дата регистрации]]</f>
        <v>8</v>
      </c>
      <c r="Q910" t="str">
        <f>VLOOKUP(Продажи[[#This Row],[id клиента]],клиенты!$A$2:$G$435,7,0)</f>
        <v>Россия</v>
      </c>
      <c r="R910">
        <f>IF(COUNTIF($H$2:H910, H910)=1, 1, 0)</f>
        <v>0</v>
      </c>
      <c r="S910" t="str">
        <f>VLOOKUP(Продажи[[#This Row],[id клиента]],клиенты!$A$2:$D$435,4,0)</f>
        <v>да</v>
      </c>
      <c r="T910" s="54">
        <f>VLOOKUP(Продажи[[#This Row],[id клиента]],клиенты!$A$2:$I$435,9,0)</f>
        <v>15.835728952772074</v>
      </c>
    </row>
    <row r="911" spans="1:20" x14ac:dyDescent="0.25">
      <c r="A911">
        <v>910</v>
      </c>
      <c r="B911">
        <v>378</v>
      </c>
      <c r="C911">
        <v>397</v>
      </c>
      <c r="D911">
        <v>1</v>
      </c>
      <c r="E911" s="35">
        <v>1985</v>
      </c>
      <c r="F911" s="48">
        <v>45000</v>
      </c>
      <c r="G911" t="s">
        <v>13</v>
      </c>
      <c r="H911">
        <v>56</v>
      </c>
      <c r="I911" t="str">
        <f>VLOOKUP(Продажи[[#This Row],[id товара]],Товары[],2,0)</f>
        <v>Сок</v>
      </c>
      <c r="J911" s="17">
        <f>AVERAGEIF(Продажи[Категория],Продажи[[#This Row],[Категория]],Продажи[цена за шт в рублях])</f>
        <v>268.60344827586209</v>
      </c>
      <c r="K911" s="16">
        <f>Продажи[[#This Row],[цена за шт в рублях]]/Продажи[[#This Row],[Средняя цена в категории за шт]]-1</f>
        <v>0.47801527697541557</v>
      </c>
      <c r="L911" t="str">
        <f>VLOOKUP(Продажи[[#This Row],[id товара]],Товары[],3,0)</f>
        <v>Фруктовый сад</v>
      </c>
      <c r="M911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911" s="16">
        <f>Продажи[[#This Row],[цена за шт в рублях]]/Продажи[[#This Row],[Средняя цена в категории за шт по поставщику]]-1</f>
        <v>0.40795744209243034</v>
      </c>
      <c r="O911" s="48">
        <f>VLOOKUP(Продажи[[#This Row],[id клиента]],клиенты!$A$2:$E$435,5,0)</f>
        <v>44662</v>
      </c>
      <c r="P911">
        <f>Продажи[[#This Row],[дата создания чека]]-Продажи[[#This Row],[Дата регистрации]]</f>
        <v>338</v>
      </c>
      <c r="Q911" t="str">
        <f>VLOOKUP(Продажи[[#This Row],[id клиента]],клиенты!$A$2:$G$435,7,0)</f>
        <v>Таджикистан</v>
      </c>
      <c r="R911">
        <f>IF(COUNTIF($H$2:H911, H911)=1, 1, 0)</f>
        <v>0</v>
      </c>
      <c r="S911" t="str">
        <f>VLOOKUP(Продажи[[#This Row],[id клиента]],клиенты!$A$2:$D$435,4,0)</f>
        <v>нет</v>
      </c>
      <c r="T911" s="54">
        <f>VLOOKUP(Продажи[[#This Row],[id клиента]],клиенты!$A$2:$I$435,9,0)</f>
        <v>23.753593429158112</v>
      </c>
    </row>
    <row r="912" spans="1:20" x14ac:dyDescent="0.25">
      <c r="A912">
        <v>911</v>
      </c>
      <c r="B912">
        <v>462</v>
      </c>
      <c r="C912">
        <v>231</v>
      </c>
      <c r="D912">
        <v>2</v>
      </c>
      <c r="E912" s="35">
        <v>2310</v>
      </c>
      <c r="F912" s="48">
        <v>44950</v>
      </c>
      <c r="G912" t="s">
        <v>26</v>
      </c>
      <c r="H912">
        <v>493</v>
      </c>
      <c r="I912" t="str">
        <f>VLOOKUP(Продажи[[#This Row],[id товара]],Товары[],2,0)</f>
        <v>Рис</v>
      </c>
      <c r="J912" s="17">
        <f>AVERAGEIF(Продажи[Категория],Продажи[[#This Row],[Категория]],Продажи[цена за шт в рублях])</f>
        <v>258.375</v>
      </c>
      <c r="K912" s="16">
        <f>Продажи[[#This Row],[цена за шт в рублях]]/Продажи[[#This Row],[Средняя цена в категории за шт]]-1</f>
        <v>-0.10595065312046448</v>
      </c>
      <c r="L912" t="str">
        <f>VLOOKUP(Продажи[[#This Row],[id товара]],Товары[],3,0)</f>
        <v>Белый Злат</v>
      </c>
      <c r="M912" s="32">
        <f>AVERAGEIFS(Продажи[цена за шт в рублях],Продажи[Категория],Продажи[[#This Row],[Категория]],Продажи[Поставщик],Продажи[[#This Row],[Поставщик]])</f>
        <v>269.70588235294116</v>
      </c>
      <c r="N912" s="16">
        <f>Продажи[[#This Row],[цена за шт в рублях]]/Продажи[[#This Row],[Средняя цена в категории за шт по поставщику]]-1</f>
        <v>-0.14351145038167934</v>
      </c>
      <c r="O912" s="48">
        <f>VLOOKUP(Продажи[[#This Row],[id клиента]],клиенты!$A$2:$E$435,5,0)</f>
        <v>44855</v>
      </c>
      <c r="P912">
        <f>Продажи[[#This Row],[дата создания чека]]-Продажи[[#This Row],[Дата регистрации]]</f>
        <v>95</v>
      </c>
      <c r="Q912" t="str">
        <f>VLOOKUP(Продажи[[#This Row],[id клиента]],клиенты!$A$2:$G$435,7,0)</f>
        <v>Украина</v>
      </c>
      <c r="R912">
        <f>IF(COUNTIF($H$2:H912, H912)=1, 1, 0)</f>
        <v>0</v>
      </c>
      <c r="S912" t="str">
        <f>VLOOKUP(Продажи[[#This Row],[id клиента]],клиенты!$A$2:$D$435,4,0)</f>
        <v>да</v>
      </c>
      <c r="T912" s="54">
        <f>VLOOKUP(Продажи[[#This Row],[id клиента]],клиенты!$A$2:$I$435,9,0)</f>
        <v>14.882956878850102</v>
      </c>
    </row>
    <row r="913" spans="1:20" x14ac:dyDescent="0.25">
      <c r="A913">
        <v>912</v>
      </c>
      <c r="B913">
        <v>89</v>
      </c>
      <c r="C913">
        <v>120</v>
      </c>
      <c r="D913">
        <v>5</v>
      </c>
      <c r="E913" s="35">
        <v>3000</v>
      </c>
      <c r="F913" s="48">
        <v>44962</v>
      </c>
      <c r="G913" t="s">
        <v>27</v>
      </c>
      <c r="H913">
        <v>222</v>
      </c>
      <c r="I913" t="str">
        <f>VLOOKUP(Продажи[[#This Row],[id товара]],Товары[],2,0)</f>
        <v>Конфеты</v>
      </c>
      <c r="J913" s="17">
        <f>AVERAGEIF(Продажи[Категория],Продажи[[#This Row],[Категория]],Продажи[цена за шт в рублях])</f>
        <v>267.85483870967744</v>
      </c>
      <c r="K913" s="16">
        <f>Продажи[[#This Row],[цена за шт в рублях]]/Продажи[[#This Row],[Средняя цена в категории за шт]]-1</f>
        <v>-0.5519961462034082</v>
      </c>
      <c r="L913" t="str">
        <f>VLOOKUP(Продажи[[#This Row],[id товара]],Товары[],3,0)</f>
        <v>Рот Фронт</v>
      </c>
      <c r="M913" s="32">
        <f>AVERAGEIFS(Продажи[цена за шт в рублях],Продажи[Категория],Продажи[[#This Row],[Категория]],Продажи[Поставщик],Продажи[[#This Row],[Поставщик]])</f>
        <v>288.23809523809524</v>
      </c>
      <c r="N913" s="16">
        <f>Продажи[[#This Row],[цена за шт в рублях]]/Продажи[[#This Row],[Средняя цена в категории за шт по поставщику]]-1</f>
        <v>-0.58367751528167844</v>
      </c>
      <c r="O913" s="48">
        <f>VLOOKUP(Продажи[[#This Row],[id клиента]],клиенты!$A$2:$E$435,5,0)</f>
        <v>44694</v>
      </c>
      <c r="P913">
        <f>Продажи[[#This Row],[дата создания чека]]-Продажи[[#This Row],[Дата регистрации]]</f>
        <v>268</v>
      </c>
      <c r="Q913" t="str">
        <f>VLOOKUP(Продажи[[#This Row],[id клиента]],клиенты!$A$2:$G$435,7,0)</f>
        <v>Украина</v>
      </c>
      <c r="R913">
        <f>IF(COUNTIF($H$2:H913, H913)=1, 1, 0)</f>
        <v>0</v>
      </c>
      <c r="S913" t="str">
        <f>VLOOKUP(Продажи[[#This Row],[id клиента]],клиенты!$A$2:$D$435,4,0)</f>
        <v>да</v>
      </c>
      <c r="T913" s="54">
        <f>VLOOKUP(Продажи[[#This Row],[id клиента]],клиенты!$A$2:$I$435,9,0)</f>
        <v>23.622176591375769</v>
      </c>
    </row>
    <row r="914" spans="1:20" x14ac:dyDescent="0.25">
      <c r="A914">
        <v>913</v>
      </c>
      <c r="B914">
        <v>465</v>
      </c>
      <c r="C914">
        <v>177</v>
      </c>
      <c r="D914">
        <v>1</v>
      </c>
      <c r="E914" s="35">
        <v>885</v>
      </c>
      <c r="F914" s="48">
        <v>45122</v>
      </c>
      <c r="G914" t="s">
        <v>16</v>
      </c>
      <c r="H914">
        <v>167</v>
      </c>
      <c r="I914" t="str">
        <f>VLOOKUP(Продажи[[#This Row],[id товара]],Товары[],2,0)</f>
        <v>Йогурт</v>
      </c>
      <c r="J914" s="17">
        <f>AVERAGEIF(Продажи[Категория],Продажи[[#This Row],[Категория]],Продажи[цена за шт в рублях])</f>
        <v>263.25423728813558</v>
      </c>
      <c r="K914" s="16">
        <f>Продажи[[#This Row],[цена за шт в рублях]]/Продажи[[#This Row],[Средняя цена в категории за шт]]-1</f>
        <v>-0.32764614988411023</v>
      </c>
      <c r="L914" t="str">
        <f>VLOOKUP(Продажи[[#This Row],[id товара]],Товары[],3,0)</f>
        <v>Ростагроэкспорт</v>
      </c>
      <c r="M914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914" s="16">
        <f>Продажи[[#This Row],[цена за шт в рублях]]/Продажи[[#This Row],[Средняя цена в категории за шт по поставщику]]-1</f>
        <v>-0.31337493675156014</v>
      </c>
      <c r="O914" s="48">
        <f>VLOOKUP(Продажи[[#This Row],[id клиента]],клиенты!$A$2:$E$435,5,0)</f>
        <v>44563</v>
      </c>
      <c r="P914">
        <f>Продажи[[#This Row],[дата создания чека]]-Продажи[[#This Row],[Дата регистрации]]</f>
        <v>559</v>
      </c>
      <c r="Q914" t="str">
        <f>VLOOKUP(Продажи[[#This Row],[id клиента]],клиенты!$A$2:$G$435,7,0)</f>
        <v>Узбекистан</v>
      </c>
      <c r="R914">
        <f>IF(COUNTIF($H$2:H914, H914)=1, 1, 0)</f>
        <v>0</v>
      </c>
      <c r="S914" t="str">
        <f>VLOOKUP(Продажи[[#This Row],[id клиента]],клиенты!$A$2:$D$435,4,0)</f>
        <v>да</v>
      </c>
      <c r="T914" s="54">
        <f>VLOOKUP(Продажи[[#This Row],[id клиента]],клиенты!$A$2:$I$435,9,0)</f>
        <v>26.119096509240247</v>
      </c>
    </row>
    <row r="915" spans="1:20" x14ac:dyDescent="0.25">
      <c r="A915">
        <v>914</v>
      </c>
      <c r="B915">
        <v>208</v>
      </c>
      <c r="C915">
        <v>412</v>
      </c>
      <c r="D915">
        <v>4</v>
      </c>
      <c r="E915" s="35">
        <v>8240</v>
      </c>
      <c r="F915" s="48">
        <v>45319</v>
      </c>
      <c r="G915" t="s">
        <v>14</v>
      </c>
      <c r="H915">
        <v>212</v>
      </c>
      <c r="I915" t="str">
        <f>VLOOKUP(Продажи[[#This Row],[id товара]],Товары[],2,0)</f>
        <v>Конфеты</v>
      </c>
      <c r="J915" s="17">
        <f>AVERAGEIF(Продажи[Категория],Продажи[[#This Row],[Категория]],Продажи[цена за шт в рублях])</f>
        <v>267.85483870967744</v>
      </c>
      <c r="K915" s="16">
        <f>Продажи[[#This Row],[цена за шт в рублях]]/Продажи[[#This Row],[Средняя цена в категории за шт]]-1</f>
        <v>0.53814656470163169</v>
      </c>
      <c r="L915" t="str">
        <f>VLOOKUP(Продажи[[#This Row],[id товара]],Товары[],3,0)</f>
        <v>Славянка</v>
      </c>
      <c r="M915" s="32">
        <f>AVERAGEIFS(Продажи[цена за шт в рублях],Продажи[Категория],Продажи[[#This Row],[Категория]],Продажи[Поставщик],Продажи[[#This Row],[Поставщик]])</f>
        <v>268</v>
      </c>
      <c r="N915" s="16">
        <f>Продажи[[#This Row],[цена за шт в рублях]]/Продажи[[#This Row],[Средняя цена в категории за шт по поставщику]]-1</f>
        <v>0.53731343283582089</v>
      </c>
      <c r="O915" s="48">
        <f>VLOOKUP(Продажи[[#This Row],[id клиента]],клиенты!$A$2:$E$435,5,0)</f>
        <v>44815</v>
      </c>
      <c r="P915">
        <f>Продажи[[#This Row],[дата создания чека]]-Продажи[[#This Row],[Дата регистрации]]</f>
        <v>504</v>
      </c>
      <c r="Q915" t="str">
        <f>VLOOKUP(Продажи[[#This Row],[id клиента]],клиенты!$A$2:$G$435,7,0)</f>
        <v>Узбекистан</v>
      </c>
      <c r="R915">
        <f>IF(COUNTIF($H$2:H915, H915)=1, 1, 0)</f>
        <v>1</v>
      </c>
      <c r="S915" t="str">
        <f>VLOOKUP(Продажи[[#This Row],[id клиента]],клиенты!$A$2:$D$435,4,0)</f>
        <v>нет</v>
      </c>
      <c r="T915" s="54">
        <f>VLOOKUP(Продажи[[#This Row],[id клиента]],клиенты!$A$2:$I$435,9,0)</f>
        <v>16.558521560574949</v>
      </c>
    </row>
    <row r="916" spans="1:20" x14ac:dyDescent="0.25">
      <c r="A916">
        <v>915</v>
      </c>
      <c r="B916">
        <v>357</v>
      </c>
      <c r="C916">
        <v>279</v>
      </c>
      <c r="D916">
        <v>2</v>
      </c>
      <c r="E916" s="35">
        <v>2790</v>
      </c>
      <c r="F916" s="48">
        <v>45266</v>
      </c>
      <c r="G916" t="s">
        <v>23</v>
      </c>
      <c r="H916">
        <v>499</v>
      </c>
      <c r="I916" t="str">
        <f>VLOOKUP(Продажи[[#This Row],[id товара]],Товары[],2,0)</f>
        <v>Мясо</v>
      </c>
      <c r="J916" s="17">
        <f>AVERAGEIF(Продажи[Категория],Продажи[[#This Row],[Категория]],Продажи[цена за шт в рублях])</f>
        <v>271.74545454545455</v>
      </c>
      <c r="K916" s="16">
        <f>Продажи[[#This Row],[цена за шт в рублях]]/Продажи[[#This Row],[Средняя цена в категории за шт]]-1</f>
        <v>2.6696105981533602E-2</v>
      </c>
      <c r="L916" t="str">
        <f>VLOOKUP(Продажи[[#This Row],[id товара]],Товары[],3,0)</f>
        <v>Снежана</v>
      </c>
      <c r="M916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916" s="16">
        <f>Продажи[[#This Row],[цена за шт в рублях]]/Продажи[[#This Row],[Средняя цена в категории за шт по поставщику]]-1</f>
        <v>2.4406047516198681E-2</v>
      </c>
      <c r="O916" s="48">
        <f>VLOOKUP(Продажи[[#This Row],[id клиента]],клиенты!$A$2:$E$435,5,0)</f>
        <v>44798</v>
      </c>
      <c r="P916">
        <f>Продажи[[#This Row],[дата создания чека]]-Продажи[[#This Row],[Дата регистрации]]</f>
        <v>468</v>
      </c>
      <c r="Q916" t="str">
        <f>VLOOKUP(Продажи[[#This Row],[id клиента]],клиенты!$A$2:$G$435,7,0)</f>
        <v>Беларусь</v>
      </c>
      <c r="R916">
        <f>IF(COUNTIF($H$2:H916, H916)=1, 1, 0)</f>
        <v>1</v>
      </c>
      <c r="S916" t="str">
        <f>VLOOKUP(Продажи[[#This Row],[id клиента]],клиенты!$A$2:$D$435,4,0)</f>
        <v>да</v>
      </c>
      <c r="T916" s="54">
        <f>VLOOKUP(Продажи[[#This Row],[id клиента]],клиенты!$A$2:$I$435,9,0)</f>
        <v>16</v>
      </c>
    </row>
    <row r="917" spans="1:20" x14ac:dyDescent="0.25">
      <c r="A917">
        <v>916</v>
      </c>
      <c r="B917">
        <v>416</v>
      </c>
      <c r="C917">
        <v>472</v>
      </c>
      <c r="D917">
        <v>1</v>
      </c>
      <c r="E917" s="35">
        <v>2360</v>
      </c>
      <c r="F917" s="48">
        <v>45339</v>
      </c>
      <c r="G917" t="s">
        <v>27</v>
      </c>
      <c r="H917">
        <v>401</v>
      </c>
      <c r="I917" t="str">
        <f>VLOOKUP(Продажи[[#This Row],[id товара]],Товары[],2,0)</f>
        <v>Рыба</v>
      </c>
      <c r="J917" s="17">
        <f>AVERAGEIF(Продажи[Категория],Продажи[[#This Row],[Категория]],Продажи[цена за шт в рублях])</f>
        <v>258.5128205128205</v>
      </c>
      <c r="K917" s="16">
        <f>Продажи[[#This Row],[цена за шт в рублях]]/Продажи[[#This Row],[Средняя цена в категории за шт]]-1</f>
        <v>0.82582820868875229</v>
      </c>
      <c r="L917" t="str">
        <f>VLOOKUP(Продажи[[#This Row],[id товара]],Товары[],3,0)</f>
        <v>Меридиан</v>
      </c>
      <c r="M917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917" s="16">
        <f>Продажи[[#This Row],[цена за шт в рублях]]/Продажи[[#This Row],[Средняя цена в категории за шт по поставщику]]-1</f>
        <v>0.81087790566463558</v>
      </c>
      <c r="O917" s="48">
        <f>VLOOKUP(Продажи[[#This Row],[id клиента]],клиенты!$A$2:$E$435,5,0)</f>
        <v>44856</v>
      </c>
      <c r="P917">
        <f>Продажи[[#This Row],[дата создания чека]]-Продажи[[#This Row],[Дата регистрации]]</f>
        <v>483</v>
      </c>
      <c r="Q917" t="str">
        <f>VLOOKUP(Продажи[[#This Row],[id клиента]],клиенты!$A$2:$G$435,7,0)</f>
        <v>Россия</v>
      </c>
      <c r="R917">
        <f>IF(COUNTIF($H$2:H917, H917)=1, 1, 0)</f>
        <v>0</v>
      </c>
      <c r="S917" t="str">
        <f>VLOOKUP(Продажи[[#This Row],[id клиента]],клиенты!$A$2:$D$435,4,0)</f>
        <v>нет</v>
      </c>
      <c r="T917" s="54">
        <f>VLOOKUP(Продажи[[#This Row],[id клиента]],клиенты!$A$2:$I$435,9,0)</f>
        <v>17.774127310061601</v>
      </c>
    </row>
    <row r="918" spans="1:20" x14ac:dyDescent="0.25">
      <c r="A918">
        <v>917</v>
      </c>
      <c r="B918">
        <v>374</v>
      </c>
      <c r="C918">
        <v>52</v>
      </c>
      <c r="D918">
        <v>3</v>
      </c>
      <c r="E918" s="35">
        <v>780</v>
      </c>
      <c r="F918" s="48">
        <v>45026</v>
      </c>
      <c r="G918" t="s">
        <v>26</v>
      </c>
      <c r="H918">
        <v>463</v>
      </c>
      <c r="I918" t="str">
        <f>VLOOKUP(Продажи[[#This Row],[id товара]],Товары[],2,0)</f>
        <v>Кофе</v>
      </c>
      <c r="J918" s="17">
        <f>AVERAGEIF(Продажи[Категория],Продажи[[#This Row],[Категория]],Продажи[цена за шт в рублях])</f>
        <v>249.02380952380952</v>
      </c>
      <c r="K918" s="16">
        <f>Продажи[[#This Row],[цена за шт в рублях]]/Продажи[[#This Row],[Средняя цена в категории за шт]]-1</f>
        <v>-0.79118462568123149</v>
      </c>
      <c r="L918" t="str">
        <f>VLOOKUP(Продажи[[#This Row],[id товара]],Товары[],3,0)</f>
        <v>Tchibo</v>
      </c>
      <c r="M918" s="32">
        <f>AVERAGEIFS(Продажи[цена за шт в рублях],Продажи[Категория],Продажи[[#This Row],[Категория]],Продажи[Поставщик],Продажи[[#This Row],[Поставщик]])</f>
        <v>140</v>
      </c>
      <c r="N918" s="16">
        <f>Продажи[[#This Row],[цена за шт в рублях]]/Продажи[[#This Row],[Средняя цена в категории за шт по поставщику]]-1</f>
        <v>-0.62857142857142856</v>
      </c>
      <c r="O918" s="48">
        <f>VLOOKUP(Продажи[[#This Row],[id клиента]],клиенты!$A$2:$E$435,5,0)</f>
        <v>44869</v>
      </c>
      <c r="P918">
        <f>Продажи[[#This Row],[дата создания чека]]-Продажи[[#This Row],[Дата регистрации]]</f>
        <v>157</v>
      </c>
      <c r="Q918" t="str">
        <f>VLOOKUP(Продажи[[#This Row],[id клиента]],клиенты!$A$2:$G$435,7,0)</f>
        <v>Украина</v>
      </c>
      <c r="R918">
        <f>IF(COUNTIF($H$2:H918, H918)=1, 1, 0)</f>
        <v>0</v>
      </c>
      <c r="S918" t="str">
        <f>VLOOKUP(Продажи[[#This Row],[id клиента]],клиенты!$A$2:$D$435,4,0)</f>
        <v>нет</v>
      </c>
      <c r="T918" s="54">
        <f>VLOOKUP(Продажи[[#This Row],[id клиента]],клиенты!$A$2:$I$435,9,0)</f>
        <v>16.197125256673512</v>
      </c>
    </row>
    <row r="919" spans="1:20" x14ac:dyDescent="0.25">
      <c r="A919">
        <v>918</v>
      </c>
      <c r="B919">
        <v>145</v>
      </c>
      <c r="C919">
        <v>144</v>
      </c>
      <c r="D919">
        <v>5</v>
      </c>
      <c r="E919" s="35">
        <v>3600</v>
      </c>
      <c r="F919" s="48">
        <v>45312</v>
      </c>
      <c r="G919" t="s">
        <v>8</v>
      </c>
      <c r="H919">
        <v>347</v>
      </c>
      <c r="I919" t="str">
        <f>VLOOKUP(Продажи[[#This Row],[id товара]],Товары[],2,0)</f>
        <v>Овощи</v>
      </c>
      <c r="J919" s="17">
        <f>AVERAGEIF(Продажи[Категория],Продажи[[#This Row],[Категория]],Продажи[цена за шт в рублях])</f>
        <v>250.48780487804879</v>
      </c>
      <c r="K919" s="16">
        <f>Продажи[[#This Row],[цена за шт в рублях]]/Продажи[[#This Row],[Средняя цена в категории за шт]]-1</f>
        <v>-0.42512171372930874</v>
      </c>
      <c r="L919" t="str">
        <f>VLOOKUP(Продажи[[#This Row],[id товара]],Товары[],3,0)</f>
        <v>Семко</v>
      </c>
      <c r="M919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919" s="16">
        <f>Продажи[[#This Row],[цена за шт в рублях]]/Продажи[[#This Row],[Средняя цена в категории за шт по поставщику]]-1</f>
        <v>-0.30769230769230771</v>
      </c>
      <c r="O919" s="48">
        <f>VLOOKUP(Продажи[[#This Row],[id клиента]],клиенты!$A$2:$E$435,5,0)</f>
        <v>44588</v>
      </c>
      <c r="P919">
        <f>Продажи[[#This Row],[дата создания чека]]-Продажи[[#This Row],[Дата регистрации]]</f>
        <v>724</v>
      </c>
      <c r="Q919" t="str">
        <f>VLOOKUP(Продажи[[#This Row],[id клиента]],клиенты!$A$2:$G$435,7,0)</f>
        <v>Таджикистан</v>
      </c>
      <c r="R919">
        <f>IF(COUNTIF($H$2:H919, H919)=1, 1, 0)</f>
        <v>1</v>
      </c>
      <c r="S919" t="str">
        <f>VLOOKUP(Продажи[[#This Row],[id клиента]],клиенты!$A$2:$D$435,4,0)</f>
        <v>да</v>
      </c>
      <c r="T919" s="54">
        <f>VLOOKUP(Продажи[[#This Row],[id клиента]],клиенты!$A$2:$I$435,9,0)</f>
        <v>23.786447638603697</v>
      </c>
    </row>
    <row r="920" spans="1:20" x14ac:dyDescent="0.25">
      <c r="A920">
        <v>919</v>
      </c>
      <c r="B920">
        <v>289</v>
      </c>
      <c r="C920">
        <v>258</v>
      </c>
      <c r="D920">
        <v>2</v>
      </c>
      <c r="E920" s="35">
        <v>2580</v>
      </c>
      <c r="F920" s="48">
        <v>45392</v>
      </c>
      <c r="G920" t="s">
        <v>9</v>
      </c>
      <c r="H920">
        <v>54</v>
      </c>
      <c r="I920" t="str">
        <f>VLOOKUP(Продажи[[#This Row],[id товара]],Товары[],2,0)</f>
        <v>Сок</v>
      </c>
      <c r="J920" s="17">
        <f>AVERAGEIF(Продажи[Категория],Продажи[[#This Row],[Категория]],Продажи[цена за шт в рублях])</f>
        <v>268.60344827586209</v>
      </c>
      <c r="K920" s="16">
        <f>Продажи[[#This Row],[цена за шт в рублях]]/Продажи[[#This Row],[Средняя цена в категории за шт]]-1</f>
        <v>-3.9476217985750184E-2</v>
      </c>
      <c r="L920" t="str">
        <f>VLOOKUP(Продажи[[#This Row],[id товара]],Товары[],3,0)</f>
        <v>Добрый</v>
      </c>
      <c r="M920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920" s="16">
        <f>Продажи[[#This Row],[цена за шт в рублях]]/Продажи[[#This Row],[Средняя цена в категории за шт по поставщику]]-1</f>
        <v>6.2523399475851837E-2</v>
      </c>
      <c r="O920" s="48">
        <f>VLOOKUP(Продажи[[#This Row],[id клиента]],клиенты!$A$2:$E$435,5,0)</f>
        <v>44847</v>
      </c>
      <c r="P920">
        <f>Продажи[[#This Row],[дата создания чека]]-Продажи[[#This Row],[Дата регистрации]]</f>
        <v>545</v>
      </c>
      <c r="Q920" t="str">
        <f>VLOOKUP(Продажи[[#This Row],[id клиента]],клиенты!$A$2:$G$435,7,0)</f>
        <v>Беларусь</v>
      </c>
      <c r="R920">
        <f>IF(COUNTIF($H$2:H920, H920)=1, 1, 0)</f>
        <v>0</v>
      </c>
      <c r="S920" t="str">
        <f>VLOOKUP(Продажи[[#This Row],[id клиента]],клиенты!$A$2:$D$435,4,0)</f>
        <v>нет</v>
      </c>
      <c r="T920" s="54">
        <f>VLOOKUP(Продажи[[#This Row],[id клиента]],клиенты!$A$2:$I$435,9,0)</f>
        <v>17.905544147843944</v>
      </c>
    </row>
    <row r="921" spans="1:20" x14ac:dyDescent="0.25">
      <c r="A921">
        <v>920</v>
      </c>
      <c r="B921">
        <v>173</v>
      </c>
      <c r="C921">
        <v>173</v>
      </c>
      <c r="D921">
        <v>2</v>
      </c>
      <c r="E921" s="35">
        <v>1730</v>
      </c>
      <c r="F921" s="48">
        <v>45097</v>
      </c>
      <c r="G921" t="s">
        <v>26</v>
      </c>
      <c r="H921">
        <v>246</v>
      </c>
      <c r="I921" t="str">
        <f>VLOOKUP(Продажи[[#This Row],[id товара]],Товары[],2,0)</f>
        <v>Сок</v>
      </c>
      <c r="J921" s="17">
        <f>AVERAGEIF(Продажи[Категория],Продажи[[#This Row],[Категория]],Продажи[цена за шт в рублях])</f>
        <v>268.60344827586209</v>
      </c>
      <c r="K921" s="16">
        <f>Продажи[[#This Row],[цена за шт в рублях]]/Продажи[[#This Row],[Средняя цена в категории за шт]]-1</f>
        <v>-0.35592785159509599</v>
      </c>
      <c r="L921" t="str">
        <f>VLOOKUP(Продажи[[#This Row],[id товара]],Товары[],3,0)</f>
        <v>Фруктовый сад</v>
      </c>
      <c r="M921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921" s="16">
        <f>Продажи[[#This Row],[цена за шт в рублях]]/Продажи[[#This Row],[Средняя цена в категории за шт по поставщику]]-1</f>
        <v>-0.38645683253906682</v>
      </c>
      <c r="O921" s="48">
        <f>VLOOKUP(Продажи[[#This Row],[id клиента]],клиенты!$A$2:$E$435,5,0)</f>
        <v>44805</v>
      </c>
      <c r="P921">
        <f>Продажи[[#This Row],[дата создания чека]]-Продажи[[#This Row],[Дата регистрации]]</f>
        <v>292</v>
      </c>
      <c r="Q921" t="str">
        <f>VLOOKUP(Продажи[[#This Row],[id клиента]],клиенты!$A$2:$G$435,7,0)</f>
        <v>Узбекистан</v>
      </c>
      <c r="R921">
        <f>IF(COUNTIF($H$2:H921, H921)=1, 1, 0)</f>
        <v>0</v>
      </c>
      <c r="S921" t="str">
        <f>VLOOKUP(Продажи[[#This Row],[id клиента]],клиенты!$A$2:$D$435,4,0)</f>
        <v>нет</v>
      </c>
      <c r="T921" s="54">
        <f>VLOOKUP(Продажи[[#This Row],[id клиента]],клиенты!$A$2:$I$435,9,0)</f>
        <v>12.451745379876797</v>
      </c>
    </row>
    <row r="922" spans="1:20" x14ac:dyDescent="0.25">
      <c r="A922">
        <v>921</v>
      </c>
      <c r="B922">
        <v>390</v>
      </c>
      <c r="C922">
        <v>494</v>
      </c>
      <c r="D922">
        <v>3</v>
      </c>
      <c r="E922" s="35">
        <v>7410</v>
      </c>
      <c r="F922" s="48">
        <v>45196</v>
      </c>
      <c r="G922" t="s">
        <v>19</v>
      </c>
      <c r="H922">
        <v>65</v>
      </c>
      <c r="I922" t="str">
        <f>VLOOKUP(Продажи[[#This Row],[id товара]],Товары[],2,0)</f>
        <v>Сок</v>
      </c>
      <c r="J922" s="17">
        <f>AVERAGEIF(Продажи[Категория],Продажи[[#This Row],[Категория]],Продажи[цена за шт в рублях])</f>
        <v>268.60344827586209</v>
      </c>
      <c r="K922" s="16">
        <f>Продажи[[#This Row],[цена за шт в рублях]]/Продажи[[#This Row],[Средняя цена в категории за шт]]-1</f>
        <v>0.83914243532961019</v>
      </c>
      <c r="L922" t="str">
        <f>VLOOKUP(Продажи[[#This Row],[id товара]],Товары[],3,0)</f>
        <v>Сады Придонья</v>
      </c>
      <c r="M922" s="32">
        <f>AVERAGEIFS(Продажи[цена за шт в рублях],Продажи[Категория],Продажи[[#This Row],[Категория]],Продажи[Поставщик],Продажи[[#This Row],[Поставщик]])</f>
        <v>254.18181818181819</v>
      </c>
      <c r="N922" s="16">
        <f>Продажи[[#This Row],[цена за шт в рублях]]/Продажи[[#This Row],[Средняя цена в категории за шт по поставщику]]-1</f>
        <v>0.94349070100143062</v>
      </c>
      <c r="O922" s="48">
        <f>VLOOKUP(Продажи[[#This Row],[id клиента]],клиенты!$A$2:$E$435,5,0)</f>
        <v>44623</v>
      </c>
      <c r="P922">
        <f>Продажи[[#This Row],[дата создания чека]]-Продажи[[#This Row],[Дата регистрации]]</f>
        <v>573</v>
      </c>
      <c r="Q922" t="str">
        <f>VLOOKUP(Продажи[[#This Row],[id клиента]],клиенты!$A$2:$G$435,7,0)</f>
        <v>Украина</v>
      </c>
      <c r="R922">
        <f>IF(COUNTIF($H$2:H922, H922)=1, 1, 0)</f>
        <v>0</v>
      </c>
      <c r="S922" t="str">
        <f>VLOOKUP(Продажи[[#This Row],[id клиента]],клиенты!$A$2:$D$435,4,0)</f>
        <v>нет</v>
      </c>
      <c r="T922" s="54">
        <f>VLOOKUP(Продажи[[#This Row],[id клиента]],клиенты!$A$2:$I$435,9,0)</f>
        <v>25.462012320328544</v>
      </c>
    </row>
    <row r="923" spans="1:20" x14ac:dyDescent="0.25">
      <c r="A923">
        <v>922</v>
      </c>
      <c r="B923">
        <v>482</v>
      </c>
      <c r="C923">
        <v>198</v>
      </c>
      <c r="D923">
        <v>2</v>
      </c>
      <c r="E923" s="35">
        <v>1980</v>
      </c>
      <c r="F923" s="48">
        <v>45197</v>
      </c>
      <c r="G923" t="s">
        <v>26</v>
      </c>
      <c r="H923">
        <v>44</v>
      </c>
      <c r="I923" t="str">
        <f>VLOOKUP(Продажи[[#This Row],[id товара]],Товары[],2,0)</f>
        <v>Крупа</v>
      </c>
      <c r="J923" s="17">
        <f>AVERAGEIF(Продажи[Категория],Продажи[[#This Row],[Категория]],Продажи[цена за шт в рублях])</f>
        <v>255.11627906976744</v>
      </c>
      <c r="K923" s="16">
        <f>Продажи[[#This Row],[цена за шт в рублях]]/Продажи[[#This Row],[Средняя цена в категории за шт]]-1</f>
        <v>-0.22388331814038287</v>
      </c>
      <c r="L923" t="str">
        <f>VLOOKUP(Продажи[[#This Row],[id товара]],Товары[],3,0)</f>
        <v>Мистраль</v>
      </c>
      <c r="M923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923" s="16">
        <f>Продажи[[#This Row],[цена за шт в рублях]]/Продажи[[#This Row],[Средняя цена в категории за шт по поставщику]]-1</f>
        <v>-0.20897357098955138</v>
      </c>
      <c r="O923" s="48">
        <f>VLOOKUP(Продажи[[#This Row],[id клиента]],клиенты!$A$2:$E$435,5,0)</f>
        <v>44701</v>
      </c>
      <c r="P923">
        <f>Продажи[[#This Row],[дата создания чека]]-Продажи[[#This Row],[Дата регистрации]]</f>
        <v>496</v>
      </c>
      <c r="Q923" t="str">
        <f>VLOOKUP(Продажи[[#This Row],[id клиента]],клиенты!$A$2:$G$435,7,0)</f>
        <v>Беларусь</v>
      </c>
      <c r="R923">
        <f>IF(COUNTIF($H$2:H923, H923)=1, 1, 0)</f>
        <v>0</v>
      </c>
      <c r="S923" t="str">
        <f>VLOOKUP(Продажи[[#This Row],[id клиента]],клиенты!$A$2:$D$435,4,0)</f>
        <v>нет</v>
      </c>
      <c r="T923" s="54">
        <f>VLOOKUP(Продажи[[#This Row],[id клиента]],клиенты!$A$2:$I$435,9,0)</f>
        <v>23.392197125256672</v>
      </c>
    </row>
    <row r="924" spans="1:20" x14ac:dyDescent="0.25">
      <c r="A924">
        <v>923</v>
      </c>
      <c r="B924">
        <v>465</v>
      </c>
      <c r="C924">
        <v>71</v>
      </c>
      <c r="D924">
        <v>5</v>
      </c>
      <c r="E924" s="35">
        <v>1775</v>
      </c>
      <c r="F924" s="48">
        <v>45253</v>
      </c>
      <c r="G924" t="s">
        <v>16</v>
      </c>
      <c r="H924">
        <v>321</v>
      </c>
      <c r="I924" t="str">
        <f>VLOOKUP(Продажи[[#This Row],[id товара]],Товары[],2,0)</f>
        <v>Йогурт</v>
      </c>
      <c r="J924" s="17">
        <f>AVERAGEIF(Продажи[Категория],Продажи[[#This Row],[Категория]],Продажи[цена за шт в рублях])</f>
        <v>263.25423728813558</v>
      </c>
      <c r="K924" s="16">
        <f>Продажи[[#This Row],[цена за шт в рублях]]/Продажи[[#This Row],[Средняя цена в категории за шт]]-1</f>
        <v>-0.73029873808910639</v>
      </c>
      <c r="L924" t="str">
        <f>VLOOKUP(Продажи[[#This Row],[id товара]],Товары[],3,0)</f>
        <v>Ростагроэкспорт</v>
      </c>
      <c r="M924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924" s="16">
        <f>Продажи[[#This Row],[цена за шт в рублях]]/Продажи[[#This Row],[Средняя цена в категории за шт по поставщику]]-1</f>
        <v>-0.7245741271715298</v>
      </c>
      <c r="O924" s="48">
        <f>VLOOKUP(Продажи[[#This Row],[id клиента]],клиенты!$A$2:$E$435,5,0)</f>
        <v>44756</v>
      </c>
      <c r="P924">
        <f>Продажи[[#This Row],[дата создания чека]]-Продажи[[#This Row],[Дата регистрации]]</f>
        <v>497</v>
      </c>
      <c r="Q924" t="str">
        <f>VLOOKUP(Продажи[[#This Row],[id клиента]],клиенты!$A$2:$G$435,7,0)</f>
        <v>Таджикистан</v>
      </c>
      <c r="R924">
        <f>IF(COUNTIF($H$2:H924, H924)=1, 1, 0)</f>
        <v>0</v>
      </c>
      <c r="S924" t="str">
        <f>VLOOKUP(Продажи[[#This Row],[id клиента]],клиенты!$A$2:$D$435,4,0)</f>
        <v>нет</v>
      </c>
      <c r="T924" s="54">
        <f>VLOOKUP(Продажи[[#This Row],[id клиента]],клиенты!$A$2:$I$435,9,0)</f>
        <v>16.95277207392197</v>
      </c>
    </row>
    <row r="925" spans="1:20" x14ac:dyDescent="0.25">
      <c r="A925">
        <v>924</v>
      </c>
      <c r="B925">
        <v>114</v>
      </c>
      <c r="C925">
        <v>228</v>
      </c>
      <c r="D925">
        <v>2</v>
      </c>
      <c r="E925" s="35">
        <v>2280</v>
      </c>
      <c r="F925" s="48">
        <v>45175</v>
      </c>
      <c r="G925" t="s">
        <v>22</v>
      </c>
      <c r="H925">
        <v>50</v>
      </c>
      <c r="I925" t="str">
        <f>VLOOKUP(Продажи[[#This Row],[id товара]],Товары[],2,0)</f>
        <v>Сыр</v>
      </c>
      <c r="J925" s="17">
        <f>AVERAGEIF(Продажи[Категория],Продажи[[#This Row],[Категория]],Продажи[цена за шт в рублях])</f>
        <v>262.63492063492066</v>
      </c>
      <c r="K925" s="16">
        <f>Продажи[[#This Row],[цена за шт в рублях]]/Продажи[[#This Row],[Средняя цена в категории за шт]]-1</f>
        <v>-0.13187477335912012</v>
      </c>
      <c r="L925" t="str">
        <f>VLOOKUP(Продажи[[#This Row],[id товара]],Товары[],3,0)</f>
        <v>Сырная долина</v>
      </c>
      <c r="M925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925" s="16">
        <f>Продажи[[#This Row],[цена за шт в рублях]]/Продажи[[#This Row],[Средняя цена в категории за шт по поставщику]]-1</f>
        <v>-0.15867158671586712</v>
      </c>
      <c r="O925" s="48">
        <f>VLOOKUP(Продажи[[#This Row],[id клиента]],клиенты!$A$2:$E$435,5,0)</f>
        <v>44576</v>
      </c>
      <c r="P925">
        <f>Продажи[[#This Row],[дата создания чека]]-Продажи[[#This Row],[Дата регистрации]]</f>
        <v>599</v>
      </c>
      <c r="Q925" t="str">
        <f>VLOOKUP(Продажи[[#This Row],[id клиента]],клиенты!$A$2:$G$435,7,0)</f>
        <v>Узбекистан</v>
      </c>
      <c r="R925">
        <f>IF(COUNTIF($H$2:H925, H925)=1, 1, 0)</f>
        <v>0</v>
      </c>
      <c r="S925" t="str">
        <f>VLOOKUP(Продажи[[#This Row],[id клиента]],клиенты!$A$2:$D$435,4,0)</f>
        <v>да</v>
      </c>
      <c r="T925" s="54">
        <f>VLOOKUP(Продажи[[#This Row],[id клиента]],клиенты!$A$2:$I$435,9,0)</f>
        <v>19.679671457905545</v>
      </c>
    </row>
    <row r="926" spans="1:20" x14ac:dyDescent="0.25">
      <c r="A926">
        <v>925</v>
      </c>
      <c r="B926">
        <v>46</v>
      </c>
      <c r="C926">
        <v>290</v>
      </c>
      <c r="D926">
        <v>3</v>
      </c>
      <c r="E926" s="35">
        <v>4350</v>
      </c>
      <c r="F926" s="48">
        <v>45059</v>
      </c>
      <c r="G926" t="s">
        <v>13</v>
      </c>
      <c r="H926">
        <v>460</v>
      </c>
      <c r="I926" t="str">
        <f>VLOOKUP(Продажи[[#This Row],[id товара]],Товары[],2,0)</f>
        <v>Йогурт</v>
      </c>
      <c r="J926" s="17">
        <f>AVERAGEIF(Продажи[Категория],Продажи[[#This Row],[Категория]],Продажи[цена за шт в рублях])</f>
        <v>263.25423728813558</v>
      </c>
      <c r="K926" s="16">
        <f>Продажи[[#This Row],[цена за шт в рублях]]/Продажи[[#This Row],[Средняя цена в категории за шт]]-1</f>
        <v>0.10159670357970652</v>
      </c>
      <c r="L926" t="str">
        <f>VLOOKUP(Продажи[[#This Row],[id товара]],Товары[],3,0)</f>
        <v>Активиа</v>
      </c>
      <c r="M926" s="32">
        <f>AVERAGEIFS(Продажи[цена за шт в рублях],Продажи[Категория],Продажи[[#This Row],[Категория]],Продажи[Поставщик],Продажи[[#This Row],[Поставщик]])</f>
        <v>293.66666666666669</v>
      </c>
      <c r="N926" s="16">
        <f>Продажи[[#This Row],[цена за шт в рублях]]/Продажи[[#This Row],[Средняя цена в категории за шт по поставщику]]-1</f>
        <v>-1.2485811577752637E-2</v>
      </c>
      <c r="O926" s="48">
        <f>VLOOKUP(Продажи[[#This Row],[id клиента]],клиенты!$A$2:$E$435,5,0)</f>
        <v>44821</v>
      </c>
      <c r="P926">
        <f>Продажи[[#This Row],[дата создания чека]]-Продажи[[#This Row],[Дата регистрации]]</f>
        <v>238</v>
      </c>
      <c r="Q926" t="str">
        <f>VLOOKUP(Продажи[[#This Row],[id клиента]],клиенты!$A$2:$G$435,7,0)</f>
        <v>Россия</v>
      </c>
      <c r="R926">
        <f>IF(COUNTIF($H$2:H926, H926)=1, 1, 0)</f>
        <v>0</v>
      </c>
      <c r="S926" t="str">
        <f>VLOOKUP(Продажи[[#This Row],[id клиента]],клиенты!$A$2:$D$435,4,0)</f>
        <v>нет</v>
      </c>
      <c r="T926" s="54">
        <f>VLOOKUP(Продажи[[#This Row],[id клиента]],клиенты!$A$2:$I$435,9,0)</f>
        <v>9.4291581108829572</v>
      </c>
    </row>
    <row r="927" spans="1:20" x14ac:dyDescent="0.25">
      <c r="A927">
        <v>926</v>
      </c>
      <c r="B927">
        <v>222</v>
      </c>
      <c r="C927">
        <v>168</v>
      </c>
      <c r="D927">
        <v>3</v>
      </c>
      <c r="E927" s="35">
        <v>2520</v>
      </c>
      <c r="F927" s="48">
        <v>45313</v>
      </c>
      <c r="G927" t="s">
        <v>21</v>
      </c>
      <c r="H927">
        <v>79</v>
      </c>
      <c r="I927" t="str">
        <f>VLOOKUP(Продажи[[#This Row],[id товара]],Товары[],2,0)</f>
        <v>Молоко</v>
      </c>
      <c r="J927" s="17">
        <f>AVERAGEIF(Продажи[Категория],Продажи[[#This Row],[Категория]],Продажи[цена за шт в рублях])</f>
        <v>294.95238095238096</v>
      </c>
      <c r="K927" s="16">
        <f>Продажи[[#This Row],[цена за шт в рублях]]/Продажи[[#This Row],[Средняя цена в категории за шт]]-1</f>
        <v>-0.43041653212786568</v>
      </c>
      <c r="L927" t="str">
        <f>VLOOKUP(Продажи[[#This Row],[id товара]],Товары[],3,0)</f>
        <v>Простоквашино</v>
      </c>
      <c r="M927" s="32">
        <f>AVERAGEIFS(Продажи[цена за шт в рублях],Продажи[Категория],Продажи[[#This Row],[Категория]],Продажи[Поставщик],Продажи[[#This Row],[Поставщик]])</f>
        <v>318.81818181818181</v>
      </c>
      <c r="N927" s="16">
        <f>Продажи[[#This Row],[цена за шт в рублях]]/Продажи[[#This Row],[Средняя цена в категории за шт по поставщику]]-1</f>
        <v>-0.47305389221556882</v>
      </c>
      <c r="O927" s="48">
        <f>VLOOKUP(Продажи[[#This Row],[id клиента]],клиенты!$A$2:$E$435,5,0)</f>
        <v>44716</v>
      </c>
      <c r="P927">
        <f>Продажи[[#This Row],[дата создания чека]]-Продажи[[#This Row],[Дата регистрации]]</f>
        <v>597</v>
      </c>
      <c r="Q927" t="str">
        <f>VLOOKUP(Продажи[[#This Row],[id клиента]],клиенты!$A$2:$G$435,7,0)</f>
        <v>Таджикистан</v>
      </c>
      <c r="R927">
        <f>IF(COUNTIF($H$2:H927, H927)=1, 1, 0)</f>
        <v>0</v>
      </c>
      <c r="S927" t="str">
        <f>VLOOKUP(Продажи[[#This Row],[id клиента]],клиенты!$A$2:$D$435,4,0)</f>
        <v>нет</v>
      </c>
      <c r="T927" s="54">
        <f>VLOOKUP(Продажи[[#This Row],[id клиента]],клиенты!$A$2:$I$435,9,0)</f>
        <v>19.613963039014372</v>
      </c>
    </row>
    <row r="928" spans="1:20" x14ac:dyDescent="0.25">
      <c r="A928">
        <v>927</v>
      </c>
      <c r="B928">
        <v>210</v>
      </c>
      <c r="C928">
        <v>374</v>
      </c>
      <c r="D928">
        <v>2</v>
      </c>
      <c r="E928" s="35">
        <v>3740</v>
      </c>
      <c r="F928" s="48">
        <v>45052</v>
      </c>
      <c r="G928" t="s">
        <v>16</v>
      </c>
      <c r="H928">
        <v>209</v>
      </c>
      <c r="I928" t="str">
        <f>VLOOKUP(Продажи[[#This Row],[id товара]],Товары[],2,0)</f>
        <v>Колбаса</v>
      </c>
      <c r="J928" s="17">
        <f>AVERAGEIF(Продажи[Категория],Продажи[[#This Row],[Категория]],Продажи[цена за шт в рублях])</f>
        <v>286.92307692307691</v>
      </c>
      <c r="K928" s="16">
        <f>Продажи[[#This Row],[цена за шт в рублях]]/Продажи[[#This Row],[Средняя цена в категории за шт]]-1</f>
        <v>0.30348525469168908</v>
      </c>
      <c r="L928" t="str">
        <f>VLOOKUP(Продажи[[#This Row],[id товара]],Товары[],3,0)</f>
        <v>Окраина</v>
      </c>
      <c r="M928" s="32">
        <f>AVERAGEIFS(Продажи[цена за шт в рублях],Продажи[Категория],Продажи[[#This Row],[Категория]],Продажи[Поставщик],Продажи[[#This Row],[Поставщик]])</f>
        <v>273.58333333333331</v>
      </c>
      <c r="N928" s="16">
        <f>Продажи[[#This Row],[цена за шт в рублях]]/Продажи[[#This Row],[Средняя цена в категории за шт по поставщику]]-1</f>
        <v>0.36704233932378938</v>
      </c>
      <c r="O928" s="48">
        <f>VLOOKUP(Продажи[[#This Row],[id клиента]],клиенты!$A$2:$E$435,5,0)</f>
        <v>44628</v>
      </c>
      <c r="P928">
        <f>Продажи[[#This Row],[дата создания чека]]-Продажи[[#This Row],[Дата регистрации]]</f>
        <v>424</v>
      </c>
      <c r="Q928" t="str">
        <f>VLOOKUP(Продажи[[#This Row],[id клиента]],клиенты!$A$2:$G$435,7,0)</f>
        <v>Россия</v>
      </c>
      <c r="R928">
        <f>IF(COUNTIF($H$2:H928, H928)=1, 1, 0)</f>
        <v>0</v>
      </c>
      <c r="S928" t="str">
        <f>VLOOKUP(Продажи[[#This Row],[id клиента]],клиенты!$A$2:$D$435,4,0)</f>
        <v>нет</v>
      </c>
      <c r="T928" s="54">
        <f>VLOOKUP(Продажи[[#This Row],[id клиента]],клиенты!$A$2:$I$435,9,0)</f>
        <v>13.930184804928132</v>
      </c>
    </row>
    <row r="929" spans="1:20" x14ac:dyDescent="0.25">
      <c r="A929">
        <v>928</v>
      </c>
      <c r="B929">
        <v>399</v>
      </c>
      <c r="C929">
        <v>67</v>
      </c>
      <c r="D929">
        <v>2</v>
      </c>
      <c r="E929" s="35">
        <v>670</v>
      </c>
      <c r="F929" s="48">
        <v>44951</v>
      </c>
      <c r="G929" t="s">
        <v>26</v>
      </c>
      <c r="H929">
        <v>451</v>
      </c>
      <c r="I929" t="str">
        <f>VLOOKUP(Продажи[[#This Row],[id товара]],Товары[],2,0)</f>
        <v>Хлеб</v>
      </c>
      <c r="J929" s="17">
        <f>AVERAGEIF(Продажи[Категория],Продажи[[#This Row],[Категория]],Продажи[цена за шт в рублях])</f>
        <v>300.31818181818181</v>
      </c>
      <c r="K929" s="16">
        <f>Продажи[[#This Row],[цена за шт в рублях]]/Продажи[[#This Row],[Средняя цена в категории за шт]]-1</f>
        <v>-0.77690328439533829</v>
      </c>
      <c r="L929" t="str">
        <f>VLOOKUP(Продажи[[#This Row],[id товара]],Товары[],3,0)</f>
        <v>Хлебный Дом</v>
      </c>
      <c r="M929" s="32">
        <f>AVERAGEIFS(Продажи[цена за шт в рублях],Продажи[Категория],Продажи[[#This Row],[Категория]],Продажи[Поставщик],Продажи[[#This Row],[Поставщик]])</f>
        <v>281.73333333333335</v>
      </c>
      <c r="N929" s="16">
        <f>Продажи[[#This Row],[цена за шт в рублях]]/Продажи[[#This Row],[Средняя цена в категории за шт по поставщику]]-1</f>
        <v>-0.76218646474207286</v>
      </c>
      <c r="O929" s="48">
        <f>VLOOKUP(Продажи[[#This Row],[id клиента]],клиенты!$A$2:$E$435,5,0)</f>
        <v>44584</v>
      </c>
      <c r="P929">
        <f>Продажи[[#This Row],[дата создания чека]]-Продажи[[#This Row],[Дата регистрации]]</f>
        <v>367</v>
      </c>
      <c r="Q929" t="str">
        <f>VLOOKUP(Продажи[[#This Row],[id клиента]],клиенты!$A$2:$G$435,7,0)</f>
        <v>Россия</v>
      </c>
      <c r="R929">
        <f>IF(COUNTIF($H$2:H929, H929)=1, 1, 0)</f>
        <v>0</v>
      </c>
      <c r="S929" t="str">
        <f>VLOOKUP(Продажи[[#This Row],[id клиента]],клиенты!$A$2:$D$435,4,0)</f>
        <v>да</v>
      </c>
      <c r="T929" s="54">
        <f>VLOOKUP(Продажи[[#This Row],[id клиента]],клиенты!$A$2:$I$435,9,0)</f>
        <v>14.981519507186858</v>
      </c>
    </row>
    <row r="930" spans="1:20" x14ac:dyDescent="0.25">
      <c r="A930">
        <v>929</v>
      </c>
      <c r="B930">
        <v>498</v>
      </c>
      <c r="C930">
        <v>244</v>
      </c>
      <c r="D930">
        <v>2</v>
      </c>
      <c r="E930" s="35">
        <v>2440</v>
      </c>
      <c r="F930" s="48">
        <v>45238</v>
      </c>
      <c r="G930" t="s">
        <v>11</v>
      </c>
      <c r="H930">
        <v>49</v>
      </c>
      <c r="I930" t="str">
        <f>VLOOKUP(Продажи[[#This Row],[id товара]],Товары[],2,0)</f>
        <v>Молоко</v>
      </c>
      <c r="J930" s="17">
        <f>AVERAGEIF(Продажи[Категория],Продажи[[#This Row],[Категория]],Продажи[цена за шт в рублях])</f>
        <v>294.95238095238096</v>
      </c>
      <c r="K930" s="16">
        <f>Продажи[[#This Row],[цена за шт в рублях]]/Продажи[[#This Row],[Средняя цена в категории за шт]]-1</f>
        <v>-0.17274782047142401</v>
      </c>
      <c r="L930" t="str">
        <f>VLOOKUP(Продажи[[#This Row],[id товара]],Товары[],3,0)</f>
        <v>Домик в деревне</v>
      </c>
      <c r="M930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930" s="16">
        <f>Продажи[[#This Row],[цена за шт в рублях]]/Продажи[[#This Row],[Средняя цена в категории за шт по поставщику]]-1</f>
        <v>-0.11200970481196926</v>
      </c>
      <c r="O930" s="48">
        <f>VLOOKUP(Продажи[[#This Row],[id клиента]],клиенты!$A$2:$E$435,5,0)</f>
        <v>44672</v>
      </c>
      <c r="P930">
        <f>Продажи[[#This Row],[дата создания чека]]-Продажи[[#This Row],[Дата регистрации]]</f>
        <v>566</v>
      </c>
      <c r="Q930" t="str">
        <f>VLOOKUP(Продажи[[#This Row],[id клиента]],клиенты!$A$2:$G$435,7,0)</f>
        <v>Таджикистан</v>
      </c>
      <c r="R930">
        <f>IF(COUNTIF($H$2:H930, H930)=1, 1, 0)</f>
        <v>0</v>
      </c>
      <c r="S930" t="str">
        <f>VLOOKUP(Продажи[[#This Row],[id клиента]],клиенты!$A$2:$D$435,4,0)</f>
        <v>да</v>
      </c>
      <c r="T930" s="54">
        <f>VLOOKUP(Продажи[[#This Row],[id клиента]],клиенты!$A$2:$I$435,9,0)</f>
        <v>20.073921971252567</v>
      </c>
    </row>
    <row r="931" spans="1:20" x14ac:dyDescent="0.25">
      <c r="A931">
        <v>930</v>
      </c>
      <c r="B931">
        <v>170</v>
      </c>
      <c r="C931">
        <v>312</v>
      </c>
      <c r="D931">
        <v>1</v>
      </c>
      <c r="E931" s="35">
        <v>1560</v>
      </c>
      <c r="F931" s="48">
        <v>45072</v>
      </c>
      <c r="G931" t="s">
        <v>19</v>
      </c>
      <c r="H931">
        <v>162</v>
      </c>
      <c r="I931" t="str">
        <f>VLOOKUP(Продажи[[#This Row],[id товара]],Товары[],2,0)</f>
        <v>Конфеты</v>
      </c>
      <c r="J931" s="17">
        <f>AVERAGEIF(Продажи[Категория],Продажи[[#This Row],[Категория]],Продажи[цена за шт в рублях])</f>
        <v>267.85483870967744</v>
      </c>
      <c r="K931" s="16">
        <f>Продажи[[#This Row],[цена за шт в рублях]]/Продажи[[#This Row],[Средняя цена в категории за шт]]-1</f>
        <v>0.16481001987113864</v>
      </c>
      <c r="L931" t="str">
        <f>VLOOKUP(Продажи[[#This Row],[id товара]],Товары[],3,0)</f>
        <v>Славянка</v>
      </c>
      <c r="M931" s="32">
        <f>AVERAGEIFS(Продажи[цена за шт в рублях],Продажи[Категория],Продажи[[#This Row],[Категория]],Продажи[Поставщик],Продажи[[#This Row],[Поставщик]])</f>
        <v>268</v>
      </c>
      <c r="N931" s="16">
        <f>Продажи[[#This Row],[цена за шт в рублях]]/Продажи[[#This Row],[Средняя цена в категории за шт по поставщику]]-1</f>
        <v>0.16417910447761197</v>
      </c>
      <c r="O931" s="48">
        <f>VLOOKUP(Продажи[[#This Row],[id клиента]],клиенты!$A$2:$E$435,5,0)</f>
        <v>44639</v>
      </c>
      <c r="P931">
        <f>Продажи[[#This Row],[дата создания чека]]-Продажи[[#This Row],[Дата регистрации]]</f>
        <v>433</v>
      </c>
      <c r="Q931" t="str">
        <f>VLOOKUP(Продажи[[#This Row],[id клиента]],клиенты!$A$2:$G$435,7,0)</f>
        <v>Таджикистан</v>
      </c>
      <c r="R931">
        <f>IF(COUNTIF($H$2:H931, H931)=1, 1, 0)</f>
        <v>0</v>
      </c>
      <c r="S931" t="str">
        <f>VLOOKUP(Продажи[[#This Row],[id клиента]],клиенты!$A$2:$D$435,4,0)</f>
        <v>нет</v>
      </c>
      <c r="T931" s="54">
        <f>VLOOKUP(Продажи[[#This Row],[id клиента]],клиенты!$A$2:$I$435,9,0)</f>
        <v>21.289527720739219</v>
      </c>
    </row>
    <row r="932" spans="1:20" x14ac:dyDescent="0.25">
      <c r="A932">
        <v>931</v>
      </c>
      <c r="B932">
        <v>205</v>
      </c>
      <c r="C932">
        <v>212</v>
      </c>
      <c r="D932">
        <v>4</v>
      </c>
      <c r="E932" s="35">
        <v>4240</v>
      </c>
      <c r="F932" s="48">
        <v>45020</v>
      </c>
      <c r="G932" t="s">
        <v>17</v>
      </c>
      <c r="H932">
        <v>414</v>
      </c>
      <c r="I932" t="str">
        <f>VLOOKUP(Продажи[[#This Row],[id товара]],Товары[],2,0)</f>
        <v>Макароны</v>
      </c>
      <c r="J932" s="17">
        <f>AVERAGEIF(Продажи[Категория],Продажи[[#This Row],[Категория]],Продажи[цена за шт в рублях])</f>
        <v>265.47674418604652</v>
      </c>
      <c r="K932" s="16">
        <f>Продажи[[#This Row],[цена за шт в рублях]]/Продажи[[#This Row],[Средняя цена в категории за шт]]-1</f>
        <v>-0.20143664316061494</v>
      </c>
      <c r="L932" t="str">
        <f>VLOOKUP(Продажи[[#This Row],[id товара]],Товары[],3,0)</f>
        <v>Борилла</v>
      </c>
      <c r="M932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932" s="16">
        <f>Продажи[[#This Row],[цена за шт в рублях]]/Продажи[[#This Row],[Средняя цена в категории за шт по поставщику]]-1</f>
        <v>-0.10274372446001168</v>
      </c>
      <c r="O932" s="48">
        <f>VLOOKUP(Продажи[[#This Row],[id клиента]],клиенты!$A$2:$E$435,5,0)</f>
        <v>44794</v>
      </c>
      <c r="P932">
        <f>Продажи[[#This Row],[дата создания чека]]-Продажи[[#This Row],[Дата регистрации]]</f>
        <v>226</v>
      </c>
      <c r="Q932" t="str">
        <f>VLOOKUP(Продажи[[#This Row],[id клиента]],клиенты!$A$2:$G$435,7,0)</f>
        <v>Беларусь</v>
      </c>
      <c r="R932">
        <f>IF(COUNTIF($H$2:H932, H932)=1, 1, 0)</f>
        <v>0</v>
      </c>
      <c r="S932" t="str">
        <f>VLOOKUP(Продажи[[#This Row],[id клиента]],клиенты!$A$2:$D$435,4,0)</f>
        <v>нет</v>
      </c>
      <c r="T932" s="54">
        <f>VLOOKUP(Продажи[[#This Row],[id клиента]],клиенты!$A$2:$I$435,9,0)</f>
        <v>11.137577002053389</v>
      </c>
    </row>
    <row r="933" spans="1:20" x14ac:dyDescent="0.25">
      <c r="A933">
        <v>932</v>
      </c>
      <c r="B933">
        <v>188</v>
      </c>
      <c r="C933">
        <v>233</v>
      </c>
      <c r="D933">
        <v>2</v>
      </c>
      <c r="E933" s="35">
        <v>2330</v>
      </c>
      <c r="F933" s="48">
        <v>45214</v>
      </c>
      <c r="G933" t="s">
        <v>18</v>
      </c>
      <c r="H933">
        <v>445</v>
      </c>
      <c r="I933" t="str">
        <f>VLOOKUP(Продажи[[#This Row],[id товара]],Товары[],2,0)</f>
        <v>Молоко</v>
      </c>
      <c r="J933" s="17">
        <f>AVERAGEIF(Продажи[Категория],Продажи[[#This Row],[Категория]],Продажи[цена за шт в рублях])</f>
        <v>294.95238095238096</v>
      </c>
      <c r="K933" s="16">
        <f>Продажи[[#This Row],[цена за шт в рублях]]/Продажи[[#This Row],[Средняя цена в категории за шт]]-1</f>
        <v>-0.21004197610590902</v>
      </c>
      <c r="L933" t="str">
        <f>VLOOKUP(Продажи[[#This Row],[id товара]],Товары[],3,0)</f>
        <v>Вимм-Билль-Данн</v>
      </c>
      <c r="M933" s="32">
        <f>AVERAGEIFS(Продажи[цена за шт в рублях],Продажи[Категория],Продажи[[#This Row],[Категория]],Продажи[Поставщик],Продажи[[#This Row],[Поставщик]])</f>
        <v>193.5</v>
      </c>
      <c r="N933" s="16">
        <f>Продажи[[#This Row],[цена за шт в рублях]]/Продажи[[#This Row],[Средняя цена в категории за шт по поставщику]]-1</f>
        <v>0.20413436692506459</v>
      </c>
      <c r="O933" s="48">
        <f>VLOOKUP(Продажи[[#This Row],[id клиента]],клиенты!$A$2:$E$435,5,0)</f>
        <v>44676</v>
      </c>
      <c r="P933">
        <f>Продажи[[#This Row],[дата создания чека]]-Продажи[[#This Row],[Дата регистрации]]</f>
        <v>538</v>
      </c>
      <c r="Q933" t="str">
        <f>VLOOKUP(Продажи[[#This Row],[id клиента]],клиенты!$A$2:$G$435,7,0)</f>
        <v>Россия</v>
      </c>
      <c r="R933">
        <f>IF(COUNTIF($H$2:H933, H933)=1, 1, 0)</f>
        <v>0</v>
      </c>
      <c r="S933" t="str">
        <f>VLOOKUP(Продажи[[#This Row],[id клиента]],клиенты!$A$2:$D$435,4,0)</f>
        <v>нет</v>
      </c>
      <c r="T933" s="54">
        <f>VLOOKUP(Продажи[[#This Row],[id клиента]],клиенты!$A$2:$I$435,9,0)</f>
        <v>17.675564681724847</v>
      </c>
    </row>
    <row r="934" spans="1:20" x14ac:dyDescent="0.25">
      <c r="A934">
        <v>933</v>
      </c>
      <c r="B934">
        <v>246</v>
      </c>
      <c r="C934">
        <v>400</v>
      </c>
      <c r="D934">
        <v>4</v>
      </c>
      <c r="E934" s="35">
        <v>8000</v>
      </c>
      <c r="F934" s="48">
        <v>45376</v>
      </c>
      <c r="G934" t="s">
        <v>23</v>
      </c>
      <c r="H934">
        <v>191</v>
      </c>
      <c r="I934" t="str">
        <f>VLOOKUP(Продажи[[#This Row],[id товара]],Товары[],2,0)</f>
        <v>Сыр</v>
      </c>
      <c r="J934" s="17">
        <f>AVERAGEIF(Продажи[Категория],Продажи[[#This Row],[Категория]],Продажи[цена за шт в рублях])</f>
        <v>262.63492063492066</v>
      </c>
      <c r="K934" s="16">
        <f>Продажи[[#This Row],[цена за шт в рублях]]/Продажи[[#This Row],[Средняя цена в категории за шт]]-1</f>
        <v>0.52302671340505236</v>
      </c>
      <c r="L934" t="str">
        <f>VLOOKUP(Продажи[[#This Row],[id товара]],Товары[],3,0)</f>
        <v>President</v>
      </c>
      <c r="M934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934" s="16">
        <f>Продажи[[#This Row],[цена за шт в рублях]]/Продажи[[#This Row],[Средняя цена в категории за шт по поставщику]]-1</f>
        <v>0.67558761926925759</v>
      </c>
      <c r="O934" s="48">
        <f>VLOOKUP(Продажи[[#This Row],[id клиента]],клиенты!$A$2:$E$435,5,0)</f>
        <v>44866</v>
      </c>
      <c r="P934">
        <f>Продажи[[#This Row],[дата создания чека]]-Продажи[[#This Row],[Дата регистрации]]</f>
        <v>510</v>
      </c>
      <c r="Q934" t="str">
        <f>VLOOKUP(Продажи[[#This Row],[id клиента]],клиенты!$A$2:$G$435,7,0)</f>
        <v>Украина</v>
      </c>
      <c r="R934">
        <f>IF(COUNTIF($H$2:H934, H934)=1, 1, 0)</f>
        <v>0</v>
      </c>
      <c r="S934" t="str">
        <f>VLOOKUP(Продажи[[#This Row],[id клиента]],клиенты!$A$2:$D$435,4,0)</f>
        <v>да</v>
      </c>
      <c r="T934" s="54">
        <f>VLOOKUP(Продажи[[#This Row],[id клиента]],клиенты!$A$2:$I$435,9,0)</f>
        <v>16.755646817248461</v>
      </c>
    </row>
    <row r="935" spans="1:20" x14ac:dyDescent="0.25">
      <c r="A935">
        <v>934</v>
      </c>
      <c r="B935">
        <v>187</v>
      </c>
      <c r="C935">
        <v>168</v>
      </c>
      <c r="D935">
        <v>3</v>
      </c>
      <c r="E935" s="35">
        <v>2520</v>
      </c>
      <c r="F935" s="48">
        <v>44946</v>
      </c>
      <c r="G935" t="s">
        <v>22</v>
      </c>
      <c r="H935">
        <v>126</v>
      </c>
      <c r="I935" t="str">
        <f>VLOOKUP(Продажи[[#This Row],[id товара]],Товары[],2,0)</f>
        <v>Макароны</v>
      </c>
      <c r="J935" s="17">
        <f>AVERAGEIF(Продажи[Категория],Продажи[[#This Row],[Категория]],Продажи[цена за шт в рублях])</f>
        <v>265.47674418604652</v>
      </c>
      <c r="K935" s="16">
        <f>Продажи[[#This Row],[цена за шт в рублях]]/Продажи[[#This Row],[Средняя цена в категории за шт]]-1</f>
        <v>-0.36717620778765714</v>
      </c>
      <c r="L935" t="str">
        <f>VLOOKUP(Продажи[[#This Row],[id товара]],Товары[],3,0)</f>
        <v>Паста Зара</v>
      </c>
      <c r="M935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935" s="16">
        <f>Продажи[[#This Row],[цена за шт в рублях]]/Продажи[[#This Row],[Средняя цена в категории за шт по поставщику]]-1</f>
        <v>-0.39279085669629776</v>
      </c>
      <c r="O935" s="48">
        <f>VLOOKUP(Продажи[[#This Row],[id клиента]],клиенты!$A$2:$E$435,5,0)</f>
        <v>44822</v>
      </c>
      <c r="P935">
        <f>Продажи[[#This Row],[дата создания чека]]-Продажи[[#This Row],[Дата регистрации]]</f>
        <v>124</v>
      </c>
      <c r="Q935" t="str">
        <f>VLOOKUP(Продажи[[#This Row],[id клиента]],клиенты!$A$2:$G$435,7,0)</f>
        <v>Узбекистан</v>
      </c>
      <c r="R935">
        <f>IF(COUNTIF($H$2:H935, H935)=1, 1, 0)</f>
        <v>0</v>
      </c>
      <c r="S935" t="str">
        <f>VLOOKUP(Продажи[[#This Row],[id клиента]],клиенты!$A$2:$D$435,4,0)</f>
        <v>да</v>
      </c>
      <c r="T935" s="54">
        <f>VLOOKUP(Продажи[[#This Row],[id клиента]],клиенты!$A$2:$I$435,9,0)</f>
        <v>16.229979466119097</v>
      </c>
    </row>
    <row r="936" spans="1:20" x14ac:dyDescent="0.25">
      <c r="A936">
        <v>935</v>
      </c>
      <c r="B936">
        <v>9</v>
      </c>
      <c r="C936">
        <v>321</v>
      </c>
      <c r="D936">
        <v>1</v>
      </c>
      <c r="E936" s="35">
        <v>1605</v>
      </c>
      <c r="F936" s="48">
        <v>45173</v>
      </c>
      <c r="G936" t="s">
        <v>23</v>
      </c>
      <c r="H936">
        <v>217</v>
      </c>
      <c r="I936" t="str">
        <f>VLOOKUP(Продажи[[#This Row],[id товара]],Товары[],2,0)</f>
        <v>Йогурт</v>
      </c>
      <c r="J936" s="17">
        <f>AVERAGEIF(Продажи[Категория],Продажи[[#This Row],[Категория]],Продажи[цена за шт в рублях])</f>
        <v>263.25423728813558</v>
      </c>
      <c r="K936" s="16">
        <f>Продажи[[#This Row],[цена за шт в рублях]]/Продажи[[#This Row],[Средняя цена в категории за шт]]-1</f>
        <v>0.21935359258305431</v>
      </c>
      <c r="L936" t="str">
        <f>VLOOKUP(Продажи[[#This Row],[id товара]],Товары[],3,0)</f>
        <v>Чудо</v>
      </c>
      <c r="M936" s="32">
        <f>AVERAGEIFS(Продажи[цена за шт в рублях],Продажи[Категория],Продажи[[#This Row],[Категория]],Продажи[Поставщик],Продажи[[#This Row],[Поставщик]])</f>
        <v>287.10000000000002</v>
      </c>
      <c r="N936" s="16">
        <f>Продажи[[#This Row],[цена за шт в рублях]]/Продажи[[#This Row],[Средняя цена в категории за шт по поставщику]]-1</f>
        <v>0.11807732497387669</v>
      </c>
      <c r="O936" s="48">
        <f>VLOOKUP(Продажи[[#This Row],[id клиента]],клиенты!$A$2:$E$435,5,0)</f>
        <v>44826</v>
      </c>
      <c r="P936">
        <f>Продажи[[#This Row],[дата создания чека]]-Продажи[[#This Row],[Дата регистрации]]</f>
        <v>347</v>
      </c>
      <c r="Q936" t="str">
        <f>VLOOKUP(Продажи[[#This Row],[id клиента]],клиенты!$A$2:$G$435,7,0)</f>
        <v>Россия</v>
      </c>
      <c r="R936">
        <f>IF(COUNTIF($H$2:H936, H936)=1, 1, 0)</f>
        <v>0</v>
      </c>
      <c r="S936" t="str">
        <f>VLOOKUP(Продажи[[#This Row],[id клиента]],клиенты!$A$2:$D$435,4,0)</f>
        <v>нет</v>
      </c>
      <c r="T936" s="54">
        <f>VLOOKUP(Продажи[[#This Row],[id клиента]],клиенты!$A$2:$I$435,9,0)</f>
        <v>11.728952772073923</v>
      </c>
    </row>
    <row r="937" spans="1:20" x14ac:dyDescent="0.25">
      <c r="A937">
        <v>936</v>
      </c>
      <c r="B937">
        <v>302</v>
      </c>
      <c r="C937">
        <v>229</v>
      </c>
      <c r="D937">
        <v>5</v>
      </c>
      <c r="E937" s="35">
        <v>5725</v>
      </c>
      <c r="F937" s="48">
        <v>45372</v>
      </c>
      <c r="G937" t="s">
        <v>12</v>
      </c>
      <c r="H937">
        <v>42</v>
      </c>
      <c r="I937" t="str">
        <f>VLOOKUP(Продажи[[#This Row],[id товара]],Товары[],2,0)</f>
        <v>Молоко</v>
      </c>
      <c r="J937" s="17">
        <f>AVERAGEIF(Продажи[Категория],Продажи[[#This Row],[Категория]],Продажи[цена за шт в рублях])</f>
        <v>294.95238095238096</v>
      </c>
      <c r="K937" s="16">
        <f>Продажи[[#This Row],[цена за шт в рублях]]/Продажи[[#This Row],[Средняя цена в категории за шт]]-1</f>
        <v>-0.22360348724572165</v>
      </c>
      <c r="L937" t="str">
        <f>VLOOKUP(Продажи[[#This Row],[id товара]],Товары[],3,0)</f>
        <v>Домик в деревне</v>
      </c>
      <c r="M937" s="32">
        <f>AVERAGEIFS(Продажи[цена за шт в рублях],Продажи[Категория],Продажи[[#This Row],[Категория]],Продажи[Поставщик],Продажи[[#This Row],[Поставщик]])</f>
        <v>274.77777777777777</v>
      </c>
      <c r="N937" s="16">
        <f>Продажи[[#This Row],[цена за шт в рублях]]/Продажи[[#This Row],[Средняя цена в категории за шт по поставщику]]-1</f>
        <v>-0.16659927213910231</v>
      </c>
      <c r="O937" s="48">
        <f>VLOOKUP(Продажи[[#This Row],[id клиента]],клиенты!$A$2:$E$435,5,0)</f>
        <v>44783</v>
      </c>
      <c r="P937">
        <f>Продажи[[#This Row],[дата создания чека]]-Продажи[[#This Row],[Дата регистрации]]</f>
        <v>589</v>
      </c>
      <c r="Q937" t="str">
        <f>VLOOKUP(Продажи[[#This Row],[id клиента]],клиенты!$A$2:$G$435,7,0)</f>
        <v>Таджикистан</v>
      </c>
      <c r="R937">
        <f>IF(COUNTIF($H$2:H937, H937)=1, 1, 0)</f>
        <v>0</v>
      </c>
      <c r="S937" t="str">
        <f>VLOOKUP(Продажи[[#This Row],[id клиента]],клиенты!$A$2:$D$435,4,0)</f>
        <v>да</v>
      </c>
      <c r="T937" s="54">
        <f>VLOOKUP(Продажи[[#This Row],[id клиента]],клиенты!$A$2:$I$435,9,0)</f>
        <v>19.351129363449694</v>
      </c>
    </row>
    <row r="938" spans="1:20" x14ac:dyDescent="0.25">
      <c r="A938">
        <v>937</v>
      </c>
      <c r="B938">
        <v>166</v>
      </c>
      <c r="C938">
        <v>166</v>
      </c>
      <c r="D938">
        <v>5</v>
      </c>
      <c r="E938" s="35">
        <v>4150</v>
      </c>
      <c r="F938" s="48">
        <v>45252</v>
      </c>
      <c r="G938" t="s">
        <v>12</v>
      </c>
      <c r="H938">
        <v>407</v>
      </c>
      <c r="I938" t="str">
        <f>VLOOKUP(Продажи[[#This Row],[id товара]],Товары[],2,0)</f>
        <v>Сок</v>
      </c>
      <c r="J938" s="17">
        <f>AVERAGEIF(Продажи[Категория],Продажи[[#This Row],[Категория]],Продажи[цена за шт в рублях])</f>
        <v>268.60344827586209</v>
      </c>
      <c r="K938" s="16">
        <f>Продажи[[#This Row],[цена за шт в рублях]]/Продажи[[#This Row],[Средняя цена в категории за шт]]-1</f>
        <v>-0.38198857436292455</v>
      </c>
      <c r="L938" t="str">
        <f>VLOOKUP(Продажи[[#This Row],[id товара]],Товары[],3,0)</f>
        <v>Добрый</v>
      </c>
      <c r="M938" s="32">
        <f>AVERAGEIFS(Продажи[цена за шт в рублях],Продажи[Категория],Продажи[[#This Row],[Категория]],Продажи[Поставщик],Продажи[[#This Row],[Поставщик]])</f>
        <v>242.81818181818181</v>
      </c>
      <c r="N938" s="16">
        <f>Продажи[[#This Row],[цена за шт в рублях]]/Продажи[[#This Row],[Средняя цена в категории за шт по поставщику]]-1</f>
        <v>-0.31636091351553719</v>
      </c>
      <c r="O938" s="48">
        <f>VLOOKUP(Продажи[[#This Row],[id клиента]],клиенты!$A$2:$E$435,5,0)</f>
        <v>44621</v>
      </c>
      <c r="P938">
        <f>Продажи[[#This Row],[дата создания чека]]-Продажи[[#This Row],[Дата регистрации]]</f>
        <v>631</v>
      </c>
      <c r="Q938" t="str">
        <f>VLOOKUP(Продажи[[#This Row],[id клиента]],клиенты!$A$2:$G$435,7,0)</f>
        <v>Беларусь</v>
      </c>
      <c r="R938">
        <f>IF(COUNTIF($H$2:H938, H938)=1, 1, 0)</f>
        <v>0</v>
      </c>
      <c r="S938" t="str">
        <f>VLOOKUP(Продажи[[#This Row],[id клиента]],клиенты!$A$2:$D$435,4,0)</f>
        <v>да</v>
      </c>
      <c r="T938" s="54">
        <f>VLOOKUP(Продажи[[#This Row],[id клиента]],клиенты!$A$2:$I$435,9,0)</f>
        <v>25.166324435318277</v>
      </c>
    </row>
    <row r="939" spans="1:20" x14ac:dyDescent="0.25">
      <c r="A939">
        <v>938</v>
      </c>
      <c r="B939">
        <v>329</v>
      </c>
      <c r="C939">
        <v>71</v>
      </c>
      <c r="D939">
        <v>2</v>
      </c>
      <c r="E939" s="35">
        <v>710</v>
      </c>
      <c r="F939" s="48">
        <v>45138</v>
      </c>
      <c r="G939" t="s">
        <v>12</v>
      </c>
      <c r="H939">
        <v>117</v>
      </c>
      <c r="I939" t="str">
        <f>VLOOKUP(Продажи[[#This Row],[id товара]],Товары[],2,0)</f>
        <v>Соль</v>
      </c>
      <c r="J939" s="17">
        <f>AVERAGEIF(Продажи[Категория],Продажи[[#This Row],[Категория]],Продажи[цена за шт в рублях])</f>
        <v>264.8679245283019</v>
      </c>
      <c r="K939" s="16">
        <f>Продажи[[#This Row],[цена за шт в рублях]]/Продажи[[#This Row],[Средняя цена в категории за шт]]-1</f>
        <v>-0.73194187206154726</v>
      </c>
      <c r="L939" t="str">
        <f>VLOOKUP(Продажи[[#This Row],[id товара]],Товары[],3,0)</f>
        <v>Славянская</v>
      </c>
      <c r="M939" s="32">
        <f>AVERAGEIFS(Продажи[цена за шт в рублях],Продажи[Категория],Продажи[[#This Row],[Категория]],Продажи[Поставщик],Продажи[[#This Row],[Поставщик]])</f>
        <v>236.91666666666666</v>
      </c>
      <c r="N939" s="16">
        <f>Продажи[[#This Row],[цена за шт в рублях]]/Продажи[[#This Row],[Средняя цена в категории за шт по поставщику]]-1</f>
        <v>-0.7003165670066831</v>
      </c>
      <c r="O939" s="48">
        <f>VLOOKUP(Продажи[[#This Row],[id клиента]],клиенты!$A$2:$E$435,5,0)</f>
        <v>44706</v>
      </c>
      <c r="P939">
        <f>Продажи[[#This Row],[дата создания чека]]-Продажи[[#This Row],[Дата регистрации]]</f>
        <v>432</v>
      </c>
      <c r="Q939" t="str">
        <f>VLOOKUP(Продажи[[#This Row],[id клиента]],клиенты!$A$2:$G$435,7,0)</f>
        <v>Украина</v>
      </c>
      <c r="R939">
        <f>IF(COUNTIF($H$2:H939, H939)=1, 1, 0)</f>
        <v>0</v>
      </c>
      <c r="S939" t="str">
        <f>VLOOKUP(Продажи[[#This Row],[id клиента]],клиенты!$A$2:$D$435,4,0)</f>
        <v>да</v>
      </c>
      <c r="T939" s="54">
        <f>VLOOKUP(Продажи[[#This Row],[id клиента]],клиенты!$A$2:$I$435,9,0)</f>
        <v>22.735112936344969</v>
      </c>
    </row>
    <row r="940" spans="1:20" x14ac:dyDescent="0.25">
      <c r="A940">
        <v>939</v>
      </c>
      <c r="B940">
        <v>35</v>
      </c>
      <c r="C940">
        <v>345</v>
      </c>
      <c r="D940">
        <v>2</v>
      </c>
      <c r="E940" s="35">
        <v>3450</v>
      </c>
      <c r="F940" s="48">
        <v>45078</v>
      </c>
      <c r="G940" t="s">
        <v>19</v>
      </c>
      <c r="H940">
        <v>91</v>
      </c>
      <c r="I940" t="str">
        <f>VLOOKUP(Продажи[[#This Row],[id товара]],Товары[],2,0)</f>
        <v>Крупа</v>
      </c>
      <c r="J940" s="17">
        <f>AVERAGEIF(Продажи[Категория],Продажи[[#This Row],[Категория]],Продажи[цена за шт в рублях])</f>
        <v>255.11627906976744</v>
      </c>
      <c r="K940" s="16">
        <f>Продажи[[#This Row],[цена за шт в рублях]]/Продажи[[#This Row],[Средняя цена в категории за шт]]-1</f>
        <v>0.35232452142206006</v>
      </c>
      <c r="L940" t="str">
        <f>VLOOKUP(Продажи[[#This Row],[id товара]],Товары[],3,0)</f>
        <v>Мистраль</v>
      </c>
      <c r="M940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940" s="16">
        <f>Продажи[[#This Row],[цена за шт в рублях]]/Продажи[[#This Row],[Средняя цена в категории за шт по поставщику]]-1</f>
        <v>0.37830362630608483</v>
      </c>
      <c r="O940" s="48">
        <f>VLOOKUP(Продажи[[#This Row],[id клиента]],клиенты!$A$2:$E$435,5,0)</f>
        <v>44687</v>
      </c>
      <c r="P940">
        <f>Продажи[[#This Row],[дата создания чека]]-Продажи[[#This Row],[Дата регистрации]]</f>
        <v>391</v>
      </c>
      <c r="Q940" t="str">
        <f>VLOOKUP(Продажи[[#This Row],[id клиента]],клиенты!$A$2:$G$435,7,0)</f>
        <v>Россия</v>
      </c>
      <c r="R940">
        <f>IF(COUNTIF($H$2:H940, H940)=1, 1, 0)</f>
        <v>0</v>
      </c>
      <c r="S940" t="str">
        <f>VLOOKUP(Продажи[[#This Row],[id клиента]],клиенты!$A$2:$D$435,4,0)</f>
        <v>нет</v>
      </c>
      <c r="T940" s="54">
        <f>VLOOKUP(Продажи[[#This Row],[id клиента]],клиенты!$A$2:$I$435,9,0)</f>
        <v>20.862422997946613</v>
      </c>
    </row>
    <row r="941" spans="1:20" x14ac:dyDescent="0.25">
      <c r="A941">
        <v>940</v>
      </c>
      <c r="B941">
        <v>342</v>
      </c>
      <c r="C941">
        <v>259</v>
      </c>
      <c r="D941">
        <v>5</v>
      </c>
      <c r="E941" s="35">
        <v>6475</v>
      </c>
      <c r="F941" s="48">
        <v>45349</v>
      </c>
      <c r="G941" t="s">
        <v>17</v>
      </c>
      <c r="H941">
        <v>380</v>
      </c>
      <c r="I941" t="str">
        <f>VLOOKUP(Продажи[[#This Row],[id товара]],Товары[],2,0)</f>
        <v>Овощи</v>
      </c>
      <c r="J941" s="17">
        <f>AVERAGEIF(Продажи[Категория],Продажи[[#This Row],[Категория]],Продажи[цена за шт в рублях])</f>
        <v>250.48780487804879</v>
      </c>
      <c r="K941" s="16">
        <f>Продажи[[#This Row],[цена за шт в рублях]]/Продажи[[#This Row],[Средняя цена в категории за шт]]-1</f>
        <v>3.3982473222979426E-2</v>
      </c>
      <c r="L941" t="str">
        <f>VLOOKUP(Продажи[[#This Row],[id товара]],Товары[],3,0)</f>
        <v>Овощной ряд</v>
      </c>
      <c r="M941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941" s="16">
        <f>Продажи[[#This Row],[цена за шт в рублях]]/Продажи[[#This Row],[Средняя цена в категории за шт по поставщику]]-1</f>
        <v>-0.14753146176185861</v>
      </c>
      <c r="O941" s="48">
        <f>VLOOKUP(Продажи[[#This Row],[id клиента]],клиенты!$A$2:$E$435,5,0)</f>
        <v>44563</v>
      </c>
      <c r="P941">
        <f>Продажи[[#This Row],[дата создания чека]]-Продажи[[#This Row],[Дата регистрации]]</f>
        <v>786</v>
      </c>
      <c r="Q941" t="str">
        <f>VLOOKUP(Продажи[[#This Row],[id клиента]],клиенты!$A$2:$G$435,7,0)</f>
        <v>Россия</v>
      </c>
      <c r="R941">
        <f>IF(COUNTIF($H$2:H941, H941)=1, 1, 0)</f>
        <v>0</v>
      </c>
      <c r="S941" t="str">
        <f>VLOOKUP(Продажи[[#This Row],[id клиента]],клиенты!$A$2:$D$435,4,0)</f>
        <v>да</v>
      </c>
      <c r="T941" s="54">
        <f>VLOOKUP(Продажи[[#This Row],[id клиента]],клиенты!$A$2:$I$435,9,0)</f>
        <v>25.82340862422998</v>
      </c>
    </row>
    <row r="942" spans="1:20" x14ac:dyDescent="0.25">
      <c r="A942">
        <v>941</v>
      </c>
      <c r="B942">
        <v>44</v>
      </c>
      <c r="C942">
        <v>439</v>
      </c>
      <c r="D942">
        <v>5</v>
      </c>
      <c r="E942" s="35">
        <v>10975</v>
      </c>
      <c r="F942" s="48">
        <v>45008</v>
      </c>
      <c r="G942" t="s">
        <v>14</v>
      </c>
      <c r="H942">
        <v>469</v>
      </c>
      <c r="I942" t="str">
        <f>VLOOKUP(Продажи[[#This Row],[id товара]],Товары[],2,0)</f>
        <v>Молоко</v>
      </c>
      <c r="J942" s="17">
        <f>AVERAGEIF(Продажи[Категория],Продажи[[#This Row],[Категория]],Продажи[цена за шт в рублях])</f>
        <v>294.95238095238096</v>
      </c>
      <c r="K942" s="16">
        <f>Продажи[[#This Row],[цена за шт в рублях]]/Продажи[[#This Row],[Средняя цена в категории за шт]]-1</f>
        <v>0.48837584759444619</v>
      </c>
      <c r="L942" t="str">
        <f>VLOOKUP(Продажи[[#This Row],[id товара]],Товары[],3,0)</f>
        <v>Беллакт</v>
      </c>
      <c r="M942" s="32">
        <f>AVERAGEIFS(Продажи[цена за шт в рублях],Продажи[Категория],Продажи[[#This Row],[Категория]],Продажи[Поставщик],Продажи[[#This Row],[Поставщик]])</f>
        <v>322.54545454545456</v>
      </c>
      <c r="N942" s="16">
        <f>Продажи[[#This Row],[цена за шт в рублях]]/Продажи[[#This Row],[Средняя цена в категории за шт по поставщику]]-1</f>
        <v>0.36104847801578344</v>
      </c>
      <c r="O942" s="48">
        <f>VLOOKUP(Продажи[[#This Row],[id клиента]],клиенты!$A$2:$E$435,5,0)</f>
        <v>44659</v>
      </c>
      <c r="P942">
        <f>Продажи[[#This Row],[дата создания чека]]-Продажи[[#This Row],[Дата регистрации]]</f>
        <v>349</v>
      </c>
      <c r="Q942" t="str">
        <f>VLOOKUP(Продажи[[#This Row],[id клиента]],клиенты!$A$2:$G$435,7,0)</f>
        <v>Россия</v>
      </c>
      <c r="R942">
        <f>IF(COUNTIF($H$2:H942, H942)=1, 1, 0)</f>
        <v>1</v>
      </c>
      <c r="S942" t="str">
        <f>VLOOKUP(Продажи[[#This Row],[id клиента]],клиенты!$A$2:$D$435,4,0)</f>
        <v>да</v>
      </c>
      <c r="T942" s="54">
        <f>VLOOKUP(Продажи[[#This Row],[id клиента]],клиенты!$A$2:$I$435,9,0)</f>
        <v>11.466119096509241</v>
      </c>
    </row>
    <row r="943" spans="1:20" x14ac:dyDescent="0.25">
      <c r="A943">
        <v>942</v>
      </c>
      <c r="B943">
        <v>128</v>
      </c>
      <c r="C943">
        <v>246</v>
      </c>
      <c r="D943">
        <v>4</v>
      </c>
      <c r="E943" s="35">
        <v>4920</v>
      </c>
      <c r="F943" s="48">
        <v>45310</v>
      </c>
      <c r="G943" t="s">
        <v>10</v>
      </c>
      <c r="H943">
        <v>479</v>
      </c>
      <c r="I943" t="str">
        <f>VLOOKUP(Продажи[[#This Row],[id товара]],Товары[],2,0)</f>
        <v>Мясо</v>
      </c>
      <c r="J943" s="17">
        <f>AVERAGEIF(Продажи[Категория],Продажи[[#This Row],[Категория]],Продажи[цена за шт в рублях])</f>
        <v>271.74545454545455</v>
      </c>
      <c r="K943" s="16">
        <f>Продажи[[#This Row],[цена за шт в рублях]]/Продажи[[#This Row],[Средняя цена в категории за шт]]-1</f>
        <v>-9.4741067844239302E-2</v>
      </c>
      <c r="L943" t="str">
        <f>VLOOKUP(Продажи[[#This Row],[id товара]],Товары[],3,0)</f>
        <v>Мираторг</v>
      </c>
      <c r="M943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943" s="16">
        <f>Продажи[[#This Row],[цена за шт в рублях]]/Продажи[[#This Row],[Средняя цена в категории за шт по поставщику]]-1</f>
        <v>-0.22295340879178727</v>
      </c>
      <c r="O943" s="48">
        <f>VLOOKUP(Продажи[[#This Row],[id клиента]],клиенты!$A$2:$E$435,5,0)</f>
        <v>44793</v>
      </c>
      <c r="P943">
        <f>Продажи[[#This Row],[дата создания чека]]-Продажи[[#This Row],[Дата регистрации]]</f>
        <v>517</v>
      </c>
      <c r="Q943" t="str">
        <f>VLOOKUP(Продажи[[#This Row],[id клиента]],клиенты!$A$2:$G$435,7,0)</f>
        <v>Россия</v>
      </c>
      <c r="R943">
        <f>IF(COUNTIF($H$2:H943, H943)=1, 1, 0)</f>
        <v>0</v>
      </c>
      <c r="S943" t="str">
        <f>VLOOKUP(Продажи[[#This Row],[id клиента]],клиенты!$A$2:$D$435,4,0)</f>
        <v>да</v>
      </c>
      <c r="T943" s="54">
        <f>VLOOKUP(Продажи[[#This Row],[id клиента]],клиенты!$A$2:$I$435,9,0)</f>
        <v>16.985626283367555</v>
      </c>
    </row>
    <row r="944" spans="1:20" x14ac:dyDescent="0.25">
      <c r="A944">
        <v>943</v>
      </c>
      <c r="B944">
        <v>447</v>
      </c>
      <c r="C944">
        <v>118</v>
      </c>
      <c r="D944">
        <v>3</v>
      </c>
      <c r="E944" s="35">
        <v>1770</v>
      </c>
      <c r="F944" s="48">
        <v>45337</v>
      </c>
      <c r="G944" t="s">
        <v>16</v>
      </c>
      <c r="H944">
        <v>9</v>
      </c>
      <c r="I944" t="str">
        <f>VLOOKUP(Продажи[[#This Row],[id товара]],Товары[],2,0)</f>
        <v>Йогурт</v>
      </c>
      <c r="J944" s="17">
        <f>AVERAGEIF(Продажи[Категория],Продажи[[#This Row],[Категория]],Продажи[цена за шт в рублях])</f>
        <v>263.25423728813558</v>
      </c>
      <c r="K944" s="16">
        <f>Продажи[[#This Row],[цена за шт в рублях]]/Продажи[[#This Row],[Средняя цена в категории за шт]]-1</f>
        <v>-0.55176409992274011</v>
      </c>
      <c r="L944" t="str">
        <f>VLOOKUP(Продажи[[#This Row],[id товара]],Товары[],3,0)</f>
        <v>Эрманн</v>
      </c>
      <c r="M944" s="32">
        <f>AVERAGEIFS(Продажи[цена за шт в рублях],Продажи[Категория],Продажи[[#This Row],[Категория]],Продажи[Поставщик],Продажи[[#This Row],[Поставщик]])</f>
        <v>248.5</v>
      </c>
      <c r="N944" s="16">
        <f>Продажи[[#This Row],[цена за шт в рублях]]/Продажи[[#This Row],[Средняя цена в категории за шт по поставщику]]-1</f>
        <v>-0.52515090543259557</v>
      </c>
      <c r="O944" s="48">
        <f>VLOOKUP(Продажи[[#This Row],[id клиента]],клиенты!$A$2:$E$435,5,0)</f>
        <v>44900</v>
      </c>
      <c r="P944">
        <f>Продажи[[#This Row],[дата создания чека]]-Продажи[[#This Row],[Дата регистрации]]</f>
        <v>437</v>
      </c>
      <c r="Q944" t="str">
        <f>VLOOKUP(Продажи[[#This Row],[id клиента]],клиенты!$A$2:$G$435,7,0)</f>
        <v>Таджикистан</v>
      </c>
      <c r="R944">
        <f>IF(COUNTIF($H$2:H944, H944)=1, 1, 0)</f>
        <v>0</v>
      </c>
      <c r="S944" t="str">
        <f>VLOOKUP(Продажи[[#This Row],[id клиента]],клиенты!$A$2:$D$435,4,0)</f>
        <v>да</v>
      </c>
      <c r="T944" s="54">
        <f>VLOOKUP(Продажи[[#This Row],[id клиента]],клиенты!$A$2:$I$435,9,0)</f>
        <v>14.390143737166325</v>
      </c>
    </row>
    <row r="945" spans="1:20" x14ac:dyDescent="0.25">
      <c r="A945">
        <v>944</v>
      </c>
      <c r="B945">
        <v>48</v>
      </c>
      <c r="C945">
        <v>116</v>
      </c>
      <c r="D945">
        <v>5</v>
      </c>
      <c r="E945" s="35">
        <v>2900</v>
      </c>
      <c r="F945" s="48">
        <v>45034</v>
      </c>
      <c r="G945" t="s">
        <v>25</v>
      </c>
      <c r="H945">
        <v>477</v>
      </c>
      <c r="I945" t="str">
        <f>VLOOKUP(Продажи[[#This Row],[id товара]],Товары[],2,0)</f>
        <v>Фрукты</v>
      </c>
      <c r="J945" s="17">
        <f>AVERAGEIF(Продажи[Категория],Продажи[[#This Row],[Категория]],Продажи[цена за шт в рублях])</f>
        <v>274.16279069767444</v>
      </c>
      <c r="K945" s="16">
        <f>Продажи[[#This Row],[цена за шт в рублях]]/Продажи[[#This Row],[Средняя цена в категории за шт]]-1</f>
        <v>-0.57689371447959958</v>
      </c>
      <c r="L945" t="str">
        <f>VLOOKUP(Продажи[[#This Row],[id товара]],Товары[],3,0)</f>
        <v>Фруктовый Рай</v>
      </c>
      <c r="M945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945" s="16">
        <f>Продажи[[#This Row],[цена за шт в рублях]]/Продажи[[#This Row],[Средняя цена в категории за шт по поставщику]]-1</f>
        <v>-0.55092316855270995</v>
      </c>
      <c r="O945" s="48">
        <f>VLOOKUP(Продажи[[#This Row],[id клиента]],клиенты!$A$2:$E$435,5,0)</f>
        <v>44738</v>
      </c>
      <c r="P945">
        <f>Продажи[[#This Row],[дата создания чека]]-Продажи[[#This Row],[Дата регистрации]]</f>
        <v>296</v>
      </c>
      <c r="Q945" t="str">
        <f>VLOOKUP(Продажи[[#This Row],[id клиента]],клиенты!$A$2:$G$435,7,0)</f>
        <v>Узбекистан</v>
      </c>
      <c r="R945">
        <f>IF(COUNTIF($H$2:H945, H945)=1, 1, 0)</f>
        <v>0</v>
      </c>
      <c r="S945" t="str">
        <f>VLOOKUP(Продажи[[#This Row],[id клиента]],клиенты!$A$2:$D$435,4,0)</f>
        <v>да</v>
      </c>
      <c r="T945" s="54">
        <f>VLOOKUP(Продажи[[#This Row],[id клиента]],клиенты!$A$2:$I$435,9,0)</f>
        <v>20.073921971252567</v>
      </c>
    </row>
    <row r="946" spans="1:20" x14ac:dyDescent="0.25">
      <c r="A946">
        <v>945</v>
      </c>
      <c r="B946">
        <v>415</v>
      </c>
      <c r="C946">
        <v>307</v>
      </c>
      <c r="D946">
        <v>3</v>
      </c>
      <c r="E946" s="35">
        <v>4605</v>
      </c>
      <c r="F946" s="48">
        <v>45290</v>
      </c>
      <c r="G946" t="s">
        <v>26</v>
      </c>
      <c r="H946">
        <v>498</v>
      </c>
      <c r="I946" t="str">
        <f>VLOOKUP(Продажи[[#This Row],[id товара]],Товары[],2,0)</f>
        <v>Чипсы</v>
      </c>
      <c r="J946" s="17">
        <f>AVERAGEIF(Продажи[Категория],Продажи[[#This Row],[Категория]],Продажи[цена за шт в рублях])</f>
        <v>273.72549019607845</v>
      </c>
      <c r="K946" s="16">
        <f>Продажи[[#This Row],[цена за шт в рублях]]/Продажи[[#This Row],[Средняя цена в категории за шт]]-1</f>
        <v>0.12156160458452714</v>
      </c>
      <c r="L946" t="str">
        <f>VLOOKUP(Продажи[[#This Row],[id товара]],Товары[],3,0)</f>
        <v>Pringles</v>
      </c>
      <c r="M946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946" s="16">
        <f>Продажи[[#This Row],[цена за шт в рублях]]/Продажи[[#This Row],[Средняя цена в категории за шт по поставщику]]-1</f>
        <v>9.5497026338147828E-2</v>
      </c>
      <c r="O946" s="48">
        <f>VLOOKUP(Продажи[[#This Row],[id клиента]],клиенты!$A$2:$E$435,5,0)</f>
        <v>44721</v>
      </c>
      <c r="P946">
        <f>Продажи[[#This Row],[дата создания чека]]-Продажи[[#This Row],[Дата регистрации]]</f>
        <v>569</v>
      </c>
      <c r="Q946" t="str">
        <f>VLOOKUP(Продажи[[#This Row],[id клиента]],клиенты!$A$2:$G$435,7,0)</f>
        <v>Украина</v>
      </c>
      <c r="R946">
        <f>IF(COUNTIF($H$2:H946, H946)=1, 1, 0)</f>
        <v>0</v>
      </c>
      <c r="S946" t="str">
        <f>VLOOKUP(Продажи[[#This Row],[id клиента]],клиенты!$A$2:$D$435,4,0)</f>
        <v>да</v>
      </c>
      <c r="T946" s="54">
        <f>VLOOKUP(Продажи[[#This Row],[id клиента]],клиенты!$A$2:$I$435,9,0)</f>
        <v>18.694045174537987</v>
      </c>
    </row>
    <row r="947" spans="1:20" x14ac:dyDescent="0.25">
      <c r="A947">
        <v>946</v>
      </c>
      <c r="B947">
        <v>298</v>
      </c>
      <c r="C947">
        <v>84</v>
      </c>
      <c r="D947">
        <v>5</v>
      </c>
      <c r="E947" s="35">
        <v>2100</v>
      </c>
      <c r="F947" s="48">
        <v>45335</v>
      </c>
      <c r="G947" t="s">
        <v>10</v>
      </c>
      <c r="H947">
        <v>93</v>
      </c>
      <c r="I947" t="str">
        <f>VLOOKUP(Продажи[[#This Row],[id товара]],Товары[],2,0)</f>
        <v>Крупа</v>
      </c>
      <c r="J947" s="17">
        <f>AVERAGEIF(Продажи[Категория],Продажи[[#This Row],[Категория]],Продажи[цена за шт в рублях])</f>
        <v>255.11627906976744</v>
      </c>
      <c r="K947" s="16">
        <f>Продажи[[#This Row],[цена за шт в рублях]]/Продажи[[#This Row],[Средняя цена в категории за шт]]-1</f>
        <v>-0.67073837739288966</v>
      </c>
      <c r="L947" t="str">
        <f>VLOOKUP(Продажи[[#This Row],[id товара]],Товары[],3,0)</f>
        <v>Увелка</v>
      </c>
      <c r="M947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947" s="16">
        <f>Продажи[[#This Row],[цена за шт в рублях]]/Продажи[[#This Row],[Средняя цена в категории за шт по поставщику]]-1</f>
        <v>-0.66655640092623214</v>
      </c>
      <c r="O947" s="48">
        <f>VLOOKUP(Продажи[[#This Row],[id клиента]],клиенты!$A$2:$E$435,5,0)</f>
        <v>44905</v>
      </c>
      <c r="P947">
        <f>Продажи[[#This Row],[дата создания чека]]-Продажи[[#This Row],[Дата регистрации]]</f>
        <v>430</v>
      </c>
      <c r="Q947" t="str">
        <f>VLOOKUP(Продажи[[#This Row],[id клиента]],клиенты!$A$2:$G$435,7,0)</f>
        <v>Украина</v>
      </c>
      <c r="R947">
        <f>IF(COUNTIF($H$2:H947, H947)=1, 1, 0)</f>
        <v>1</v>
      </c>
      <c r="S947" t="str">
        <f>VLOOKUP(Продажи[[#This Row],[id клиента]],клиенты!$A$2:$D$435,4,0)</f>
        <v>нет</v>
      </c>
      <c r="T947" s="54">
        <f>VLOOKUP(Продажи[[#This Row],[id клиента]],клиенты!$A$2:$I$435,9,0)</f>
        <v>14.127310061601642</v>
      </c>
    </row>
    <row r="948" spans="1:20" x14ac:dyDescent="0.25">
      <c r="A948">
        <v>947</v>
      </c>
      <c r="B948">
        <v>3</v>
      </c>
      <c r="C948">
        <v>180</v>
      </c>
      <c r="D948">
        <v>3</v>
      </c>
      <c r="E948" s="35">
        <v>2700</v>
      </c>
      <c r="F948" s="48">
        <v>44940</v>
      </c>
      <c r="G948" t="s">
        <v>18</v>
      </c>
      <c r="H948">
        <v>200</v>
      </c>
      <c r="I948" t="str">
        <f>VLOOKUP(Продажи[[#This Row],[id товара]],Товары[],2,0)</f>
        <v>Крупа</v>
      </c>
      <c r="J948" s="17">
        <f>AVERAGEIF(Продажи[Категория],Продажи[[#This Row],[Категория]],Продажи[цена за шт в рублях])</f>
        <v>255.11627906976744</v>
      </c>
      <c r="K948" s="16">
        <f>Продажи[[#This Row],[цена за шт в рублях]]/Продажи[[#This Row],[Средняя цена в категории за шт]]-1</f>
        <v>-0.29443938012762083</v>
      </c>
      <c r="L948" t="str">
        <f>VLOOKUP(Продажи[[#This Row],[id товара]],Товары[],3,0)</f>
        <v>Ярмарка</v>
      </c>
      <c r="M948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948" s="16">
        <f>Продажи[[#This Row],[цена за шт в рублях]]/Продажи[[#This Row],[Средняя цена в категории за шт по поставщику]]-1</f>
        <v>-0.28597187161918503</v>
      </c>
      <c r="O948" s="48">
        <f>VLOOKUP(Продажи[[#This Row],[id клиента]],клиенты!$A$2:$E$435,5,0)</f>
        <v>44783</v>
      </c>
      <c r="P948">
        <f>Продажи[[#This Row],[дата создания чека]]-Продажи[[#This Row],[Дата регистрации]]</f>
        <v>157</v>
      </c>
      <c r="Q948" t="str">
        <f>VLOOKUP(Продажи[[#This Row],[id клиента]],клиенты!$A$2:$G$435,7,0)</f>
        <v>Узбекистан</v>
      </c>
      <c r="R948">
        <f>IF(COUNTIF($H$2:H948, H948)=1, 1, 0)</f>
        <v>1</v>
      </c>
      <c r="S948" t="str">
        <f>VLOOKUP(Продажи[[#This Row],[id клиента]],клиенты!$A$2:$D$435,4,0)</f>
        <v>да</v>
      </c>
      <c r="T948" s="54">
        <f>VLOOKUP(Продажи[[#This Row],[id клиента]],клиенты!$A$2:$I$435,9,0)</f>
        <v>8.1806981519507183</v>
      </c>
    </row>
    <row r="949" spans="1:20" x14ac:dyDescent="0.25">
      <c r="A949">
        <v>948</v>
      </c>
      <c r="B949">
        <v>60</v>
      </c>
      <c r="C949">
        <v>334</v>
      </c>
      <c r="D949">
        <v>1</v>
      </c>
      <c r="E949" s="35">
        <v>1670</v>
      </c>
      <c r="F949" s="48">
        <v>45196</v>
      </c>
      <c r="G949" t="s">
        <v>25</v>
      </c>
      <c r="H949">
        <v>381</v>
      </c>
      <c r="I949" t="str">
        <f>VLOOKUP(Продажи[[#This Row],[id товара]],Товары[],2,0)</f>
        <v>Кофе</v>
      </c>
      <c r="J949" s="17">
        <f>AVERAGEIF(Продажи[Категория],Продажи[[#This Row],[Категория]],Продажи[цена за шт в рублях])</f>
        <v>249.02380952380952</v>
      </c>
      <c r="K949" s="16">
        <f>Продажи[[#This Row],[цена за шт в рублях]]/Продажи[[#This Row],[Средняя цена в категории за шт]]-1</f>
        <v>0.34123721197055179</v>
      </c>
      <c r="L949" t="str">
        <f>VLOOKUP(Продажи[[#This Row],[id товара]],Товары[],3,0)</f>
        <v>Jacobs</v>
      </c>
      <c r="M949" s="32">
        <f>AVERAGEIFS(Продажи[цена за шт в рублях],Продажи[Категория],Продажи[[#This Row],[Категория]],Продажи[Поставщик],Продажи[[#This Row],[Поставщик]])</f>
        <v>276.21052631578948</v>
      </c>
      <c r="N949" s="16">
        <f>Продажи[[#This Row],[цена за шт в рублях]]/Продажи[[#This Row],[Средняя цена в категории за шт по поставщику]]-1</f>
        <v>0.20922256097560976</v>
      </c>
      <c r="O949" s="48">
        <f>VLOOKUP(Продажи[[#This Row],[id клиента]],клиенты!$A$2:$E$435,5,0)</f>
        <v>44714</v>
      </c>
      <c r="P949">
        <f>Продажи[[#This Row],[дата создания чека]]-Продажи[[#This Row],[Дата регистрации]]</f>
        <v>482</v>
      </c>
      <c r="Q949" t="str">
        <f>VLOOKUP(Продажи[[#This Row],[id клиента]],клиенты!$A$2:$G$435,7,0)</f>
        <v>Узбекистан</v>
      </c>
      <c r="R949">
        <f>IF(COUNTIF($H$2:H949, H949)=1, 1, 0)</f>
        <v>0</v>
      </c>
      <c r="S949" t="str">
        <f>VLOOKUP(Продажи[[#This Row],[id клиента]],клиенты!$A$2:$D$435,4,0)</f>
        <v>нет</v>
      </c>
      <c r="T949" s="54">
        <f>VLOOKUP(Продажи[[#This Row],[id клиента]],клиенты!$A$2:$I$435,9,0)</f>
        <v>21.848049281314168</v>
      </c>
    </row>
    <row r="950" spans="1:20" x14ac:dyDescent="0.25">
      <c r="A950">
        <v>949</v>
      </c>
      <c r="B950">
        <v>59</v>
      </c>
      <c r="C950">
        <v>234</v>
      </c>
      <c r="D950">
        <v>2</v>
      </c>
      <c r="E950" s="35">
        <v>2340</v>
      </c>
      <c r="F950" s="48">
        <v>45101</v>
      </c>
      <c r="G950" t="s">
        <v>14</v>
      </c>
      <c r="H950">
        <v>18</v>
      </c>
      <c r="I950" t="str">
        <f>VLOOKUP(Продажи[[#This Row],[id товара]],Товары[],2,0)</f>
        <v>Сахар</v>
      </c>
      <c r="J950" s="17">
        <f>AVERAGEIF(Продажи[Категория],Продажи[[#This Row],[Категория]],Продажи[цена за шт в рублях])</f>
        <v>252.76271186440678</v>
      </c>
      <c r="K950" s="16">
        <f>Продажи[[#This Row],[цена за шт в рублях]]/Продажи[[#This Row],[Средняя цена в категории за шт]]-1</f>
        <v>-7.4230537115268613E-2</v>
      </c>
      <c r="L950" t="str">
        <f>VLOOKUP(Продажи[[#This Row],[id товара]],Товары[],3,0)</f>
        <v>Продимекс</v>
      </c>
      <c r="M950" s="32">
        <f>AVERAGEIFS(Продажи[цена за шт в рублях],Продажи[Категория],Продажи[[#This Row],[Категория]],Продажи[Поставщик],Продажи[[#This Row],[Поставщик]])</f>
        <v>240.5</v>
      </c>
      <c r="N950" s="16">
        <f>Продажи[[#This Row],[цена за шт в рублях]]/Продажи[[#This Row],[Средняя цена в категории за шт по поставщику]]-1</f>
        <v>-2.7027027027026973E-2</v>
      </c>
      <c r="O950" s="48">
        <f>VLOOKUP(Продажи[[#This Row],[id клиента]],клиенты!$A$2:$E$435,5,0)</f>
        <v>44578</v>
      </c>
      <c r="P950">
        <f>Продажи[[#This Row],[дата создания чека]]-Продажи[[#This Row],[Дата регистрации]]</f>
        <v>523</v>
      </c>
      <c r="Q950" t="str">
        <f>VLOOKUP(Продажи[[#This Row],[id клиента]],клиенты!$A$2:$G$435,7,0)</f>
        <v>Украина</v>
      </c>
      <c r="R950">
        <f>IF(COUNTIF($H$2:H950, H950)=1, 1, 0)</f>
        <v>0</v>
      </c>
      <c r="S950" t="str">
        <f>VLOOKUP(Продажи[[#This Row],[id клиента]],клиенты!$A$2:$D$435,4,0)</f>
        <v>нет</v>
      </c>
      <c r="T950" s="54">
        <f>VLOOKUP(Продажи[[#This Row],[id клиента]],клиенты!$A$2:$I$435,9,0)</f>
        <v>26.677618069815196</v>
      </c>
    </row>
    <row r="951" spans="1:20" x14ac:dyDescent="0.25">
      <c r="A951">
        <v>950</v>
      </c>
      <c r="B951">
        <v>119</v>
      </c>
      <c r="C951">
        <v>426</v>
      </c>
      <c r="D951">
        <v>1</v>
      </c>
      <c r="E951" s="35">
        <v>2130</v>
      </c>
      <c r="F951" s="48">
        <v>45094</v>
      </c>
      <c r="G951" t="s">
        <v>15</v>
      </c>
      <c r="H951">
        <v>327</v>
      </c>
      <c r="I951" t="str">
        <f>VLOOKUP(Продажи[[#This Row],[id товара]],Товары[],2,0)</f>
        <v>Печенье</v>
      </c>
      <c r="J951" s="17">
        <f>AVERAGEIF(Продажи[Категория],Продажи[[#This Row],[Категория]],Продажи[цена за шт в рублях])</f>
        <v>283.468085106383</v>
      </c>
      <c r="K951" s="16">
        <f>Продажи[[#This Row],[цена за шт в рублях]]/Продажи[[#This Row],[Средняя цена в категории за шт]]-1</f>
        <v>0.50281468137806784</v>
      </c>
      <c r="L951" t="str">
        <f>VLOOKUP(Продажи[[#This Row],[id товара]],Товары[],3,0)</f>
        <v>КДВ</v>
      </c>
      <c r="M951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951" s="16">
        <f>Продажи[[#This Row],[цена за шт в рублях]]/Продажи[[#This Row],[Средняя цена в категории за шт по поставщику]]-1</f>
        <v>0.31857142857142851</v>
      </c>
      <c r="O951" s="48">
        <f>VLOOKUP(Продажи[[#This Row],[id клиента]],клиенты!$A$2:$E$435,5,0)</f>
        <v>44565</v>
      </c>
      <c r="P951">
        <f>Продажи[[#This Row],[дата создания чека]]-Продажи[[#This Row],[Дата регистрации]]</f>
        <v>529</v>
      </c>
      <c r="Q951" t="str">
        <f>VLOOKUP(Продажи[[#This Row],[id клиента]],клиенты!$A$2:$G$435,7,0)</f>
        <v>Таджикистан</v>
      </c>
      <c r="R951">
        <f>IF(COUNTIF($H$2:H951, H951)=1, 1, 0)</f>
        <v>0</v>
      </c>
      <c r="S951" t="str">
        <f>VLOOKUP(Продажи[[#This Row],[id клиента]],клиенты!$A$2:$D$435,4,0)</f>
        <v>нет</v>
      </c>
      <c r="T951" s="54">
        <f>VLOOKUP(Продажи[[#This Row],[id клиента]],клиенты!$A$2:$I$435,9,0)</f>
        <v>28.418891170431213</v>
      </c>
    </row>
    <row r="952" spans="1:20" x14ac:dyDescent="0.25">
      <c r="A952">
        <v>951</v>
      </c>
      <c r="B952">
        <v>199</v>
      </c>
      <c r="C952">
        <v>494</v>
      </c>
      <c r="D952">
        <v>1</v>
      </c>
      <c r="E952" s="35">
        <v>2470</v>
      </c>
      <c r="F952" s="48">
        <v>45252</v>
      </c>
      <c r="G952" t="s">
        <v>10</v>
      </c>
      <c r="H952">
        <v>340</v>
      </c>
      <c r="I952" t="str">
        <f>VLOOKUP(Продажи[[#This Row],[id товара]],Товары[],2,0)</f>
        <v>Макароны</v>
      </c>
      <c r="J952" s="17">
        <f>AVERAGEIF(Продажи[Категория],Продажи[[#This Row],[Категория]],Продажи[цена за шт в рублях])</f>
        <v>265.47674418604652</v>
      </c>
      <c r="K952" s="16">
        <f>Продажи[[#This Row],[цена за шт в рублях]]/Продажи[[#This Row],[Средняя цена в категории за шт]]-1</f>
        <v>0.86080329376724629</v>
      </c>
      <c r="L952" t="str">
        <f>VLOOKUP(Продажи[[#This Row],[id товара]],Товары[],3,0)</f>
        <v>Борилла</v>
      </c>
      <c r="M952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952" s="16">
        <f>Продажи[[#This Row],[цена за шт в рублях]]/Продажи[[#This Row],[Средняя цена в категории за шт по поставщику]]-1</f>
        <v>1.0907764156450672</v>
      </c>
      <c r="O952" s="48">
        <f>VLOOKUP(Продажи[[#This Row],[id клиента]],клиенты!$A$2:$E$435,5,0)</f>
        <v>44896</v>
      </c>
      <c r="P952">
        <f>Продажи[[#This Row],[дата создания чека]]-Продажи[[#This Row],[Дата регистрации]]</f>
        <v>356</v>
      </c>
      <c r="Q952" t="str">
        <f>VLOOKUP(Продажи[[#This Row],[id клиента]],клиенты!$A$2:$G$435,7,0)</f>
        <v>Россия</v>
      </c>
      <c r="R952">
        <f>IF(COUNTIF($H$2:H952, H952)=1, 1, 0)</f>
        <v>0</v>
      </c>
      <c r="S952" t="str">
        <f>VLOOKUP(Продажи[[#This Row],[id клиента]],клиенты!$A$2:$D$435,4,0)</f>
        <v>нет</v>
      </c>
      <c r="T952" s="54">
        <f>VLOOKUP(Продажи[[#This Row],[id клиента]],клиенты!$A$2:$I$435,9,0)</f>
        <v>11.696098562628336</v>
      </c>
    </row>
    <row r="953" spans="1:20" x14ac:dyDescent="0.25">
      <c r="A953">
        <v>952</v>
      </c>
      <c r="B953">
        <v>272</v>
      </c>
      <c r="C953">
        <v>353</v>
      </c>
      <c r="D953">
        <v>3</v>
      </c>
      <c r="E953" s="35">
        <v>5295</v>
      </c>
      <c r="F953" s="48">
        <v>44989</v>
      </c>
      <c r="G953" t="s">
        <v>23</v>
      </c>
      <c r="H953">
        <v>490</v>
      </c>
      <c r="I953" t="str">
        <f>VLOOKUP(Продажи[[#This Row],[id товара]],Товары[],2,0)</f>
        <v>Крупа</v>
      </c>
      <c r="J953" s="17">
        <f>AVERAGEIF(Продажи[Категория],Продажи[[#This Row],[Категория]],Продажи[цена за шт в рублях])</f>
        <v>255.11627906976744</v>
      </c>
      <c r="K953" s="16">
        <f>Продажи[[#This Row],[цена за шт в рублях]]/Продажи[[#This Row],[Средняя цена в категории за шт]]-1</f>
        <v>0.38368277119416594</v>
      </c>
      <c r="L953" t="str">
        <f>VLOOKUP(Продажи[[#This Row],[id товара]],Товары[],3,0)</f>
        <v>Ярмарка</v>
      </c>
      <c r="M953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953" s="16">
        <f>Продажи[[#This Row],[цена за шт в рублях]]/Продажи[[#This Row],[Средняя цена в категории за шт по поставщику]]-1</f>
        <v>0.40028849621348717</v>
      </c>
      <c r="O953" s="48">
        <f>VLOOKUP(Продажи[[#This Row],[id клиента]],клиенты!$A$2:$E$435,5,0)</f>
        <v>44603</v>
      </c>
      <c r="P953">
        <f>Продажи[[#This Row],[дата создания чека]]-Продажи[[#This Row],[Дата регистрации]]</f>
        <v>386</v>
      </c>
      <c r="Q953" t="str">
        <f>VLOOKUP(Продажи[[#This Row],[id клиента]],клиенты!$A$2:$G$435,7,0)</f>
        <v>Россия</v>
      </c>
      <c r="R953">
        <f>IF(COUNTIF($H$2:H953, H953)=1, 1, 0)</f>
        <v>0</v>
      </c>
      <c r="S953" t="str">
        <f>VLOOKUP(Продажи[[#This Row],[id клиента]],клиенты!$A$2:$D$435,4,0)</f>
        <v>нет</v>
      </c>
      <c r="T953" s="54">
        <f>VLOOKUP(Продажи[[#This Row],[id клиента]],клиенты!$A$2:$I$435,9,0)</f>
        <v>25.232032854209447</v>
      </c>
    </row>
    <row r="954" spans="1:20" x14ac:dyDescent="0.25">
      <c r="A954">
        <v>953</v>
      </c>
      <c r="B954">
        <v>386</v>
      </c>
      <c r="C954">
        <v>288</v>
      </c>
      <c r="D954">
        <v>2</v>
      </c>
      <c r="E954" s="35">
        <v>2880</v>
      </c>
      <c r="F954" s="48">
        <v>45285</v>
      </c>
      <c r="G954" t="s">
        <v>22</v>
      </c>
      <c r="H954">
        <v>67</v>
      </c>
      <c r="I954" t="str">
        <f>VLOOKUP(Продажи[[#This Row],[id товара]],Товары[],2,0)</f>
        <v>Крупа</v>
      </c>
      <c r="J954" s="17">
        <f>AVERAGEIF(Продажи[Категория],Продажи[[#This Row],[Категория]],Продажи[цена за шт в рублях])</f>
        <v>255.11627906976744</v>
      </c>
      <c r="K954" s="16">
        <f>Продажи[[#This Row],[цена за шт в рублях]]/Продажи[[#This Row],[Средняя цена в категории за шт]]-1</f>
        <v>0.12889699179580671</v>
      </c>
      <c r="L954" t="str">
        <f>VLOOKUP(Продажи[[#This Row],[id товара]],Товары[],3,0)</f>
        <v>Увелка</v>
      </c>
      <c r="M954" s="32">
        <f>AVERAGEIFS(Продажи[цена за шт в рублях],Продажи[Категория],Продажи[[#This Row],[Категория]],Продажи[Поставщик],Продажи[[#This Row],[Поставщик]])</f>
        <v>251.91666666666666</v>
      </c>
      <c r="N954" s="16">
        <f>Продажи[[#This Row],[цена за шт в рублях]]/Продажи[[#This Row],[Средняя цена в категории за шт по поставщику]]-1</f>
        <v>0.14323519682434682</v>
      </c>
      <c r="O954" s="48">
        <f>VLOOKUP(Продажи[[#This Row],[id клиента]],клиенты!$A$2:$E$435,5,0)</f>
        <v>44731</v>
      </c>
      <c r="P954">
        <f>Продажи[[#This Row],[дата создания чека]]-Продажи[[#This Row],[Дата регистрации]]</f>
        <v>554</v>
      </c>
      <c r="Q954" t="str">
        <f>VLOOKUP(Продажи[[#This Row],[id клиента]],клиенты!$A$2:$G$435,7,0)</f>
        <v>Узбекистан</v>
      </c>
      <c r="R954">
        <f>IF(COUNTIF($H$2:H954, H954)=1, 1, 0)</f>
        <v>0</v>
      </c>
      <c r="S954" t="str">
        <f>VLOOKUP(Продажи[[#This Row],[id клиента]],клиенты!$A$2:$D$435,4,0)</f>
        <v>да</v>
      </c>
      <c r="T954" s="54">
        <f>VLOOKUP(Продажи[[#This Row],[id клиента]],клиенты!$A$2:$I$435,9,0)</f>
        <v>19.252566735112936</v>
      </c>
    </row>
    <row r="955" spans="1:20" x14ac:dyDescent="0.25">
      <c r="A955">
        <v>954</v>
      </c>
      <c r="B955">
        <v>464</v>
      </c>
      <c r="C955">
        <v>430</v>
      </c>
      <c r="D955">
        <v>2</v>
      </c>
      <c r="E955" s="35">
        <v>4300</v>
      </c>
      <c r="F955" s="48">
        <v>45148</v>
      </c>
      <c r="G955" t="s">
        <v>26</v>
      </c>
      <c r="H955">
        <v>132</v>
      </c>
      <c r="I955" t="str">
        <f>VLOOKUP(Продажи[[#This Row],[id товара]],Товары[],2,0)</f>
        <v>Сыр</v>
      </c>
      <c r="J955" s="17">
        <f>AVERAGEIF(Продажи[Категория],Продажи[[#This Row],[Категория]],Продажи[цена за шт в рублях])</f>
        <v>262.63492063492066</v>
      </c>
      <c r="K955" s="16">
        <f>Продажи[[#This Row],[цена за шт в рублях]]/Продажи[[#This Row],[Средняя цена в категории за шт]]-1</f>
        <v>0.63725371691043131</v>
      </c>
      <c r="L955" t="str">
        <f>VLOOKUP(Продажи[[#This Row],[id товара]],Товары[],3,0)</f>
        <v>Сырная долина</v>
      </c>
      <c r="M955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955" s="16">
        <f>Продажи[[#This Row],[цена за шт в рублях]]/Продажи[[#This Row],[Средняя цена в категории за шт по поставщику]]-1</f>
        <v>0.58671586715867163</v>
      </c>
      <c r="O955" s="48">
        <f>VLOOKUP(Продажи[[#This Row],[id клиента]],клиенты!$A$2:$E$435,5,0)</f>
        <v>44601</v>
      </c>
      <c r="P955">
        <f>Продажи[[#This Row],[дата создания чека]]-Продажи[[#This Row],[Дата регистрации]]</f>
        <v>547</v>
      </c>
      <c r="Q955" t="str">
        <f>VLOOKUP(Продажи[[#This Row],[id клиента]],клиенты!$A$2:$G$435,7,0)</f>
        <v>Украина</v>
      </c>
      <c r="R955">
        <f>IF(COUNTIF($H$2:H955, H955)=1, 1, 0)</f>
        <v>0</v>
      </c>
      <c r="S955" t="str">
        <f>VLOOKUP(Продажи[[#This Row],[id клиента]],клиенты!$A$2:$D$435,4,0)</f>
        <v>да</v>
      </c>
      <c r="T955" s="54">
        <f>VLOOKUP(Продажи[[#This Row],[id клиента]],клиенты!$A$2:$I$435,9,0)</f>
        <v>22.472279260780287</v>
      </c>
    </row>
    <row r="956" spans="1:20" x14ac:dyDescent="0.25">
      <c r="A956">
        <v>955</v>
      </c>
      <c r="B956">
        <v>494</v>
      </c>
      <c r="C956">
        <v>471</v>
      </c>
      <c r="D956">
        <v>5</v>
      </c>
      <c r="E956" s="35">
        <v>11775</v>
      </c>
      <c r="F956" s="48">
        <v>45289</v>
      </c>
      <c r="G956" t="s">
        <v>8</v>
      </c>
      <c r="H956">
        <v>95</v>
      </c>
      <c r="I956" t="str">
        <f>VLOOKUP(Продажи[[#This Row],[id товара]],Товары[],2,0)</f>
        <v>Сыр</v>
      </c>
      <c r="J956" s="17">
        <f>AVERAGEIF(Продажи[Категория],Продажи[[#This Row],[Категория]],Продажи[цена за шт в рублях])</f>
        <v>262.63492063492066</v>
      </c>
      <c r="K956" s="16">
        <f>Продажи[[#This Row],[цена за шт в рублях]]/Продажи[[#This Row],[Средняя цена в категории за шт]]-1</f>
        <v>0.79336395503444934</v>
      </c>
      <c r="L956" t="str">
        <f>VLOOKUP(Продажи[[#This Row],[id товара]],Товары[],3,0)</f>
        <v>Сырная долина</v>
      </c>
      <c r="M956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956" s="16">
        <f>Продажи[[#This Row],[цена за шт в рублях]]/Продажи[[#This Row],[Средняя цена в категории за шт по поставщику]]-1</f>
        <v>0.73800738007380073</v>
      </c>
      <c r="O956" s="48">
        <f>VLOOKUP(Продажи[[#This Row],[id клиента]],клиенты!$A$2:$E$435,5,0)</f>
        <v>44704</v>
      </c>
      <c r="P956">
        <f>Продажи[[#This Row],[дата создания чека]]-Продажи[[#This Row],[Дата регистрации]]</f>
        <v>585</v>
      </c>
      <c r="Q956" t="str">
        <f>VLOOKUP(Продажи[[#This Row],[id клиента]],клиенты!$A$2:$G$435,7,0)</f>
        <v>Узбекистан</v>
      </c>
      <c r="R956">
        <f>IF(COUNTIF($H$2:H956, H956)=1, 1, 0)</f>
        <v>1</v>
      </c>
      <c r="S956" t="str">
        <f>VLOOKUP(Продажи[[#This Row],[id клиента]],клиенты!$A$2:$D$435,4,0)</f>
        <v>нет</v>
      </c>
      <c r="T956" s="54">
        <f>VLOOKUP(Продажи[[#This Row],[id клиента]],клиенты!$A$2:$I$435,9,0)</f>
        <v>19.219712525667351</v>
      </c>
    </row>
    <row r="957" spans="1:20" x14ac:dyDescent="0.25">
      <c r="A957">
        <v>956</v>
      </c>
      <c r="B957">
        <v>242</v>
      </c>
      <c r="C957">
        <v>313</v>
      </c>
      <c r="D957">
        <v>3</v>
      </c>
      <c r="E957" s="35">
        <v>4695</v>
      </c>
      <c r="F957" s="48">
        <v>45249</v>
      </c>
      <c r="G957" t="s">
        <v>25</v>
      </c>
      <c r="H957">
        <v>75</v>
      </c>
      <c r="I957" t="str">
        <f>VLOOKUP(Продажи[[#This Row],[id товара]],Товары[],2,0)</f>
        <v>Овощи</v>
      </c>
      <c r="J957" s="17">
        <f>AVERAGEIF(Продажи[Категория],Продажи[[#This Row],[Категория]],Продажи[цена за шт в рублях])</f>
        <v>250.48780487804879</v>
      </c>
      <c r="K957" s="16">
        <f>Продажи[[#This Row],[цена за шт в рублях]]/Продажи[[#This Row],[Средняя цена в категории за шт]]-1</f>
        <v>0.24956183057448866</v>
      </c>
      <c r="L957" t="str">
        <f>VLOOKUP(Продажи[[#This Row],[id товара]],Товары[],3,0)</f>
        <v>Овощной ряд</v>
      </c>
      <c r="M957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957" s="16">
        <f>Продажи[[#This Row],[цена за шт в рублях]]/Продажи[[#This Row],[Средняя цена в категории за шт по поставщику]]-1</f>
        <v>3.0203291384317543E-2</v>
      </c>
      <c r="O957" s="48">
        <f>VLOOKUP(Продажи[[#This Row],[id клиента]],клиенты!$A$2:$E$435,5,0)</f>
        <v>44796</v>
      </c>
      <c r="P957">
        <f>Продажи[[#This Row],[дата создания чека]]-Продажи[[#This Row],[Дата регистрации]]</f>
        <v>453</v>
      </c>
      <c r="Q957" t="str">
        <f>VLOOKUP(Продажи[[#This Row],[id клиента]],клиенты!$A$2:$G$435,7,0)</f>
        <v>Украина</v>
      </c>
      <c r="R957">
        <f>IF(COUNTIF($H$2:H957, H957)=1, 1, 0)</f>
        <v>0</v>
      </c>
      <c r="S957" t="str">
        <f>VLOOKUP(Продажи[[#This Row],[id клиента]],клиенты!$A$2:$D$435,4,0)</f>
        <v>нет</v>
      </c>
      <c r="T957" s="54">
        <f>VLOOKUP(Продажи[[#This Row],[id клиента]],клиенты!$A$2:$I$435,9,0)</f>
        <v>16.459958932238195</v>
      </c>
    </row>
    <row r="958" spans="1:20" x14ac:dyDescent="0.25">
      <c r="A958">
        <v>957</v>
      </c>
      <c r="B958">
        <v>434</v>
      </c>
      <c r="C958">
        <v>340</v>
      </c>
      <c r="D958">
        <v>4</v>
      </c>
      <c r="E958" s="35">
        <v>6800</v>
      </c>
      <c r="F958" s="48">
        <v>44937</v>
      </c>
      <c r="G958" t="s">
        <v>17</v>
      </c>
      <c r="H958">
        <v>419</v>
      </c>
      <c r="I958" t="str">
        <f>VLOOKUP(Продажи[[#This Row],[id товара]],Товары[],2,0)</f>
        <v>Сыр</v>
      </c>
      <c r="J958" s="17">
        <f>AVERAGEIF(Продажи[Категория],Продажи[[#This Row],[Категория]],Продажи[цена за шт в рублях])</f>
        <v>262.63492063492066</v>
      </c>
      <c r="K958" s="16">
        <f>Продажи[[#This Row],[цена за шт в рублях]]/Продажи[[#This Row],[Средняя цена в категории за шт]]-1</f>
        <v>0.29457270639429467</v>
      </c>
      <c r="L958" t="str">
        <f>VLOOKUP(Продажи[[#This Row],[id товара]],Товары[],3,0)</f>
        <v>Сырная долина</v>
      </c>
      <c r="M958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958" s="16">
        <f>Продажи[[#This Row],[цена за шт в рублях]]/Продажи[[#This Row],[Средняя цена в категории за шт по поставщику]]-1</f>
        <v>0.25461254612546136</v>
      </c>
      <c r="O958" s="48">
        <f>VLOOKUP(Продажи[[#This Row],[id клиента]],клиенты!$A$2:$E$435,5,0)</f>
        <v>44869</v>
      </c>
      <c r="P958">
        <f>Продажи[[#This Row],[дата создания чека]]-Продажи[[#This Row],[Дата регистрации]]</f>
        <v>68</v>
      </c>
      <c r="Q958" t="str">
        <f>VLOOKUP(Продажи[[#This Row],[id клиента]],клиенты!$A$2:$G$435,7,0)</f>
        <v>Таджикистан</v>
      </c>
      <c r="R958">
        <f>IF(COUNTIF($H$2:H958, H958)=1, 1, 0)</f>
        <v>0</v>
      </c>
      <c r="S958" t="str">
        <f>VLOOKUP(Продажи[[#This Row],[id клиента]],клиенты!$A$2:$D$435,4,0)</f>
        <v>да</v>
      </c>
      <c r="T958" s="54">
        <f>VLOOKUP(Продажи[[#This Row],[id клиента]],клиенты!$A$2:$I$435,9,0)</f>
        <v>17.478439425051334</v>
      </c>
    </row>
    <row r="959" spans="1:20" x14ac:dyDescent="0.25">
      <c r="A959">
        <v>958</v>
      </c>
      <c r="B959">
        <v>110</v>
      </c>
      <c r="C959">
        <v>148</v>
      </c>
      <c r="D959">
        <v>2</v>
      </c>
      <c r="E959" s="35">
        <v>1480</v>
      </c>
      <c r="F959" s="48">
        <v>44995</v>
      </c>
      <c r="G959" t="s">
        <v>10</v>
      </c>
      <c r="H959">
        <v>42</v>
      </c>
      <c r="I959" t="str">
        <f>VLOOKUP(Продажи[[#This Row],[id товара]],Товары[],2,0)</f>
        <v>Макароны</v>
      </c>
      <c r="J959" s="17">
        <f>AVERAGEIF(Продажи[Категория],Продажи[[#This Row],[Категория]],Продажи[цена за шт в рублях])</f>
        <v>265.47674418604652</v>
      </c>
      <c r="K959" s="16">
        <f>Продажи[[#This Row],[цена за шт в рублях]]/Продажи[[#This Row],[Средняя цена в категории за шт]]-1</f>
        <v>-0.44251237352722173</v>
      </c>
      <c r="L959" t="str">
        <f>VLOOKUP(Продажи[[#This Row],[id товара]],Товары[],3,0)</f>
        <v>Паста Зара</v>
      </c>
      <c r="M959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959" s="16">
        <f>Продажи[[#This Row],[цена за шт в рублях]]/Продажи[[#This Row],[Средняя цена в категории за шт по поставщику]]-1</f>
        <v>-0.46507765947054802</v>
      </c>
      <c r="O959" s="48">
        <f>VLOOKUP(Продажи[[#This Row],[id клиента]],клиенты!$A$2:$E$435,5,0)</f>
        <v>44783</v>
      </c>
      <c r="P959">
        <f>Продажи[[#This Row],[дата создания чека]]-Продажи[[#This Row],[Дата регистрации]]</f>
        <v>212</v>
      </c>
      <c r="Q959" t="str">
        <f>VLOOKUP(Продажи[[#This Row],[id клиента]],клиенты!$A$2:$G$435,7,0)</f>
        <v>Таджикистан</v>
      </c>
      <c r="R959">
        <f>IF(COUNTIF($H$2:H959, H959)=1, 1, 0)</f>
        <v>0</v>
      </c>
      <c r="S959" t="str">
        <f>VLOOKUP(Продажи[[#This Row],[id клиента]],клиенты!$A$2:$D$435,4,0)</f>
        <v>да</v>
      </c>
      <c r="T959" s="54">
        <f>VLOOKUP(Продажи[[#This Row],[id клиента]],клиенты!$A$2:$I$435,9,0)</f>
        <v>19.351129363449694</v>
      </c>
    </row>
    <row r="960" spans="1:20" x14ac:dyDescent="0.25">
      <c r="A960">
        <v>959</v>
      </c>
      <c r="B960">
        <v>168</v>
      </c>
      <c r="C960">
        <v>391</v>
      </c>
      <c r="D960">
        <v>2</v>
      </c>
      <c r="E960" s="35">
        <v>3910</v>
      </c>
      <c r="F960" s="48">
        <v>45143</v>
      </c>
      <c r="G960" t="s">
        <v>26</v>
      </c>
      <c r="H960">
        <v>316</v>
      </c>
      <c r="I960" t="str">
        <f>VLOOKUP(Продажи[[#This Row],[id товара]],Товары[],2,0)</f>
        <v>Крупа</v>
      </c>
      <c r="J960" s="17">
        <f>AVERAGEIF(Продажи[Категория],Продажи[[#This Row],[Категория]],Продажи[цена за шт в рублях])</f>
        <v>255.11627906976744</v>
      </c>
      <c r="K960" s="16">
        <f>Продажи[[#This Row],[цена за шт в рублях]]/Продажи[[#This Row],[Средняя цена в категории за шт]]-1</f>
        <v>0.53263445761166817</v>
      </c>
      <c r="L960" t="str">
        <f>VLOOKUP(Продажи[[#This Row],[id товара]],Товары[],3,0)</f>
        <v>Ярмарка</v>
      </c>
      <c r="M960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960" s="16">
        <f>Продажи[[#This Row],[цена за шт в рублях]]/Продажи[[#This Row],[Средняя цена в категории за шт по поставщику]]-1</f>
        <v>0.55102776776054818</v>
      </c>
      <c r="O960" s="48">
        <f>VLOOKUP(Продажи[[#This Row],[id клиента]],клиенты!$A$2:$E$435,5,0)</f>
        <v>44787</v>
      </c>
      <c r="P960">
        <f>Продажи[[#This Row],[дата создания чека]]-Продажи[[#This Row],[Дата регистрации]]</f>
        <v>356</v>
      </c>
      <c r="Q960" t="str">
        <f>VLOOKUP(Продажи[[#This Row],[id клиента]],клиенты!$A$2:$G$435,7,0)</f>
        <v>Таджикистан</v>
      </c>
      <c r="R960">
        <f>IF(COUNTIF($H$2:H960, H960)=1, 1, 0)</f>
        <v>0</v>
      </c>
      <c r="S960" t="str">
        <f>VLOOKUP(Продажи[[#This Row],[id клиента]],клиенты!$A$2:$D$435,4,0)</f>
        <v>да</v>
      </c>
      <c r="T960" s="54">
        <f>VLOOKUP(Продажи[[#This Row],[id клиента]],клиенты!$A$2:$I$435,9,0)</f>
        <v>11.696098562628336</v>
      </c>
    </row>
    <row r="961" spans="1:20" x14ac:dyDescent="0.25">
      <c r="A961">
        <v>960</v>
      </c>
      <c r="B961">
        <v>13</v>
      </c>
      <c r="C961">
        <v>181</v>
      </c>
      <c r="D961">
        <v>4</v>
      </c>
      <c r="E961" s="35">
        <v>3620</v>
      </c>
      <c r="F961" s="48">
        <v>45398</v>
      </c>
      <c r="G961" t="s">
        <v>23</v>
      </c>
      <c r="H961">
        <v>117</v>
      </c>
      <c r="I961" t="str">
        <f>VLOOKUP(Продажи[[#This Row],[id товара]],Товары[],2,0)</f>
        <v>Макароны</v>
      </c>
      <c r="J961" s="17">
        <f>AVERAGEIF(Продажи[Категория],Продажи[[#This Row],[Категория]],Продажи[цена за шт в рублях])</f>
        <v>265.47674418604652</v>
      </c>
      <c r="K961" s="16">
        <f>Продажи[[#This Row],[цена за шт в рублях]]/Продажи[[#This Row],[Средняя цена в категории за шт]]-1</f>
        <v>-0.3182077000569401</v>
      </c>
      <c r="L961" t="str">
        <f>VLOOKUP(Продажи[[#This Row],[id товара]],Товары[],3,0)</f>
        <v>Паста Зара</v>
      </c>
      <c r="M961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961" s="16">
        <f>Продажи[[#This Row],[цена за шт в рублях]]/Продажи[[#This Row],[Средняя цена в категории за шт по поставщику]]-1</f>
        <v>-0.34580443489303503</v>
      </c>
      <c r="O961" s="48">
        <f>VLOOKUP(Продажи[[#This Row],[id клиента]],клиенты!$A$2:$E$435,5,0)</f>
        <v>44706</v>
      </c>
      <c r="P961">
        <f>Продажи[[#This Row],[дата создания чека]]-Продажи[[#This Row],[Дата регистрации]]</f>
        <v>692</v>
      </c>
      <c r="Q961" t="str">
        <f>VLOOKUP(Продажи[[#This Row],[id клиента]],клиенты!$A$2:$G$435,7,0)</f>
        <v>Украина</v>
      </c>
      <c r="R961">
        <f>IF(COUNTIF($H$2:H961, H961)=1, 1, 0)</f>
        <v>0</v>
      </c>
      <c r="S961" t="str">
        <f>VLOOKUP(Продажи[[#This Row],[id клиента]],клиенты!$A$2:$D$435,4,0)</f>
        <v>да</v>
      </c>
      <c r="T961" s="54">
        <f>VLOOKUP(Продажи[[#This Row],[id клиента]],клиенты!$A$2:$I$435,9,0)</f>
        <v>22.735112936344969</v>
      </c>
    </row>
    <row r="962" spans="1:20" x14ac:dyDescent="0.25">
      <c r="A962">
        <v>961</v>
      </c>
      <c r="B962">
        <v>141</v>
      </c>
      <c r="C962">
        <v>279</v>
      </c>
      <c r="D962">
        <v>1</v>
      </c>
      <c r="E962" s="35">
        <v>1395</v>
      </c>
      <c r="F962" s="48">
        <v>45324</v>
      </c>
      <c r="G962" t="s">
        <v>10</v>
      </c>
      <c r="H962">
        <v>243</v>
      </c>
      <c r="I962" t="str">
        <f>VLOOKUP(Продажи[[#This Row],[id товара]],Товары[],2,0)</f>
        <v>Фрукты</v>
      </c>
      <c r="J962" s="17">
        <f>AVERAGEIF(Продажи[Категория],Продажи[[#This Row],[Категория]],Продажи[цена за шт в рублях])</f>
        <v>274.16279069767444</v>
      </c>
      <c r="K962" s="16">
        <f>Продажи[[#This Row],[цена за шт в рублях]]/Продажи[[#This Row],[Средняя цена в категории за шт]]-1</f>
        <v>1.7643566036135372E-2</v>
      </c>
      <c r="L962" t="str">
        <f>VLOOKUP(Продажи[[#This Row],[id товара]],Товары[],3,0)</f>
        <v>Фруктовый Рай</v>
      </c>
      <c r="M962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962" s="16">
        <f>Продажи[[#This Row],[цена за шт в рублях]]/Продажи[[#This Row],[Средняя цена в категории за шт по поставщику]]-1</f>
        <v>8.0107206670637199E-2</v>
      </c>
      <c r="O962" s="48">
        <f>VLOOKUP(Продажи[[#This Row],[id клиента]],клиенты!$A$2:$E$435,5,0)</f>
        <v>44681</v>
      </c>
      <c r="P962">
        <f>Продажи[[#This Row],[дата создания чека]]-Продажи[[#This Row],[Дата регистрации]]</f>
        <v>643</v>
      </c>
      <c r="Q962" t="str">
        <f>VLOOKUP(Продажи[[#This Row],[id клиента]],клиенты!$A$2:$G$435,7,0)</f>
        <v>Россия</v>
      </c>
      <c r="R962">
        <f>IF(COUNTIF($H$2:H962, H962)=1, 1, 0)</f>
        <v>0</v>
      </c>
      <c r="S962" t="str">
        <f>VLOOKUP(Продажи[[#This Row],[id клиента]],клиенты!$A$2:$D$435,4,0)</f>
        <v>нет</v>
      </c>
      <c r="T962" s="54">
        <f>VLOOKUP(Продажи[[#This Row],[id клиента]],клиенты!$A$2:$I$435,9,0)</f>
        <v>24.410677618069816</v>
      </c>
    </row>
    <row r="963" spans="1:20" x14ac:dyDescent="0.25">
      <c r="A963">
        <v>962</v>
      </c>
      <c r="B963">
        <v>120</v>
      </c>
      <c r="C963">
        <v>229</v>
      </c>
      <c r="D963">
        <v>5</v>
      </c>
      <c r="E963" s="35">
        <v>5725</v>
      </c>
      <c r="F963" s="48">
        <v>44930</v>
      </c>
      <c r="G963" t="s">
        <v>25</v>
      </c>
      <c r="H963">
        <v>6</v>
      </c>
      <c r="I963" t="str">
        <f>VLOOKUP(Продажи[[#This Row],[id товара]],Товары[],2,0)</f>
        <v>Хлеб</v>
      </c>
      <c r="J963" s="17">
        <f>AVERAGEIF(Продажи[Категория],Продажи[[#This Row],[Категория]],Продажи[цена за шт в рублях])</f>
        <v>300.31818181818181</v>
      </c>
      <c r="K963" s="16">
        <f>Продажи[[#This Row],[цена за шт в рублях]]/Продажи[[#This Row],[Средняя цена в категории за шт]]-1</f>
        <v>-0.23747540487361884</v>
      </c>
      <c r="L963" t="str">
        <f>VLOOKUP(Продажи[[#This Row],[id товара]],Товары[],3,0)</f>
        <v>Дарница</v>
      </c>
      <c r="M963" s="32">
        <f>AVERAGEIFS(Продажи[цена за шт в рублях],Продажи[Категория],Продажи[[#This Row],[Категория]],Продажи[Поставщик],Продажи[[#This Row],[Поставщик]])</f>
        <v>264</v>
      </c>
      <c r="N963" s="16">
        <f>Продажи[[#This Row],[цена за шт в рублях]]/Продажи[[#This Row],[Средняя цена в категории за шт по поставщику]]-1</f>
        <v>-0.13257575757575757</v>
      </c>
      <c r="O963" s="48">
        <f>VLOOKUP(Продажи[[#This Row],[id клиента]],клиенты!$A$2:$E$435,5,0)</f>
        <v>44710</v>
      </c>
      <c r="P963">
        <f>Продажи[[#This Row],[дата создания чека]]-Продажи[[#This Row],[Дата регистрации]]</f>
        <v>220</v>
      </c>
      <c r="Q963" t="str">
        <f>VLOOKUP(Продажи[[#This Row],[id клиента]],клиенты!$A$2:$G$435,7,0)</f>
        <v>Украина</v>
      </c>
      <c r="R963">
        <f>IF(COUNTIF($H$2:H963, H963)=1, 1, 0)</f>
        <v>0</v>
      </c>
      <c r="S963" t="str">
        <f>VLOOKUP(Продажи[[#This Row],[id клиента]],клиенты!$A$2:$D$435,4,0)</f>
        <v>нет</v>
      </c>
      <c r="T963" s="54">
        <f>VLOOKUP(Продажи[[#This Row],[id клиента]],клиенты!$A$2:$I$435,9,0)</f>
        <v>8.5420944558521565</v>
      </c>
    </row>
    <row r="964" spans="1:20" x14ac:dyDescent="0.25">
      <c r="A964">
        <v>963</v>
      </c>
      <c r="B964">
        <v>316</v>
      </c>
      <c r="C964">
        <v>97</v>
      </c>
      <c r="D964">
        <v>4</v>
      </c>
      <c r="E964" s="35">
        <v>1940</v>
      </c>
      <c r="F964" s="48">
        <v>44932</v>
      </c>
      <c r="G964" t="s">
        <v>17</v>
      </c>
      <c r="H964">
        <v>283</v>
      </c>
      <c r="I964" t="str">
        <f>VLOOKUP(Продажи[[#This Row],[id товара]],Товары[],2,0)</f>
        <v>Макароны</v>
      </c>
      <c r="J964" s="17">
        <f>AVERAGEIF(Продажи[Категория],Продажи[[#This Row],[Категория]],Продажи[цена за шт в рублях])</f>
        <v>265.47674418604652</v>
      </c>
      <c r="K964" s="16">
        <f>Продажи[[#This Row],[цена за шт в рублях]]/Продажи[[#This Row],[Средняя цена в категории за шт]]-1</f>
        <v>-0.63461959616311159</v>
      </c>
      <c r="L964" t="str">
        <f>VLOOKUP(Продажи[[#This Row],[id товара]],Товары[],3,0)</f>
        <v>Борилла</v>
      </c>
      <c r="M964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964" s="16">
        <f>Продажи[[#This Row],[цена за шт в рублях]]/Продажи[[#This Row],[Средняя цена в категории за шт по поставщику]]-1</f>
        <v>-0.58946293053123178</v>
      </c>
      <c r="O964" s="48">
        <f>VLOOKUP(Продажи[[#This Row],[id клиента]],клиенты!$A$2:$E$435,5,0)</f>
        <v>44889</v>
      </c>
      <c r="P964">
        <f>Продажи[[#This Row],[дата создания чека]]-Продажи[[#This Row],[Дата регистрации]]</f>
        <v>43</v>
      </c>
      <c r="Q964" t="str">
        <f>VLOOKUP(Продажи[[#This Row],[id клиента]],клиенты!$A$2:$G$435,7,0)</f>
        <v>Таджикистан</v>
      </c>
      <c r="R964">
        <f>IF(COUNTIF($H$2:H964, H964)=1, 1, 0)</f>
        <v>0</v>
      </c>
      <c r="S964" t="str">
        <f>VLOOKUP(Продажи[[#This Row],[id клиента]],клиенты!$A$2:$D$435,4,0)</f>
        <v>нет</v>
      </c>
      <c r="T964" s="54">
        <f>VLOOKUP(Продажи[[#This Row],[id клиента]],клиенты!$A$2:$I$435,9,0)</f>
        <v>15.737166324435318</v>
      </c>
    </row>
    <row r="965" spans="1:20" x14ac:dyDescent="0.25">
      <c r="A965">
        <v>964</v>
      </c>
      <c r="B965">
        <v>448</v>
      </c>
      <c r="C965">
        <v>484</v>
      </c>
      <c r="D965">
        <v>1</v>
      </c>
      <c r="E965" s="35">
        <v>2420</v>
      </c>
      <c r="F965" s="48">
        <v>45301</v>
      </c>
      <c r="G965" t="s">
        <v>10</v>
      </c>
      <c r="H965">
        <v>404</v>
      </c>
      <c r="I965" t="str">
        <f>VLOOKUP(Продажи[[#This Row],[id товара]],Товары[],2,0)</f>
        <v>Йогурт</v>
      </c>
      <c r="J965" s="17">
        <f>AVERAGEIF(Продажи[Категория],Продажи[[#This Row],[Категория]],Продажи[цена за шт в рублях])</f>
        <v>263.25423728813558</v>
      </c>
      <c r="K965" s="16">
        <f>Продажи[[#This Row],[цена за шт в рублях]]/Продажи[[#This Row],[Средняя цена в категории за шт]]-1</f>
        <v>0.83852691218130326</v>
      </c>
      <c r="L965" t="str">
        <f>VLOOKUP(Продажи[[#This Row],[id товара]],Товары[],3,0)</f>
        <v>Ростагроэкспорт</v>
      </c>
      <c r="M965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965" s="16">
        <f>Продажи[[#This Row],[цена за шт в рублях]]/Продажи[[#This Row],[Средняя цена в категории за шт по поставщику]]-1</f>
        <v>0.87755102040816313</v>
      </c>
      <c r="O965" s="48">
        <f>VLOOKUP(Продажи[[#This Row],[id клиента]],клиенты!$A$2:$E$435,5,0)</f>
        <v>44913</v>
      </c>
      <c r="P965">
        <f>Продажи[[#This Row],[дата создания чека]]-Продажи[[#This Row],[Дата регистрации]]</f>
        <v>388</v>
      </c>
      <c r="Q965" t="str">
        <f>VLOOKUP(Продажи[[#This Row],[id клиента]],клиенты!$A$2:$G$435,7,0)</f>
        <v>Украина</v>
      </c>
      <c r="R965">
        <f>IF(COUNTIF($H$2:H965, H965)=1, 1, 0)</f>
        <v>0</v>
      </c>
      <c r="S965" t="str">
        <f>VLOOKUP(Продажи[[#This Row],[id клиента]],клиенты!$A$2:$D$435,4,0)</f>
        <v>нет</v>
      </c>
      <c r="T965" s="54">
        <f>VLOOKUP(Продажи[[#This Row],[id клиента]],клиенты!$A$2:$I$435,9,0)</f>
        <v>16.262833675564682</v>
      </c>
    </row>
    <row r="966" spans="1:20" x14ac:dyDescent="0.25">
      <c r="A966">
        <v>965</v>
      </c>
      <c r="B966">
        <v>143</v>
      </c>
      <c r="C966">
        <v>200</v>
      </c>
      <c r="D966">
        <v>4</v>
      </c>
      <c r="E966" s="35">
        <v>4000</v>
      </c>
      <c r="F966" s="48">
        <v>45306</v>
      </c>
      <c r="G966" t="s">
        <v>8</v>
      </c>
      <c r="H966">
        <v>379</v>
      </c>
      <c r="I966" t="str">
        <f>VLOOKUP(Продажи[[#This Row],[id товара]],Товары[],2,0)</f>
        <v>Сахар</v>
      </c>
      <c r="J966" s="17">
        <f>AVERAGEIF(Продажи[Категория],Продажи[[#This Row],[Категория]],Продажи[цена за шт в рублях])</f>
        <v>252.76271186440678</v>
      </c>
      <c r="K966" s="16">
        <f>Продажи[[#This Row],[цена за шт в рублях]]/Продажи[[#This Row],[Средняя цена в категории за шт]]-1</f>
        <v>-0.20874404881646891</v>
      </c>
      <c r="L966" t="str">
        <f>VLOOKUP(Продажи[[#This Row],[id товара]],Товары[],3,0)</f>
        <v>Агросахар</v>
      </c>
      <c r="M966" s="32">
        <f>AVERAGEIFS(Продажи[цена за шт в рублях],Продажи[Категория],Продажи[[#This Row],[Категория]],Продажи[Поставщик],Продажи[[#This Row],[Поставщик]])</f>
        <v>215.85714285714286</v>
      </c>
      <c r="N966" s="16">
        <f>Продажи[[#This Row],[цена за шт в рублях]]/Продажи[[#This Row],[Средняя цена в категории за шт по поставщику]]-1</f>
        <v>-7.3461283917935161E-2</v>
      </c>
      <c r="O966" s="48">
        <f>VLOOKUP(Продажи[[#This Row],[id клиента]],клиенты!$A$2:$E$435,5,0)</f>
        <v>44581</v>
      </c>
      <c r="P966">
        <f>Продажи[[#This Row],[дата создания чека]]-Продажи[[#This Row],[Дата регистрации]]</f>
        <v>725</v>
      </c>
      <c r="Q966" t="str">
        <f>VLOOKUP(Продажи[[#This Row],[id клиента]],клиенты!$A$2:$G$435,7,0)</f>
        <v>Таджикистан</v>
      </c>
      <c r="R966">
        <f>IF(COUNTIF($H$2:H966, H966)=1, 1, 0)</f>
        <v>0</v>
      </c>
      <c r="S966" t="str">
        <f>VLOOKUP(Продажи[[#This Row],[id клиента]],клиенты!$A$2:$D$435,4,0)</f>
        <v>нет</v>
      </c>
      <c r="T966" s="54">
        <f>VLOOKUP(Продажи[[#This Row],[id клиента]],клиенты!$A$2:$I$435,9,0)</f>
        <v>23.819301848049282</v>
      </c>
    </row>
    <row r="967" spans="1:20" x14ac:dyDescent="0.25">
      <c r="A967">
        <v>966</v>
      </c>
      <c r="B967">
        <v>168</v>
      </c>
      <c r="C967">
        <v>206</v>
      </c>
      <c r="D967">
        <v>4</v>
      </c>
      <c r="E967" s="35">
        <v>4120</v>
      </c>
      <c r="F967" s="48">
        <v>45243</v>
      </c>
      <c r="G967" t="s">
        <v>22</v>
      </c>
      <c r="H967">
        <v>136</v>
      </c>
      <c r="I967" t="str">
        <f>VLOOKUP(Продажи[[#This Row],[id товара]],Товары[],2,0)</f>
        <v>Крупа</v>
      </c>
      <c r="J967" s="17">
        <f>AVERAGEIF(Продажи[Категория],Продажи[[#This Row],[Категория]],Продажи[цена за шт в рублях])</f>
        <v>255.11627906976744</v>
      </c>
      <c r="K967" s="16">
        <f>Продажи[[#This Row],[цена за шт в рублях]]/Продажи[[#This Row],[Средняя цена в категории за шт]]-1</f>
        <v>-0.1925250683682771</v>
      </c>
      <c r="L967" t="str">
        <f>VLOOKUP(Продажи[[#This Row],[id товара]],Товары[],3,0)</f>
        <v>Ярмарка</v>
      </c>
      <c r="M967" s="32">
        <f>AVERAGEIFS(Продажи[цена за шт в рублях],Продажи[Категория],Продажи[[#This Row],[Категория]],Продажи[Поставщик],Продажи[[#This Row],[Поставщик]])</f>
        <v>252.09090909090909</v>
      </c>
      <c r="N967" s="16">
        <f>Продажи[[#This Row],[цена за шт в рублях]]/Продажи[[#This Row],[Средняя цена в категории за шт по поставщику]]-1</f>
        <v>-0.18283447529751173</v>
      </c>
      <c r="O967" s="48">
        <f>VLOOKUP(Продажи[[#This Row],[id клиента]],клиенты!$A$2:$E$435,5,0)</f>
        <v>44860</v>
      </c>
      <c r="P967">
        <f>Продажи[[#This Row],[дата создания чека]]-Продажи[[#This Row],[Дата регистрации]]</f>
        <v>383</v>
      </c>
      <c r="Q967" t="str">
        <f>VLOOKUP(Продажи[[#This Row],[id клиента]],клиенты!$A$2:$G$435,7,0)</f>
        <v>Украина</v>
      </c>
      <c r="R967">
        <f>IF(COUNTIF($H$2:H967, H967)=1, 1, 0)</f>
        <v>0</v>
      </c>
      <c r="S967" t="str">
        <f>VLOOKUP(Продажи[[#This Row],[id клиента]],клиенты!$A$2:$D$435,4,0)</f>
        <v>да</v>
      </c>
      <c r="T967" s="54">
        <f>VLOOKUP(Продажи[[#This Row],[id клиента]],клиенты!$A$2:$I$435,9,0)</f>
        <v>17.248459958932237</v>
      </c>
    </row>
    <row r="968" spans="1:20" x14ac:dyDescent="0.25">
      <c r="A968">
        <v>967</v>
      </c>
      <c r="B968">
        <v>435</v>
      </c>
      <c r="C968">
        <v>116</v>
      </c>
      <c r="D968">
        <v>4</v>
      </c>
      <c r="E968" s="35">
        <v>2320</v>
      </c>
      <c r="F968" s="48">
        <v>45037</v>
      </c>
      <c r="G968" t="s">
        <v>22</v>
      </c>
      <c r="H968">
        <v>20</v>
      </c>
      <c r="I968" t="str">
        <f>VLOOKUP(Продажи[[#This Row],[id товара]],Товары[],2,0)</f>
        <v>Мясо</v>
      </c>
      <c r="J968" s="17">
        <f>AVERAGEIF(Продажи[Категория],Продажи[[#This Row],[Категория]],Продажи[цена за шт в рублях])</f>
        <v>271.74545454545455</v>
      </c>
      <c r="K968" s="16">
        <f>Продажи[[#This Row],[цена за шт в рублях]]/Продажи[[#This Row],[Средняя цена в категории за шт]]-1</f>
        <v>-0.57312993443061688</v>
      </c>
      <c r="L968" t="str">
        <f>VLOOKUP(Продажи[[#This Row],[id товара]],Товары[],3,0)</f>
        <v>Снежана</v>
      </c>
      <c r="M968" s="32">
        <f>AVERAGEIFS(Продажи[цена за шт в рублях],Продажи[Категория],Продажи[[#This Row],[Категория]],Продажи[Поставщик],Продажи[[#This Row],[Поставщик]])</f>
        <v>272.35294117647061</v>
      </c>
      <c r="N968" s="16">
        <f>Продажи[[#This Row],[цена за шт в рублях]]/Продажи[[#This Row],[Средняя цена в категории за шт по поставщику]]-1</f>
        <v>-0.57408207343412532</v>
      </c>
      <c r="O968" s="48">
        <f>VLOOKUP(Продажи[[#This Row],[id клиента]],клиенты!$A$2:$E$435,5,0)</f>
        <v>44691</v>
      </c>
      <c r="P968">
        <f>Продажи[[#This Row],[дата создания чека]]-Продажи[[#This Row],[Дата регистрации]]</f>
        <v>346</v>
      </c>
      <c r="Q968" t="str">
        <f>VLOOKUP(Продажи[[#This Row],[id клиента]],клиенты!$A$2:$G$435,7,0)</f>
        <v>Узбекистан</v>
      </c>
      <c r="R968">
        <f>IF(COUNTIF($H$2:H968, H968)=1, 1, 0)</f>
        <v>1</v>
      </c>
      <c r="S968" t="str">
        <f>VLOOKUP(Продажи[[#This Row],[id клиента]],клиенты!$A$2:$D$435,4,0)</f>
        <v>нет</v>
      </c>
      <c r="T968" s="54">
        <f>VLOOKUP(Продажи[[#This Row],[id клиента]],клиенты!$A$2:$I$435,9,0)</f>
        <v>11.367556468172484</v>
      </c>
    </row>
    <row r="969" spans="1:20" x14ac:dyDescent="0.25">
      <c r="A969">
        <v>968</v>
      </c>
      <c r="B969">
        <v>375</v>
      </c>
      <c r="C969">
        <v>212</v>
      </c>
      <c r="D969">
        <v>3</v>
      </c>
      <c r="E969" s="35">
        <v>3180</v>
      </c>
      <c r="F969" s="48">
        <v>45009</v>
      </c>
      <c r="G969" t="s">
        <v>27</v>
      </c>
      <c r="H969">
        <v>369</v>
      </c>
      <c r="I969" t="str">
        <f>VLOOKUP(Продажи[[#This Row],[id товара]],Товары[],2,0)</f>
        <v>Макароны</v>
      </c>
      <c r="J969" s="17">
        <f>AVERAGEIF(Продажи[Категория],Продажи[[#This Row],[Категория]],Продажи[цена за шт в рублях])</f>
        <v>265.47674418604652</v>
      </c>
      <c r="K969" s="16">
        <f>Продажи[[#This Row],[цена за шт в рублях]]/Продажи[[#This Row],[Средняя цена в категории за шт]]-1</f>
        <v>-0.20143664316061494</v>
      </c>
      <c r="L969" t="str">
        <f>VLOOKUP(Продажи[[#This Row],[id товара]],Товары[],3,0)</f>
        <v>Борилла</v>
      </c>
      <c r="M969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969" s="16">
        <f>Продажи[[#This Row],[цена за шт в рублях]]/Продажи[[#This Row],[Средняя цена в категории за шт по поставщику]]-1</f>
        <v>-0.10274372446001168</v>
      </c>
      <c r="O969" s="48">
        <f>VLOOKUP(Продажи[[#This Row],[id клиента]],клиенты!$A$2:$E$435,5,0)</f>
        <v>44678</v>
      </c>
      <c r="P969">
        <f>Продажи[[#This Row],[дата создания чека]]-Продажи[[#This Row],[Дата регистрации]]</f>
        <v>331</v>
      </c>
      <c r="Q969" t="str">
        <f>VLOOKUP(Продажи[[#This Row],[id клиента]],клиенты!$A$2:$G$435,7,0)</f>
        <v>Россия</v>
      </c>
      <c r="R969">
        <f>IF(COUNTIF($H$2:H969, H969)=1, 1, 0)</f>
        <v>0</v>
      </c>
      <c r="S969" t="str">
        <f>VLOOKUP(Продажи[[#This Row],[id клиента]],клиенты!$A$2:$D$435,4,0)</f>
        <v>да</v>
      </c>
      <c r="T969" s="54">
        <f>VLOOKUP(Продажи[[#This Row],[id клиента]],клиенты!$A$2:$I$435,9,0)</f>
        <v>14.390143737166325</v>
      </c>
    </row>
    <row r="970" spans="1:20" x14ac:dyDescent="0.25">
      <c r="A970">
        <v>969</v>
      </c>
      <c r="B970">
        <v>416</v>
      </c>
      <c r="C970">
        <v>202</v>
      </c>
      <c r="D970">
        <v>4</v>
      </c>
      <c r="E970" s="35">
        <v>4040</v>
      </c>
      <c r="F970" s="48">
        <v>45285</v>
      </c>
      <c r="G970" t="s">
        <v>11</v>
      </c>
      <c r="H970">
        <v>499</v>
      </c>
      <c r="I970" t="str">
        <f>VLOOKUP(Продажи[[#This Row],[id товара]],Товары[],2,0)</f>
        <v>Рыба</v>
      </c>
      <c r="J970" s="17">
        <f>AVERAGEIF(Продажи[Категория],Продажи[[#This Row],[Категория]],Продажи[цена за шт в рублях])</f>
        <v>258.5128205128205</v>
      </c>
      <c r="K970" s="16">
        <f>Продажи[[#This Row],[цена за шт в рублях]]/Продажи[[#This Row],[Средняя цена в категории за шт]]-1</f>
        <v>-0.21860741916286441</v>
      </c>
      <c r="L970" t="str">
        <f>VLOOKUP(Продажи[[#This Row],[id товара]],Товары[],3,0)</f>
        <v>Меридиан</v>
      </c>
      <c r="M970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970" s="16">
        <f>Продажи[[#This Row],[цена за шт в рублях]]/Продажи[[#This Row],[Средняя цена в категории за шт по поставщику]]-1</f>
        <v>-0.22500564206725338</v>
      </c>
      <c r="O970" s="48">
        <f>VLOOKUP(Продажи[[#This Row],[id клиента]],клиенты!$A$2:$E$435,5,0)</f>
        <v>44798</v>
      </c>
      <c r="P970">
        <f>Продажи[[#This Row],[дата создания чека]]-Продажи[[#This Row],[Дата регистрации]]</f>
        <v>487</v>
      </c>
      <c r="Q970" t="str">
        <f>VLOOKUP(Продажи[[#This Row],[id клиента]],клиенты!$A$2:$G$435,7,0)</f>
        <v>Беларусь</v>
      </c>
      <c r="R970">
        <f>IF(COUNTIF($H$2:H970, H970)=1, 1, 0)</f>
        <v>0</v>
      </c>
      <c r="S970" t="str">
        <f>VLOOKUP(Продажи[[#This Row],[id клиента]],клиенты!$A$2:$D$435,4,0)</f>
        <v>да</v>
      </c>
      <c r="T970" s="54">
        <f>VLOOKUP(Продажи[[#This Row],[id клиента]],клиенты!$A$2:$I$435,9,0)</f>
        <v>16</v>
      </c>
    </row>
    <row r="971" spans="1:20" x14ac:dyDescent="0.25">
      <c r="A971">
        <v>970</v>
      </c>
      <c r="B971">
        <v>25</v>
      </c>
      <c r="C971">
        <v>332</v>
      </c>
      <c r="D971">
        <v>3</v>
      </c>
      <c r="E971" s="35">
        <v>4980</v>
      </c>
      <c r="F971" s="48">
        <v>45164</v>
      </c>
      <c r="G971" t="s">
        <v>17</v>
      </c>
      <c r="H971">
        <v>153</v>
      </c>
      <c r="I971" t="str">
        <f>VLOOKUP(Продажи[[#This Row],[id товара]],Товары[],2,0)</f>
        <v>Чипсы</v>
      </c>
      <c r="J971" s="17">
        <f>AVERAGEIF(Продажи[Категория],Продажи[[#This Row],[Категория]],Продажи[цена за шт в рублях])</f>
        <v>273.72549019607845</v>
      </c>
      <c r="K971" s="16">
        <f>Продажи[[#This Row],[цена за шт в рублях]]/Продажи[[#This Row],[Средняя цена в категории за шт]]-1</f>
        <v>0.21289398280802274</v>
      </c>
      <c r="L971" t="str">
        <f>VLOOKUP(Продажи[[#This Row],[id товара]],Товары[],3,0)</f>
        <v>Русская картошка</v>
      </c>
      <c r="M971" s="32">
        <f>AVERAGEIFS(Продажи[цена за шт в рублях],Продажи[Категория],Продажи[[#This Row],[Категория]],Продажи[Поставщик],Продажи[[#This Row],[Поставщик]])</f>
        <v>241.83333333333334</v>
      </c>
      <c r="N971" s="16">
        <f>Продажи[[#This Row],[цена за шт в рублях]]/Продажи[[#This Row],[Средняя цена в категории за шт по поставщику]]-1</f>
        <v>0.37284631288766357</v>
      </c>
      <c r="O971" s="48">
        <f>VLOOKUP(Продажи[[#This Row],[id клиента]],клиенты!$A$2:$E$435,5,0)</f>
        <v>44802</v>
      </c>
      <c r="P971">
        <f>Продажи[[#This Row],[дата создания чека]]-Продажи[[#This Row],[Дата регистрации]]</f>
        <v>362</v>
      </c>
      <c r="Q971" t="str">
        <f>VLOOKUP(Продажи[[#This Row],[id клиента]],клиенты!$A$2:$G$435,7,0)</f>
        <v>Россия</v>
      </c>
      <c r="R971">
        <f>IF(COUNTIF($H$2:H971, H971)=1, 1, 0)</f>
        <v>0</v>
      </c>
      <c r="S971" t="str">
        <f>VLOOKUP(Продажи[[#This Row],[id клиента]],клиенты!$A$2:$D$435,4,0)</f>
        <v>нет</v>
      </c>
      <c r="T971" s="54">
        <f>VLOOKUP(Продажи[[#This Row],[id клиента]],клиенты!$A$2:$I$435,9,0)</f>
        <v>17.971252566735114</v>
      </c>
    </row>
    <row r="972" spans="1:20" x14ac:dyDescent="0.25">
      <c r="A972">
        <v>971</v>
      </c>
      <c r="B972">
        <v>236</v>
      </c>
      <c r="C972">
        <v>420</v>
      </c>
      <c r="D972">
        <v>5</v>
      </c>
      <c r="E972" s="35">
        <v>10500</v>
      </c>
      <c r="F972" s="48">
        <v>45260</v>
      </c>
      <c r="G972" t="s">
        <v>18</v>
      </c>
      <c r="H972">
        <v>34</v>
      </c>
      <c r="I972" t="str">
        <f>VLOOKUP(Продажи[[#This Row],[id товара]],Товары[],2,0)</f>
        <v>Печенье</v>
      </c>
      <c r="J972" s="17">
        <f>AVERAGEIF(Продажи[Категория],Продажи[[#This Row],[Категория]],Продажи[цена за шт в рублях])</f>
        <v>283.468085106383</v>
      </c>
      <c r="K972" s="16">
        <f>Продажи[[#This Row],[цена за шт в рублях]]/Продажи[[#This Row],[Средняя цена в категории за шт]]-1</f>
        <v>0.48164827741499661</v>
      </c>
      <c r="L972" t="str">
        <f>VLOOKUP(Продажи[[#This Row],[id товара]],Товары[],3,0)</f>
        <v>Посиделкино</v>
      </c>
      <c r="M972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972" s="16">
        <f>Продажи[[#This Row],[цена за шт в рублях]]/Продажи[[#This Row],[Средняя цена в категории за шт по поставщику]]-1</f>
        <v>0.30582249858677213</v>
      </c>
      <c r="O972" s="48">
        <f>VLOOKUP(Продажи[[#This Row],[id клиента]],клиенты!$A$2:$E$435,5,0)</f>
        <v>44654</v>
      </c>
      <c r="P972">
        <f>Продажи[[#This Row],[дата создания чека]]-Продажи[[#This Row],[Дата регистрации]]</f>
        <v>606</v>
      </c>
      <c r="Q972" t="str">
        <f>VLOOKUP(Продажи[[#This Row],[id клиента]],клиенты!$A$2:$G$435,7,0)</f>
        <v>Таджикистан</v>
      </c>
      <c r="R972">
        <f>IF(COUNTIF($H$2:H972, H972)=1, 1, 0)</f>
        <v>0</v>
      </c>
      <c r="S972" t="str">
        <f>VLOOKUP(Продажи[[#This Row],[id клиента]],клиенты!$A$2:$D$435,4,0)</f>
        <v>нет</v>
      </c>
      <c r="T972" s="54">
        <f>VLOOKUP(Продажи[[#This Row],[id клиента]],клиенты!$A$2:$I$435,9,0)</f>
        <v>19.909650924024639</v>
      </c>
    </row>
    <row r="973" spans="1:20" x14ac:dyDescent="0.25">
      <c r="A973">
        <v>972</v>
      </c>
      <c r="B973">
        <v>418</v>
      </c>
      <c r="C973">
        <v>139</v>
      </c>
      <c r="D973">
        <v>2</v>
      </c>
      <c r="E973" s="35">
        <v>1390</v>
      </c>
      <c r="F973" s="48">
        <v>45395</v>
      </c>
      <c r="G973" t="s">
        <v>25</v>
      </c>
      <c r="H973">
        <v>337</v>
      </c>
      <c r="I973" t="str">
        <f>VLOOKUP(Продажи[[#This Row],[id товара]],Товары[],2,0)</f>
        <v>Фрукты</v>
      </c>
      <c r="J973" s="17">
        <f>AVERAGEIF(Продажи[Категория],Продажи[[#This Row],[Категория]],Продажи[цена за шт в рублях])</f>
        <v>274.16279069767444</v>
      </c>
      <c r="K973" s="16">
        <f>Продажи[[#This Row],[цена за шт в рублях]]/Продажи[[#This Row],[Средняя цена в категории за шт]]-1</f>
        <v>-0.49300195097124444</v>
      </c>
      <c r="L973" t="str">
        <f>VLOOKUP(Продажи[[#This Row],[id товара]],Товары[],3,0)</f>
        <v>Green Garden</v>
      </c>
      <c r="M973" s="32">
        <f>AVERAGEIFS(Продажи[цена за шт в рублях],Продажи[Категория],Продажи[[#This Row],[Категория]],Продажи[Поставщик],Продажи[[#This Row],[Поставщик]])</f>
        <v>369.2</v>
      </c>
      <c r="N973" s="16">
        <f>Продажи[[#This Row],[цена за шт в рублях]]/Продажи[[#This Row],[Средняя цена в категории за шт по поставщику]]-1</f>
        <v>-0.62351029252437695</v>
      </c>
      <c r="O973" s="48">
        <f>VLOOKUP(Продажи[[#This Row],[id клиента]],клиенты!$A$2:$E$435,5,0)</f>
        <v>44875</v>
      </c>
      <c r="P973">
        <f>Продажи[[#This Row],[дата создания чека]]-Продажи[[#This Row],[Дата регистрации]]</f>
        <v>520</v>
      </c>
      <c r="Q973" t="str">
        <f>VLOOKUP(Продажи[[#This Row],[id клиента]],клиенты!$A$2:$G$435,7,0)</f>
        <v>Россия</v>
      </c>
      <c r="R973">
        <f>IF(COUNTIF($H$2:H973, H973)=1, 1, 0)</f>
        <v>0</v>
      </c>
      <c r="S973" t="str">
        <f>VLOOKUP(Продажи[[#This Row],[id клиента]],клиенты!$A$2:$D$435,4,0)</f>
        <v>да</v>
      </c>
      <c r="T973" s="54">
        <f>VLOOKUP(Продажи[[#This Row],[id клиента]],клиенты!$A$2:$I$435,9,0)</f>
        <v>17.084188911704313</v>
      </c>
    </row>
    <row r="974" spans="1:20" x14ac:dyDescent="0.25">
      <c r="A974">
        <v>973</v>
      </c>
      <c r="B974">
        <v>141</v>
      </c>
      <c r="C974">
        <v>112</v>
      </c>
      <c r="D974">
        <v>4</v>
      </c>
      <c r="E974" s="35">
        <v>2240</v>
      </c>
      <c r="F974" s="48">
        <v>45032</v>
      </c>
      <c r="G974" t="s">
        <v>21</v>
      </c>
      <c r="H974">
        <v>200</v>
      </c>
      <c r="I974" t="str">
        <f>VLOOKUP(Продажи[[#This Row],[id товара]],Товары[],2,0)</f>
        <v>Фрукты</v>
      </c>
      <c r="J974" s="17">
        <f>AVERAGEIF(Продажи[Категория],Продажи[[#This Row],[Категория]],Продажи[цена за шт в рублях])</f>
        <v>274.16279069767444</v>
      </c>
      <c r="K974" s="16">
        <f>Продажи[[#This Row],[цена за шт в рублях]]/Продажи[[#This Row],[Средняя цена в категории за шт]]-1</f>
        <v>-0.59148358639409615</v>
      </c>
      <c r="L974" t="str">
        <f>VLOOKUP(Продажи[[#This Row],[id товара]],Товары[],3,0)</f>
        <v>Фруктовый Рай</v>
      </c>
      <c r="M974" s="32">
        <f>AVERAGEIFS(Продажи[цена за шт в рублях],Продажи[Категория],Продажи[[#This Row],[Категория]],Продажи[Поставщик],Продажи[[#This Row],[Поставщик]])</f>
        <v>258.30769230769232</v>
      </c>
      <c r="N974" s="16">
        <f>Продажи[[#This Row],[цена за шт в рублях]]/Продажи[[#This Row],[Средняя цена в категории за шт по поставщику]]-1</f>
        <v>-0.56640857653365106</v>
      </c>
      <c r="O974" s="48">
        <f>VLOOKUP(Продажи[[#This Row],[id клиента]],клиенты!$A$2:$E$435,5,0)</f>
        <v>44783</v>
      </c>
      <c r="P974">
        <f>Продажи[[#This Row],[дата создания чека]]-Продажи[[#This Row],[Дата регистрации]]</f>
        <v>249</v>
      </c>
      <c r="Q974" t="str">
        <f>VLOOKUP(Продажи[[#This Row],[id клиента]],клиенты!$A$2:$G$435,7,0)</f>
        <v>Узбекистан</v>
      </c>
      <c r="R974">
        <f>IF(COUNTIF($H$2:H974, H974)=1, 1, 0)</f>
        <v>0</v>
      </c>
      <c r="S974" t="str">
        <f>VLOOKUP(Продажи[[#This Row],[id клиента]],клиенты!$A$2:$D$435,4,0)</f>
        <v>да</v>
      </c>
      <c r="T974" s="54">
        <f>VLOOKUP(Продажи[[#This Row],[id клиента]],клиенты!$A$2:$I$435,9,0)</f>
        <v>8.1806981519507183</v>
      </c>
    </row>
    <row r="975" spans="1:20" x14ac:dyDescent="0.25">
      <c r="A975">
        <v>974</v>
      </c>
      <c r="B975">
        <v>294</v>
      </c>
      <c r="C975">
        <v>485</v>
      </c>
      <c r="D975">
        <v>3</v>
      </c>
      <c r="E975" s="35">
        <v>7275</v>
      </c>
      <c r="F975" s="48">
        <v>45330</v>
      </c>
      <c r="G975" t="s">
        <v>26</v>
      </c>
      <c r="H975">
        <v>8</v>
      </c>
      <c r="I975" t="str">
        <f>VLOOKUP(Продажи[[#This Row],[id товара]],Товары[],2,0)</f>
        <v>Сок</v>
      </c>
      <c r="J975" s="17">
        <f>AVERAGEIF(Продажи[Категория],Продажи[[#This Row],[Категория]],Продажи[цена за шт в рублях])</f>
        <v>268.60344827586209</v>
      </c>
      <c r="K975" s="16">
        <f>Продажи[[#This Row],[цена за шт в рублях]]/Продажи[[#This Row],[Средняя цена в категории за шт]]-1</f>
        <v>0.80563579177097355</v>
      </c>
      <c r="L975" t="str">
        <f>VLOOKUP(Продажи[[#This Row],[id товара]],Товары[],3,0)</f>
        <v>Фруктовый сад</v>
      </c>
      <c r="M975" s="32">
        <f>AVERAGEIFS(Продажи[цена за шт в рублях],Продажи[Категория],Продажи[[#This Row],[Категория]],Продажи[Поставщик],Продажи[[#This Row],[Поставщик]])</f>
        <v>281.96875</v>
      </c>
      <c r="N975" s="16">
        <f>Продажи[[#This Row],[цена за шт в рублях]]/Продажи[[#This Row],[Средняя цена в категории за шт по поставщику]]-1</f>
        <v>0.72004876426909004</v>
      </c>
      <c r="O975" s="48">
        <f>VLOOKUP(Продажи[[#This Row],[id клиента]],клиенты!$A$2:$E$435,5,0)</f>
        <v>44883</v>
      </c>
      <c r="P975">
        <f>Продажи[[#This Row],[дата создания чека]]-Продажи[[#This Row],[Дата регистрации]]</f>
        <v>447</v>
      </c>
      <c r="Q975" t="str">
        <f>VLOOKUP(Продажи[[#This Row],[id клиента]],клиенты!$A$2:$G$435,7,0)</f>
        <v>Беларусь</v>
      </c>
      <c r="R975">
        <f>IF(COUNTIF($H$2:H975, H975)=1, 1, 0)</f>
        <v>0</v>
      </c>
      <c r="S975" t="str">
        <f>VLOOKUP(Продажи[[#This Row],[id клиента]],клиенты!$A$2:$D$435,4,0)</f>
        <v>да</v>
      </c>
      <c r="T975" s="54">
        <f>VLOOKUP(Продажи[[#This Row],[id клиента]],клиенты!$A$2:$I$435,9,0)</f>
        <v>14.685831622176591</v>
      </c>
    </row>
    <row r="976" spans="1:20" x14ac:dyDescent="0.25">
      <c r="A976">
        <v>975</v>
      </c>
      <c r="B976">
        <v>497</v>
      </c>
      <c r="C976">
        <v>120</v>
      </c>
      <c r="D976">
        <v>1</v>
      </c>
      <c r="E976" s="35">
        <v>600</v>
      </c>
      <c r="F976" s="48">
        <v>45284</v>
      </c>
      <c r="G976" t="s">
        <v>22</v>
      </c>
      <c r="H976">
        <v>280</v>
      </c>
      <c r="I976" t="str">
        <f>VLOOKUP(Продажи[[#This Row],[id товара]],Товары[],2,0)</f>
        <v>Конфеты</v>
      </c>
      <c r="J976" s="17">
        <f>AVERAGEIF(Продажи[Категория],Продажи[[#This Row],[Категория]],Продажи[цена за шт в рублях])</f>
        <v>267.85483870967744</v>
      </c>
      <c r="K976" s="16">
        <f>Продажи[[#This Row],[цена за шт в рублях]]/Продажи[[#This Row],[Средняя цена в категории за шт]]-1</f>
        <v>-0.5519961462034082</v>
      </c>
      <c r="L976" t="str">
        <f>VLOOKUP(Продажи[[#This Row],[id товара]],Товары[],3,0)</f>
        <v>Бабаевский</v>
      </c>
      <c r="M976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976" s="16">
        <f>Продажи[[#This Row],[цена за шт в рублях]]/Продажи[[#This Row],[Средняя цена в категории за шт по поставщику]]-1</f>
        <v>-0.52049726209856439</v>
      </c>
      <c r="O976" s="48">
        <f>VLOOKUP(Продажи[[#This Row],[id клиента]],клиенты!$A$2:$E$435,5,0)</f>
        <v>44563</v>
      </c>
      <c r="P976">
        <f>Продажи[[#This Row],[дата создания чека]]-Продажи[[#This Row],[Дата регистрации]]</f>
        <v>721</v>
      </c>
      <c r="Q976" t="str">
        <f>VLOOKUP(Продажи[[#This Row],[id клиента]],клиенты!$A$2:$G$435,7,0)</f>
        <v>Россия</v>
      </c>
      <c r="R976">
        <f>IF(COUNTIF($H$2:H976, H976)=1, 1, 0)</f>
        <v>0</v>
      </c>
      <c r="S976" t="str">
        <f>VLOOKUP(Продажи[[#This Row],[id клиента]],клиенты!$A$2:$D$435,4,0)</f>
        <v>нет</v>
      </c>
      <c r="T976" s="54">
        <f>VLOOKUP(Продажи[[#This Row],[id клиента]],клиенты!$A$2:$I$435,9,0)</f>
        <v>23.687885010266939</v>
      </c>
    </row>
    <row r="977" spans="1:20" x14ac:dyDescent="0.25">
      <c r="A977">
        <v>976</v>
      </c>
      <c r="B977">
        <v>359</v>
      </c>
      <c r="C977">
        <v>359</v>
      </c>
      <c r="D977">
        <v>4</v>
      </c>
      <c r="E977" s="35">
        <v>7180</v>
      </c>
      <c r="F977" s="48">
        <v>45382</v>
      </c>
      <c r="G977" t="s">
        <v>13</v>
      </c>
      <c r="H977">
        <v>94</v>
      </c>
      <c r="I977" t="str">
        <f>VLOOKUP(Продажи[[#This Row],[id товара]],Товары[],2,0)</f>
        <v>Мясо</v>
      </c>
      <c r="J977" s="17">
        <f>AVERAGEIF(Продажи[Категория],Продажи[[#This Row],[Категория]],Продажи[цена за шт в рублях])</f>
        <v>271.74545454545455</v>
      </c>
      <c r="K977" s="16">
        <f>Продажи[[#This Row],[цена за шт в рублях]]/Продажи[[#This Row],[Средняя цена в категории за шт]]-1</f>
        <v>0.32108925465007365</v>
      </c>
      <c r="L977" t="str">
        <f>VLOOKUP(Продажи[[#This Row],[id товара]],Товары[],3,0)</f>
        <v>Мираторг</v>
      </c>
      <c r="M977" s="32">
        <f>AVERAGEIFS(Продажи[цена за шт в рублях],Продажи[Категория],Продажи[[#This Row],[Категория]],Продажи[Поставщик],Продажи[[#This Row],[Поставщик]])</f>
        <v>316.58333333333331</v>
      </c>
      <c r="N977" s="16">
        <f>Продажи[[#This Row],[цена за шт в рублях]]/Продажи[[#This Row],[Средняя цена в категории за шт по поставщику]]-1</f>
        <v>0.13398262700710717</v>
      </c>
      <c r="O977" s="48">
        <f>VLOOKUP(Продажи[[#This Row],[id клиента]],клиенты!$A$2:$E$435,5,0)</f>
        <v>44723</v>
      </c>
      <c r="P977">
        <f>Продажи[[#This Row],[дата создания чека]]-Продажи[[#This Row],[Дата регистрации]]</f>
        <v>659</v>
      </c>
      <c r="Q977" t="str">
        <f>VLOOKUP(Продажи[[#This Row],[id клиента]],клиенты!$A$2:$G$435,7,0)</f>
        <v>Украина</v>
      </c>
      <c r="R977">
        <f>IF(COUNTIF($H$2:H977, H977)=1, 1, 0)</f>
        <v>1</v>
      </c>
      <c r="S977" t="str">
        <f>VLOOKUP(Продажи[[#This Row],[id клиента]],клиенты!$A$2:$D$435,4,0)</f>
        <v>да</v>
      </c>
      <c r="T977" s="54">
        <f>VLOOKUP(Продажи[[#This Row],[id клиента]],клиенты!$A$2:$I$435,9,0)</f>
        <v>21.650924024640656</v>
      </c>
    </row>
    <row r="978" spans="1:20" x14ac:dyDescent="0.25">
      <c r="A978">
        <v>977</v>
      </c>
      <c r="B978">
        <v>175</v>
      </c>
      <c r="C978">
        <v>198</v>
      </c>
      <c r="D978">
        <v>3</v>
      </c>
      <c r="E978" s="35">
        <v>2970</v>
      </c>
      <c r="F978" s="48">
        <v>45145</v>
      </c>
      <c r="G978" t="s">
        <v>11</v>
      </c>
      <c r="H978">
        <v>331</v>
      </c>
      <c r="I978" t="str">
        <f>VLOOKUP(Продажи[[#This Row],[id товара]],Товары[],2,0)</f>
        <v>Овощи</v>
      </c>
      <c r="J978" s="17">
        <f>AVERAGEIF(Продажи[Категория],Продажи[[#This Row],[Категория]],Продажи[цена за шт в рублях])</f>
        <v>250.48780487804879</v>
      </c>
      <c r="K978" s="16">
        <f>Продажи[[#This Row],[цена за шт в рублях]]/Продажи[[#This Row],[Средняя цена в категории за шт]]-1</f>
        <v>-0.2095423563777995</v>
      </c>
      <c r="L978" t="str">
        <f>VLOOKUP(Продажи[[#This Row],[id товара]],Товары[],3,0)</f>
        <v>Семко</v>
      </c>
      <c r="M978" s="32">
        <f>AVERAGEIFS(Продажи[цена за шт в рублях],Продажи[Категория],Продажи[[#This Row],[Категория]],Продажи[Поставщик],Продажи[[#This Row],[Поставщик]])</f>
        <v>208</v>
      </c>
      <c r="N978" s="16">
        <f>Продажи[[#This Row],[цена за шт в рублях]]/Продажи[[#This Row],[Средняя цена в категории за шт по поставщику]]-1</f>
        <v>-4.8076923076923128E-2</v>
      </c>
      <c r="O978" s="48">
        <f>VLOOKUP(Продажи[[#This Row],[id клиента]],клиенты!$A$2:$E$435,5,0)</f>
        <v>44813</v>
      </c>
      <c r="P978">
        <f>Продажи[[#This Row],[дата создания чека]]-Продажи[[#This Row],[Дата регистрации]]</f>
        <v>332</v>
      </c>
      <c r="Q978" t="str">
        <f>VLOOKUP(Продажи[[#This Row],[id клиента]],клиенты!$A$2:$G$435,7,0)</f>
        <v>Узбекистан</v>
      </c>
      <c r="R978">
        <f>IF(COUNTIF($H$2:H978, H978)=1, 1, 0)</f>
        <v>0</v>
      </c>
      <c r="S978" t="str">
        <f>VLOOKUP(Продажи[[#This Row],[id клиента]],клиенты!$A$2:$D$435,4,0)</f>
        <v>нет</v>
      </c>
      <c r="T978" s="54">
        <f>VLOOKUP(Продажи[[#This Row],[id клиента]],клиенты!$A$2:$I$435,9,0)</f>
        <v>11.564681724845997</v>
      </c>
    </row>
    <row r="979" spans="1:20" x14ac:dyDescent="0.25">
      <c r="A979">
        <v>978</v>
      </c>
      <c r="B979">
        <v>236</v>
      </c>
      <c r="C979">
        <v>363</v>
      </c>
      <c r="D979">
        <v>4</v>
      </c>
      <c r="E979" s="35">
        <v>7260</v>
      </c>
      <c r="F979" s="48">
        <v>45168</v>
      </c>
      <c r="G979" t="s">
        <v>9</v>
      </c>
      <c r="H979">
        <v>405</v>
      </c>
      <c r="I979" t="str">
        <f>VLOOKUP(Продажи[[#This Row],[id товара]],Товары[],2,0)</f>
        <v>Печенье</v>
      </c>
      <c r="J979" s="17">
        <f>AVERAGEIF(Продажи[Категория],Продажи[[#This Row],[Категория]],Продажи[цена за шт в рублях])</f>
        <v>283.468085106383</v>
      </c>
      <c r="K979" s="16">
        <f>Продажи[[#This Row],[цена за шт в рублях]]/Продажи[[#This Row],[Средняя цена в категории за шт]]-1</f>
        <v>0.28056743976581844</v>
      </c>
      <c r="L979" t="str">
        <f>VLOOKUP(Продажи[[#This Row],[id товара]],Товары[],3,0)</f>
        <v>Посиделкино</v>
      </c>
      <c r="M979" s="32">
        <f>AVERAGEIFS(Продажи[цена за шт в рублях],Продажи[Категория],Продажи[[#This Row],[Категория]],Продажи[Поставщик],Продажи[[#This Row],[Поставщик]])</f>
        <v>321.63636363636363</v>
      </c>
      <c r="N979" s="16">
        <f>Продажи[[#This Row],[цена за шт в рублях]]/Продажи[[#This Row],[Средняя цена в категории за шт по поставщику]]-1</f>
        <v>0.12860373092142452</v>
      </c>
      <c r="O979" s="48">
        <f>VLOOKUP(Продажи[[#This Row],[id клиента]],клиенты!$A$2:$E$435,5,0)</f>
        <v>44798</v>
      </c>
      <c r="P979">
        <f>Продажи[[#This Row],[дата создания чека]]-Продажи[[#This Row],[Дата регистрации]]</f>
        <v>370</v>
      </c>
      <c r="Q979" t="str">
        <f>VLOOKUP(Продажи[[#This Row],[id клиента]],клиенты!$A$2:$G$435,7,0)</f>
        <v>Украина</v>
      </c>
      <c r="R979">
        <f>IF(COUNTIF($H$2:H979, H979)=1, 1, 0)</f>
        <v>0</v>
      </c>
      <c r="S979" t="str">
        <f>VLOOKUP(Продажи[[#This Row],[id клиента]],клиенты!$A$2:$D$435,4,0)</f>
        <v>нет</v>
      </c>
      <c r="T979" s="54">
        <f>VLOOKUP(Продажи[[#This Row],[id клиента]],клиенты!$A$2:$I$435,9,0)</f>
        <v>15.211498973305956</v>
      </c>
    </row>
    <row r="980" spans="1:20" x14ac:dyDescent="0.25">
      <c r="A980">
        <v>979</v>
      </c>
      <c r="B980">
        <v>195</v>
      </c>
      <c r="C980">
        <v>103</v>
      </c>
      <c r="D980">
        <v>1</v>
      </c>
      <c r="E980" s="35">
        <v>515</v>
      </c>
      <c r="F980" s="48">
        <v>44997</v>
      </c>
      <c r="G980" t="s">
        <v>15</v>
      </c>
      <c r="H980">
        <v>42</v>
      </c>
      <c r="I980" t="str">
        <f>VLOOKUP(Продажи[[#This Row],[id товара]],Товары[],2,0)</f>
        <v>Хлеб</v>
      </c>
      <c r="J980" s="17">
        <f>AVERAGEIF(Продажи[Категория],Продажи[[#This Row],[Категория]],Продажи[цена за шт в рублях])</f>
        <v>300.31818181818181</v>
      </c>
      <c r="K980" s="16">
        <f>Продажи[[#This Row],[цена за шт в рублях]]/Продажи[[#This Row],[Средняя цена в категории за шт]]-1</f>
        <v>-0.65703042227940056</v>
      </c>
      <c r="L980" t="str">
        <f>VLOOKUP(Продажи[[#This Row],[id товара]],Товары[],3,0)</f>
        <v>Каравай</v>
      </c>
      <c r="M980" s="32">
        <f>AVERAGEIFS(Продажи[цена за шт в рублях],Продажи[Категория],Продажи[[#This Row],[Категория]],Продажи[Поставщик],Продажи[[#This Row],[Поставщик]])</f>
        <v>331.16666666666669</v>
      </c>
      <c r="N980" s="16">
        <f>Продажи[[#This Row],[цена за шт в рублях]]/Продажи[[#This Row],[Средняя цена в категории за шт по поставщику]]-1</f>
        <v>-0.68897835933568197</v>
      </c>
      <c r="O980" s="48">
        <f>VLOOKUP(Продажи[[#This Row],[id клиента]],клиенты!$A$2:$E$435,5,0)</f>
        <v>44783</v>
      </c>
      <c r="P980">
        <f>Продажи[[#This Row],[дата создания чека]]-Продажи[[#This Row],[Дата регистрации]]</f>
        <v>214</v>
      </c>
      <c r="Q980" t="str">
        <f>VLOOKUP(Продажи[[#This Row],[id клиента]],клиенты!$A$2:$G$435,7,0)</f>
        <v>Таджикистан</v>
      </c>
      <c r="R980">
        <f>IF(COUNTIF($H$2:H980, H980)=1, 1, 0)</f>
        <v>0</v>
      </c>
      <c r="S980" t="str">
        <f>VLOOKUP(Продажи[[#This Row],[id клиента]],клиенты!$A$2:$D$435,4,0)</f>
        <v>да</v>
      </c>
      <c r="T980" s="54">
        <f>VLOOKUP(Продажи[[#This Row],[id клиента]],клиенты!$A$2:$I$435,9,0)</f>
        <v>19.351129363449694</v>
      </c>
    </row>
    <row r="981" spans="1:20" x14ac:dyDescent="0.25">
      <c r="A981">
        <v>980</v>
      </c>
      <c r="B981">
        <v>364</v>
      </c>
      <c r="C981">
        <v>401</v>
      </c>
      <c r="D981">
        <v>2</v>
      </c>
      <c r="E981" s="35">
        <v>4010</v>
      </c>
      <c r="F981" s="48">
        <v>45081</v>
      </c>
      <c r="G981" t="s">
        <v>25</v>
      </c>
      <c r="H981">
        <v>271</v>
      </c>
      <c r="I981" t="str">
        <f>VLOOKUP(Продажи[[#This Row],[id товара]],Товары[],2,0)</f>
        <v>Сахар</v>
      </c>
      <c r="J981" s="17">
        <f>AVERAGEIF(Продажи[Категория],Продажи[[#This Row],[Категория]],Продажи[цена за шт в рублях])</f>
        <v>252.76271186440678</v>
      </c>
      <c r="K981" s="16">
        <f>Продажи[[#This Row],[цена за шт в рублях]]/Продажи[[#This Row],[Средняя цена в категории за шт]]-1</f>
        <v>0.58646818212298002</v>
      </c>
      <c r="L981" t="str">
        <f>VLOOKUP(Продажи[[#This Row],[id товара]],Товары[],3,0)</f>
        <v>Русский сахар</v>
      </c>
      <c r="M981" s="32">
        <f>AVERAGEIFS(Продажи[цена за шт в рублях],Продажи[Категория],Продажи[[#This Row],[Категория]],Продажи[Поставщик],Продажи[[#This Row],[Поставщик]])</f>
        <v>293.41176470588238</v>
      </c>
      <c r="N981" s="16">
        <f>Продажи[[#This Row],[цена за шт в рублях]]/Продажи[[#This Row],[Средняя цена в категории за шт по поставщику]]-1</f>
        <v>0.36668003207698474</v>
      </c>
      <c r="O981" s="48">
        <f>VLOOKUP(Продажи[[#This Row],[id клиента]],клиенты!$A$2:$E$435,5,0)</f>
        <v>44892</v>
      </c>
      <c r="P981">
        <f>Продажи[[#This Row],[дата создания чека]]-Продажи[[#This Row],[Дата регистрации]]</f>
        <v>189</v>
      </c>
      <c r="Q981" t="str">
        <f>VLOOKUP(Продажи[[#This Row],[id клиента]],клиенты!$A$2:$G$435,7,0)</f>
        <v>Беларусь</v>
      </c>
      <c r="R981">
        <f>IF(COUNTIF($H$2:H981, H981)=1, 1, 0)</f>
        <v>0</v>
      </c>
      <c r="S981" t="str">
        <f>VLOOKUP(Продажи[[#This Row],[id клиента]],клиенты!$A$2:$D$435,4,0)</f>
        <v>нет</v>
      </c>
      <c r="T981" s="54">
        <f>VLOOKUP(Продажи[[#This Row],[id клиента]],клиенты!$A$2:$I$435,9,0)</f>
        <v>16.591375770020534</v>
      </c>
    </row>
    <row r="982" spans="1:20" x14ac:dyDescent="0.25">
      <c r="A982">
        <v>981</v>
      </c>
      <c r="B982">
        <v>347</v>
      </c>
      <c r="C982">
        <v>139</v>
      </c>
      <c r="D982">
        <v>1</v>
      </c>
      <c r="E982" s="35">
        <v>695</v>
      </c>
      <c r="F982" s="48">
        <v>45318</v>
      </c>
      <c r="G982" t="s">
        <v>21</v>
      </c>
      <c r="H982">
        <v>56</v>
      </c>
      <c r="I982" t="str">
        <f>VLOOKUP(Продажи[[#This Row],[id товара]],Товары[],2,0)</f>
        <v>Макароны</v>
      </c>
      <c r="J982" s="17">
        <f>AVERAGEIF(Продажи[Категория],Продажи[[#This Row],[Категория]],Продажи[цена за шт в рублях])</f>
        <v>265.47674418604652</v>
      </c>
      <c r="K982" s="16">
        <f>Продажи[[#This Row],[цена за шт в рублях]]/Продажи[[#This Row],[Средняя цена в категории за шт]]-1</f>
        <v>-0.47641364811002584</v>
      </c>
      <c r="L982" t="str">
        <f>VLOOKUP(Продажи[[#This Row],[id товара]],Товары[],3,0)</f>
        <v>Паста Зара</v>
      </c>
      <c r="M982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982" s="16">
        <f>Продажи[[#This Row],[цена за шт в рублях]]/Продажи[[#This Row],[Средняя цена в категории за шт по поставщику]]-1</f>
        <v>-0.49760672071896062</v>
      </c>
      <c r="O982" s="48">
        <f>VLOOKUP(Продажи[[#This Row],[id клиента]],клиенты!$A$2:$E$435,5,0)</f>
        <v>44662</v>
      </c>
      <c r="P982">
        <f>Продажи[[#This Row],[дата создания чека]]-Продажи[[#This Row],[Дата регистрации]]</f>
        <v>656</v>
      </c>
      <c r="Q982" t="str">
        <f>VLOOKUP(Продажи[[#This Row],[id клиента]],клиенты!$A$2:$G$435,7,0)</f>
        <v>Таджикистан</v>
      </c>
      <c r="R982">
        <f>IF(COUNTIF($H$2:H982, H982)=1, 1, 0)</f>
        <v>0</v>
      </c>
      <c r="S982" t="str">
        <f>VLOOKUP(Продажи[[#This Row],[id клиента]],клиенты!$A$2:$D$435,4,0)</f>
        <v>нет</v>
      </c>
      <c r="T982" s="54">
        <f>VLOOKUP(Продажи[[#This Row],[id клиента]],клиенты!$A$2:$I$435,9,0)</f>
        <v>23.753593429158112</v>
      </c>
    </row>
    <row r="983" spans="1:20" x14ac:dyDescent="0.25">
      <c r="A983">
        <v>982</v>
      </c>
      <c r="B983">
        <v>149</v>
      </c>
      <c r="C983">
        <v>468</v>
      </c>
      <c r="D983">
        <v>1</v>
      </c>
      <c r="E983" s="35">
        <v>2340</v>
      </c>
      <c r="F983" s="48">
        <v>45377</v>
      </c>
      <c r="G983" t="s">
        <v>10</v>
      </c>
      <c r="H983">
        <v>427</v>
      </c>
      <c r="I983" t="str">
        <f>VLOOKUP(Продажи[[#This Row],[id товара]],Товары[],2,0)</f>
        <v>Конфеты</v>
      </c>
      <c r="J983" s="17">
        <f>AVERAGEIF(Продажи[Категория],Продажи[[#This Row],[Категория]],Продажи[цена за шт в рублях])</f>
        <v>267.85483870967744</v>
      </c>
      <c r="K983" s="16">
        <f>Продажи[[#This Row],[цена за шт в рублях]]/Продажи[[#This Row],[Средняя цена в категории за шт]]-1</f>
        <v>0.74721502980670795</v>
      </c>
      <c r="L983" t="str">
        <f>VLOOKUP(Продажи[[#This Row],[id товара]],Товары[],3,0)</f>
        <v>Бабаевский</v>
      </c>
      <c r="M983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983" s="16">
        <f>Продажи[[#This Row],[цена за шт в рублях]]/Продажи[[#This Row],[Средняя цена в категории за шт по поставщику]]-1</f>
        <v>0.87006067781559859</v>
      </c>
      <c r="O983" s="48">
        <f>VLOOKUP(Продажи[[#This Row],[id клиента]],клиенты!$A$2:$E$435,5,0)</f>
        <v>44834</v>
      </c>
      <c r="P983">
        <f>Продажи[[#This Row],[дата создания чека]]-Продажи[[#This Row],[Дата регистрации]]</f>
        <v>543</v>
      </c>
      <c r="Q983" t="str">
        <f>VLOOKUP(Продажи[[#This Row],[id клиента]],клиенты!$A$2:$G$435,7,0)</f>
        <v>Россия</v>
      </c>
      <c r="R983">
        <f>IF(COUNTIF($H$2:H983, H983)=1, 1, 0)</f>
        <v>1</v>
      </c>
      <c r="S983" t="str">
        <f>VLOOKUP(Продажи[[#This Row],[id клиента]],клиенты!$A$2:$D$435,4,0)</f>
        <v>нет</v>
      </c>
      <c r="T983" s="54">
        <f>VLOOKUP(Продажи[[#This Row],[id клиента]],клиенты!$A$2:$I$435,9,0)</f>
        <v>17.839835728952771</v>
      </c>
    </row>
    <row r="984" spans="1:20" x14ac:dyDescent="0.25">
      <c r="A984">
        <v>983</v>
      </c>
      <c r="B984">
        <v>384</v>
      </c>
      <c r="C984">
        <v>100</v>
      </c>
      <c r="D984">
        <v>4</v>
      </c>
      <c r="E984" s="35">
        <v>2000</v>
      </c>
      <c r="F984" s="48">
        <v>45318</v>
      </c>
      <c r="G984" t="s">
        <v>11</v>
      </c>
      <c r="H984">
        <v>323</v>
      </c>
      <c r="I984" t="str">
        <f>VLOOKUP(Продажи[[#This Row],[id товара]],Товары[],2,0)</f>
        <v>Сахар</v>
      </c>
      <c r="J984" s="17">
        <f>AVERAGEIF(Продажи[Категория],Продажи[[#This Row],[Категория]],Продажи[цена за шт в рублях])</f>
        <v>252.76271186440678</v>
      </c>
      <c r="K984" s="16">
        <f>Продажи[[#This Row],[цена за шт в рублях]]/Продажи[[#This Row],[Средняя цена в категории за шт]]-1</f>
        <v>-0.60437202440823445</v>
      </c>
      <c r="L984" t="str">
        <f>VLOOKUP(Продажи[[#This Row],[id товара]],Товары[],3,0)</f>
        <v>Сладов</v>
      </c>
      <c r="M984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984" s="16">
        <f>Продажи[[#This Row],[цена за шт в рублях]]/Продажи[[#This Row],[Средняя цена в категории за шт по поставщику]]-1</f>
        <v>-0.58379578246392905</v>
      </c>
      <c r="O984" s="48">
        <f>VLOOKUP(Продажи[[#This Row],[id клиента]],клиенты!$A$2:$E$435,5,0)</f>
        <v>44821</v>
      </c>
      <c r="P984">
        <f>Продажи[[#This Row],[дата создания чека]]-Продажи[[#This Row],[Дата регистрации]]</f>
        <v>497</v>
      </c>
      <c r="Q984" t="str">
        <f>VLOOKUP(Продажи[[#This Row],[id клиента]],клиенты!$A$2:$G$435,7,0)</f>
        <v>Таджикистан</v>
      </c>
      <c r="R984">
        <f>IF(COUNTIF($H$2:H984, H984)=1, 1, 0)</f>
        <v>0</v>
      </c>
      <c r="S984" t="str">
        <f>VLOOKUP(Продажи[[#This Row],[id клиента]],клиенты!$A$2:$D$435,4,0)</f>
        <v>да</v>
      </c>
      <c r="T984" s="54">
        <f>VLOOKUP(Продажи[[#This Row],[id клиента]],клиенты!$A$2:$I$435,9,0)</f>
        <v>18.759753593429156</v>
      </c>
    </row>
    <row r="985" spans="1:20" x14ac:dyDescent="0.25">
      <c r="A985">
        <v>984</v>
      </c>
      <c r="B985">
        <v>404</v>
      </c>
      <c r="C985">
        <v>304</v>
      </c>
      <c r="D985">
        <v>5</v>
      </c>
      <c r="E985" s="35">
        <v>7600</v>
      </c>
      <c r="F985" s="48">
        <v>45288</v>
      </c>
      <c r="G985" t="s">
        <v>11</v>
      </c>
      <c r="H985">
        <v>17</v>
      </c>
      <c r="I985" t="str">
        <f>VLOOKUP(Продажи[[#This Row],[id товара]],Товары[],2,0)</f>
        <v>Йогурт</v>
      </c>
      <c r="J985" s="17">
        <f>AVERAGEIF(Продажи[Категория],Продажи[[#This Row],[Категория]],Продажи[цена за шт в рублях])</f>
        <v>263.25423728813558</v>
      </c>
      <c r="K985" s="16">
        <f>Продажи[[#This Row],[цена за шт в рублях]]/Продажи[[#This Row],[Средняя цена в категории за шт]]-1</f>
        <v>0.15477723409734745</v>
      </c>
      <c r="L985" t="str">
        <f>VLOOKUP(Продажи[[#This Row],[id товара]],Товары[],3,0)</f>
        <v>Ростагроэкспорт</v>
      </c>
      <c r="M985" s="32">
        <f>AVERAGEIFS(Продажи[цена за шт в рублях],Продажи[Категория],Продажи[[#This Row],[Категория]],Продажи[Поставщик],Продажи[[#This Row],[Поставщик]])</f>
        <v>257.78260869565219</v>
      </c>
      <c r="N985" s="16">
        <f>Продажи[[#This Row],[цена за шт в рублях]]/Продажи[[#This Row],[Средняя цена в категории за шт по поставщику]]-1</f>
        <v>0.17928824422330902</v>
      </c>
      <c r="O985" s="48">
        <f>VLOOKUP(Продажи[[#This Row],[id клиента]],клиенты!$A$2:$E$435,5,0)</f>
        <v>44877</v>
      </c>
      <c r="P985">
        <f>Продажи[[#This Row],[дата создания чека]]-Продажи[[#This Row],[Дата регистрации]]</f>
        <v>411</v>
      </c>
      <c r="Q985" t="str">
        <f>VLOOKUP(Продажи[[#This Row],[id клиента]],клиенты!$A$2:$G$435,7,0)</f>
        <v>Таджикистан</v>
      </c>
      <c r="R985">
        <f>IF(COUNTIF($H$2:H985, H985)=1, 1, 0)</f>
        <v>0</v>
      </c>
      <c r="S985" t="str">
        <f>VLOOKUP(Продажи[[#This Row],[id клиента]],клиенты!$A$2:$D$435,4,0)</f>
        <v>нет</v>
      </c>
      <c r="T985" s="54">
        <f>VLOOKUP(Продажи[[#This Row],[id клиента]],клиенты!$A$2:$I$435,9,0)</f>
        <v>13.503080082135524</v>
      </c>
    </row>
    <row r="986" spans="1:20" x14ac:dyDescent="0.25">
      <c r="A986">
        <v>985</v>
      </c>
      <c r="B986">
        <v>469</v>
      </c>
      <c r="C986">
        <v>357</v>
      </c>
      <c r="D986">
        <v>4</v>
      </c>
      <c r="E986" s="35">
        <v>7140</v>
      </c>
      <c r="F986" s="48">
        <v>45377</v>
      </c>
      <c r="G986" t="s">
        <v>24</v>
      </c>
      <c r="H986">
        <v>165</v>
      </c>
      <c r="I986" t="str">
        <f>VLOOKUP(Продажи[[#This Row],[id товара]],Товары[],2,0)</f>
        <v>Сахар</v>
      </c>
      <c r="J986" s="17">
        <f>AVERAGEIF(Продажи[Категория],Продажи[[#This Row],[Категория]],Продажи[цена за шт в рублях])</f>
        <v>252.76271186440678</v>
      </c>
      <c r="K986" s="16">
        <f>Продажи[[#This Row],[цена за шт в рублях]]/Продажи[[#This Row],[Средняя цена в категории за шт]]-1</f>
        <v>0.41239187286260304</v>
      </c>
      <c r="L986" t="str">
        <f>VLOOKUP(Продажи[[#This Row],[id товара]],Товары[],3,0)</f>
        <v>Сладов</v>
      </c>
      <c r="M986" s="32">
        <f>AVERAGEIFS(Продажи[цена за шт в рублях],Продажи[Категория],Продажи[[#This Row],[Категория]],Продажи[Поставщик],Продажи[[#This Row],[Поставщик]])</f>
        <v>240.26666666666668</v>
      </c>
      <c r="N986" s="16">
        <f>Продажи[[#This Row],[цена за шт в рублях]]/Продажи[[#This Row],[Средняя цена в категории за шт по поставщику]]-1</f>
        <v>0.48584905660377342</v>
      </c>
      <c r="O986" s="48">
        <f>VLOOKUP(Продажи[[#This Row],[id клиента]],клиенты!$A$2:$E$435,5,0)</f>
        <v>44599</v>
      </c>
      <c r="P986">
        <f>Продажи[[#This Row],[дата создания чека]]-Продажи[[#This Row],[Дата регистрации]]</f>
        <v>778</v>
      </c>
      <c r="Q986" t="str">
        <f>VLOOKUP(Продажи[[#This Row],[id клиента]],клиенты!$A$2:$G$435,7,0)</f>
        <v>Таджикистан</v>
      </c>
      <c r="R986">
        <f>IF(COUNTIF($H$2:H986, H986)=1, 1, 0)</f>
        <v>0</v>
      </c>
      <c r="S986" t="str">
        <f>VLOOKUP(Продажи[[#This Row],[id клиента]],клиенты!$A$2:$D$435,4,0)</f>
        <v>да</v>
      </c>
      <c r="T986" s="54">
        <f>VLOOKUP(Продажи[[#This Row],[id клиента]],клиенты!$A$2:$I$435,9,0)</f>
        <v>25.560574948665298</v>
      </c>
    </row>
    <row r="987" spans="1:20" x14ac:dyDescent="0.25">
      <c r="A987">
        <v>986</v>
      </c>
      <c r="B987">
        <v>134</v>
      </c>
      <c r="C987">
        <v>89</v>
      </c>
      <c r="D987">
        <v>5</v>
      </c>
      <c r="E987" s="35">
        <v>2225</v>
      </c>
      <c r="F987" s="48">
        <v>44983</v>
      </c>
      <c r="G987" t="s">
        <v>27</v>
      </c>
      <c r="H987">
        <v>403</v>
      </c>
      <c r="I987" t="str">
        <f>VLOOKUP(Продажи[[#This Row],[id товара]],Товары[],2,0)</f>
        <v>Рыба</v>
      </c>
      <c r="J987" s="17">
        <f>AVERAGEIF(Продажи[Категория],Продажи[[#This Row],[Категория]],Продажи[цена за шт в рублях])</f>
        <v>258.5128205128205</v>
      </c>
      <c r="K987" s="16">
        <f>Продажи[[#This Row],[цена за шт в рублях]]/Продажи[[#This Row],[Средняя цена в категории за шт]]-1</f>
        <v>-0.65572307081928183</v>
      </c>
      <c r="L987" t="str">
        <f>VLOOKUP(Продажи[[#This Row],[id товара]],Товары[],3,0)</f>
        <v>Меридиан</v>
      </c>
      <c r="M987" s="32">
        <f>AVERAGEIFS(Продажи[цена за шт в рублях],Продажи[Категория],Продажи[[#This Row],[Категория]],Продажи[Поставщик],Продажи[[#This Row],[Поставщик]])</f>
        <v>260.64705882352939</v>
      </c>
      <c r="N987" s="16">
        <f>Продажи[[#This Row],[цена за шт в рублях]]/Продажи[[#This Row],[Средняя цена в категории за шт по поставщику]]-1</f>
        <v>-0.6585420898217107</v>
      </c>
      <c r="O987" s="48">
        <f>VLOOKUP(Продажи[[#This Row],[id клиента]],клиенты!$A$2:$E$435,5,0)</f>
        <v>44594</v>
      </c>
      <c r="P987">
        <f>Продажи[[#This Row],[дата создания чека]]-Продажи[[#This Row],[Дата регистрации]]</f>
        <v>389</v>
      </c>
      <c r="Q987" t="str">
        <f>VLOOKUP(Продажи[[#This Row],[id клиента]],клиенты!$A$2:$G$435,7,0)</f>
        <v>Россия</v>
      </c>
      <c r="R987">
        <f>IF(COUNTIF($H$2:H987, H987)=1, 1, 0)</f>
        <v>0</v>
      </c>
      <c r="S987" t="str">
        <f>VLOOKUP(Продажи[[#This Row],[id клиента]],клиенты!$A$2:$D$435,4,0)</f>
        <v>нет</v>
      </c>
      <c r="T987" s="54">
        <f>VLOOKUP(Продажи[[#This Row],[id клиента]],клиенты!$A$2:$I$435,9,0)</f>
        <v>12.780287474332649</v>
      </c>
    </row>
    <row r="988" spans="1:20" x14ac:dyDescent="0.25">
      <c r="A988">
        <v>987</v>
      </c>
      <c r="B988">
        <v>361</v>
      </c>
      <c r="C988">
        <v>283</v>
      </c>
      <c r="D988">
        <v>5</v>
      </c>
      <c r="E988" s="35">
        <v>7075</v>
      </c>
      <c r="F988" s="48">
        <v>45133</v>
      </c>
      <c r="G988" t="s">
        <v>8</v>
      </c>
      <c r="H988">
        <v>274</v>
      </c>
      <c r="I988" t="str">
        <f>VLOOKUP(Продажи[[#This Row],[id товара]],Товары[],2,0)</f>
        <v>Мясо</v>
      </c>
      <c r="J988" s="17">
        <f>AVERAGEIF(Продажи[Категория],Продажи[[#This Row],[Категория]],Продажи[цена за шт в рублях])</f>
        <v>271.74545454545455</v>
      </c>
      <c r="K988" s="16">
        <f>Продажи[[#This Row],[цена за шт в рублях]]/Продажи[[#This Row],[Средняя цена в категории за шт]]-1</f>
        <v>4.141576341496056E-2</v>
      </c>
      <c r="L988" t="str">
        <f>VLOOKUP(Продажи[[#This Row],[id товара]],Товары[],3,0)</f>
        <v>Сава</v>
      </c>
      <c r="M988" s="32">
        <f>AVERAGEIFS(Продажи[цена за шт в рублях],Продажи[Категория],Продажи[[#This Row],[Категория]],Продажи[Поставщик],Продажи[[#This Row],[Поставщик]])</f>
        <v>212.8125</v>
      </c>
      <c r="N988" s="16">
        <f>Продажи[[#This Row],[цена за шт в рублях]]/Продажи[[#This Row],[Средняя цена в категории за шт по поставщику]]-1</f>
        <v>0.32980910425844345</v>
      </c>
      <c r="O988" s="48">
        <f>VLOOKUP(Продажи[[#This Row],[id клиента]],клиенты!$A$2:$E$435,5,0)</f>
        <v>44607</v>
      </c>
      <c r="P988">
        <f>Продажи[[#This Row],[дата создания чека]]-Продажи[[#This Row],[Дата регистрации]]</f>
        <v>526</v>
      </c>
      <c r="Q988" t="str">
        <f>VLOOKUP(Продажи[[#This Row],[id клиента]],клиенты!$A$2:$G$435,7,0)</f>
        <v>Россия</v>
      </c>
      <c r="R988">
        <f>IF(COUNTIF($H$2:H988, H988)=1, 1, 0)</f>
        <v>0</v>
      </c>
      <c r="S988" t="str">
        <f>VLOOKUP(Продажи[[#This Row],[id клиента]],клиенты!$A$2:$D$435,4,0)</f>
        <v>да</v>
      </c>
      <c r="T988" s="54">
        <f>VLOOKUP(Продажи[[#This Row],[id клиента]],клиенты!$A$2:$I$435,9,0)</f>
        <v>21.289527720739219</v>
      </c>
    </row>
    <row r="989" spans="1:20" x14ac:dyDescent="0.25">
      <c r="A989">
        <v>988</v>
      </c>
      <c r="B989">
        <v>110</v>
      </c>
      <c r="C989">
        <v>280</v>
      </c>
      <c r="D989">
        <v>3</v>
      </c>
      <c r="E989" s="35">
        <v>4200</v>
      </c>
      <c r="F989" s="48">
        <v>45121</v>
      </c>
      <c r="G989" t="s">
        <v>17</v>
      </c>
      <c r="H989">
        <v>61</v>
      </c>
      <c r="I989" t="str">
        <f>VLOOKUP(Продажи[[#This Row],[id товара]],Товары[],2,0)</f>
        <v>Макароны</v>
      </c>
      <c r="J989" s="17">
        <f>AVERAGEIF(Продажи[Категория],Продажи[[#This Row],[Категория]],Продажи[цена за шт в рублях])</f>
        <v>265.47674418604652</v>
      </c>
      <c r="K989" s="16">
        <f>Продажи[[#This Row],[цена за шт в рублях]]/Продажи[[#This Row],[Средняя цена в категории за шт]]-1</f>
        <v>5.4706320353904658E-2</v>
      </c>
      <c r="L989" t="str">
        <f>VLOOKUP(Продажи[[#This Row],[id товара]],Товары[],3,0)</f>
        <v>Паста Зара</v>
      </c>
      <c r="M989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989" s="16">
        <f>Продажи[[#This Row],[цена за шт в рублях]]/Продажи[[#This Row],[Средняя цена в категории за шт по поставщику]]-1</f>
        <v>1.2015238839503839E-2</v>
      </c>
      <c r="O989" s="48">
        <f>VLOOKUP(Продажи[[#This Row],[id клиента]],клиенты!$A$2:$E$435,5,0)</f>
        <v>44769</v>
      </c>
      <c r="P989">
        <f>Продажи[[#This Row],[дата создания чека]]-Продажи[[#This Row],[Дата регистрации]]</f>
        <v>352</v>
      </c>
      <c r="Q989" t="str">
        <f>VLOOKUP(Продажи[[#This Row],[id клиента]],клиенты!$A$2:$G$435,7,0)</f>
        <v>Таджикистан</v>
      </c>
      <c r="R989">
        <f>IF(COUNTIF($H$2:H989, H989)=1, 1, 0)</f>
        <v>0</v>
      </c>
      <c r="S989" t="str">
        <f>VLOOKUP(Продажи[[#This Row],[id клиента]],клиенты!$A$2:$D$435,4,0)</f>
        <v>нет</v>
      </c>
      <c r="T989" s="54">
        <f>VLOOKUP(Продажи[[#This Row],[id клиента]],клиенты!$A$2:$I$435,9,0)</f>
        <v>11.564681724845997</v>
      </c>
    </row>
    <row r="990" spans="1:20" x14ac:dyDescent="0.25">
      <c r="A990">
        <v>989</v>
      </c>
      <c r="B990">
        <v>280</v>
      </c>
      <c r="C990">
        <v>459</v>
      </c>
      <c r="D990">
        <v>4</v>
      </c>
      <c r="E990" s="35">
        <v>9180</v>
      </c>
      <c r="F990" s="48">
        <v>45273</v>
      </c>
      <c r="G990" t="s">
        <v>19</v>
      </c>
      <c r="H990">
        <v>262</v>
      </c>
      <c r="I990" t="str">
        <f>VLOOKUP(Продажи[[#This Row],[id товара]],Товары[],2,0)</f>
        <v>Сыр</v>
      </c>
      <c r="J990" s="17">
        <f>AVERAGEIF(Продажи[Категория],Продажи[[#This Row],[Категория]],Продажи[цена за шт в рублях])</f>
        <v>262.63492063492066</v>
      </c>
      <c r="K990" s="16">
        <f>Продажи[[#This Row],[цена за шт в рублях]]/Продажи[[#This Row],[Средняя цена в категории за шт]]-1</f>
        <v>0.74767315363229758</v>
      </c>
      <c r="L990" t="str">
        <f>VLOOKUP(Продажи[[#This Row],[id товара]],Товары[],3,0)</f>
        <v>President</v>
      </c>
      <c r="M990" s="32">
        <f>AVERAGEIFS(Продажи[цена за шт в рублях],Продажи[Категория],Продажи[[#This Row],[Категория]],Продажи[Поставщик],Продажи[[#This Row],[Поставщик]])</f>
        <v>238.72222222222223</v>
      </c>
      <c r="N990" s="16">
        <f>Продажи[[#This Row],[цена за шт в рублях]]/Продажи[[#This Row],[Средняя цена в категории за шт по поставщику]]-1</f>
        <v>0.92273679311147316</v>
      </c>
      <c r="O990" s="48">
        <f>VLOOKUP(Продажи[[#This Row],[id клиента]],клиенты!$A$2:$E$435,5,0)</f>
        <v>44778</v>
      </c>
      <c r="P990">
        <f>Продажи[[#This Row],[дата создания чека]]-Продажи[[#This Row],[Дата регистрации]]</f>
        <v>495</v>
      </c>
      <c r="Q990" t="str">
        <f>VLOOKUP(Продажи[[#This Row],[id клиента]],клиенты!$A$2:$G$435,7,0)</f>
        <v>Таджикистан</v>
      </c>
      <c r="R990">
        <f>IF(COUNTIF($H$2:H990, H990)=1, 1, 0)</f>
        <v>0</v>
      </c>
      <c r="S990" t="str">
        <f>VLOOKUP(Продажи[[#This Row],[id клиента]],клиенты!$A$2:$D$435,4,0)</f>
        <v>да</v>
      </c>
      <c r="T990" s="54">
        <f>VLOOKUP(Продажи[[#This Row],[id клиента]],клиенты!$A$2:$I$435,9,0)</f>
        <v>20.566735112936346</v>
      </c>
    </row>
    <row r="991" spans="1:20" x14ac:dyDescent="0.25">
      <c r="A991">
        <v>990</v>
      </c>
      <c r="B991">
        <v>43</v>
      </c>
      <c r="C991">
        <v>244</v>
      </c>
      <c r="D991">
        <v>4</v>
      </c>
      <c r="E991" s="35">
        <v>4880</v>
      </c>
      <c r="F991" s="48">
        <v>45392</v>
      </c>
      <c r="G991" t="s">
        <v>22</v>
      </c>
      <c r="H991">
        <v>323</v>
      </c>
      <c r="I991" t="str">
        <f>VLOOKUP(Продажи[[#This Row],[id товара]],Товары[],2,0)</f>
        <v>Печенье</v>
      </c>
      <c r="J991" s="17">
        <f>AVERAGEIF(Продажи[Категория],Продажи[[#This Row],[Категория]],Продажи[цена за шт в рублях])</f>
        <v>283.468085106383</v>
      </c>
      <c r="K991" s="16">
        <f>Продажи[[#This Row],[цена за шт в рублях]]/Продажи[[#This Row],[Средняя цена в категории за шт]]-1</f>
        <v>-0.13923290550176393</v>
      </c>
      <c r="L991" t="str">
        <f>VLOOKUP(Продажи[[#This Row],[id товара]],Товары[],3,0)</f>
        <v>КДВ</v>
      </c>
      <c r="M991" s="32">
        <f>AVERAGEIFS(Продажи[цена за шт в рублях],Продажи[Категория],Продажи[[#This Row],[Категория]],Продажи[Поставщик],Продажи[[#This Row],[Поставщик]])</f>
        <v>323.07692307692309</v>
      </c>
      <c r="N991" s="16">
        <f>Продажи[[#This Row],[цена за шт в рублях]]/Продажи[[#This Row],[Средняя цена в категории за шт по поставщику]]-1</f>
        <v>-0.24476190476190485</v>
      </c>
      <c r="O991" s="48">
        <f>VLOOKUP(Продажи[[#This Row],[id клиента]],клиенты!$A$2:$E$435,5,0)</f>
        <v>44821</v>
      </c>
      <c r="P991">
        <f>Продажи[[#This Row],[дата создания чека]]-Продажи[[#This Row],[Дата регистрации]]</f>
        <v>571</v>
      </c>
      <c r="Q991" t="str">
        <f>VLOOKUP(Продажи[[#This Row],[id клиента]],клиенты!$A$2:$G$435,7,0)</f>
        <v>Таджикистан</v>
      </c>
      <c r="R991">
        <f>IF(COUNTIF($H$2:H991, H991)=1, 1, 0)</f>
        <v>0</v>
      </c>
      <c r="S991" t="str">
        <f>VLOOKUP(Продажи[[#This Row],[id клиента]],клиенты!$A$2:$D$435,4,0)</f>
        <v>да</v>
      </c>
      <c r="T991" s="54">
        <f>VLOOKUP(Продажи[[#This Row],[id клиента]],клиенты!$A$2:$I$435,9,0)</f>
        <v>18.759753593429156</v>
      </c>
    </row>
    <row r="992" spans="1:20" x14ac:dyDescent="0.25">
      <c r="A992">
        <v>991</v>
      </c>
      <c r="B992">
        <v>434</v>
      </c>
      <c r="C992">
        <v>299</v>
      </c>
      <c r="D992">
        <v>2</v>
      </c>
      <c r="E992" s="35">
        <v>2990</v>
      </c>
      <c r="F992" s="48">
        <v>45144</v>
      </c>
      <c r="G992" t="s">
        <v>23</v>
      </c>
      <c r="H992">
        <v>481</v>
      </c>
      <c r="I992" t="str">
        <f>VLOOKUP(Продажи[[#This Row],[id товара]],Товары[],2,0)</f>
        <v>Сыр</v>
      </c>
      <c r="J992" s="17">
        <f>AVERAGEIF(Продажи[Категория],Продажи[[#This Row],[Категория]],Продажи[цена за шт в рублях])</f>
        <v>262.63492063492066</v>
      </c>
      <c r="K992" s="16">
        <f>Продажи[[#This Row],[цена за шт в рублях]]/Продажи[[#This Row],[Средняя цена в категории за шт]]-1</f>
        <v>0.13846246827027664</v>
      </c>
      <c r="L992" t="str">
        <f>VLOOKUP(Продажи[[#This Row],[id товара]],Товары[],3,0)</f>
        <v>Сырная долина</v>
      </c>
      <c r="M992" s="32">
        <f>AVERAGEIFS(Продажи[цена за шт в рублях],Продажи[Категория],Продажи[[#This Row],[Категория]],Продажи[Поставщик],Продажи[[#This Row],[Поставщик]])</f>
        <v>271</v>
      </c>
      <c r="N992" s="16">
        <f>Продажи[[#This Row],[цена за шт в рублях]]/Продажи[[#This Row],[Средняя цена в категории за шт по поставщику]]-1</f>
        <v>0.10332103321033204</v>
      </c>
      <c r="O992" s="48">
        <f>VLOOKUP(Продажи[[#This Row],[id клиента]],клиенты!$A$2:$E$435,5,0)</f>
        <v>44756</v>
      </c>
      <c r="P992">
        <f>Продажи[[#This Row],[дата создания чека]]-Продажи[[#This Row],[Дата регистрации]]</f>
        <v>388</v>
      </c>
      <c r="Q992" t="str">
        <f>VLOOKUP(Продажи[[#This Row],[id клиента]],клиенты!$A$2:$G$435,7,0)</f>
        <v>Беларусь</v>
      </c>
      <c r="R992">
        <f>IF(COUNTIF($H$2:H992, H992)=1, 1, 0)</f>
        <v>0</v>
      </c>
      <c r="S992" t="str">
        <f>VLOOKUP(Продажи[[#This Row],[id клиента]],клиенты!$A$2:$D$435,4,0)</f>
        <v>да</v>
      </c>
      <c r="T992" s="54">
        <f>VLOOKUP(Продажи[[#This Row],[id клиента]],клиенты!$A$2:$I$435,9,0)</f>
        <v>18.759753593429156</v>
      </c>
    </row>
    <row r="993" spans="1:20" x14ac:dyDescent="0.25">
      <c r="A993">
        <v>992</v>
      </c>
      <c r="B993">
        <v>183</v>
      </c>
      <c r="C993">
        <v>73</v>
      </c>
      <c r="D993">
        <v>5</v>
      </c>
      <c r="E993" s="35">
        <v>1825</v>
      </c>
      <c r="F993" s="48">
        <v>45317</v>
      </c>
      <c r="G993" t="s">
        <v>21</v>
      </c>
      <c r="H993">
        <v>478</v>
      </c>
      <c r="I993" t="str">
        <f>VLOOKUP(Продажи[[#This Row],[id товара]],Товары[],2,0)</f>
        <v>Конфеты</v>
      </c>
      <c r="J993" s="17">
        <f>AVERAGEIF(Продажи[Категория],Продажи[[#This Row],[Категория]],Продажи[цена за шт в рублях])</f>
        <v>267.85483870967744</v>
      </c>
      <c r="K993" s="16">
        <f>Продажи[[#This Row],[цена за шт в рублях]]/Продажи[[#This Row],[Средняя цена в категории за шт]]-1</f>
        <v>-0.72746432227374003</v>
      </c>
      <c r="L993" t="str">
        <f>VLOOKUP(Продажи[[#This Row],[id товара]],Товары[],3,0)</f>
        <v>Бабаевский</v>
      </c>
      <c r="M993" s="32">
        <f>AVERAGEIFS(Продажи[цена за шт в рублях],Продажи[Категория],Продажи[[#This Row],[Категория]],Продажи[Поставщик],Продажи[[#This Row],[Поставщик]])</f>
        <v>250.25925925925927</v>
      </c>
      <c r="N993" s="16">
        <f>Продажи[[#This Row],[цена за шт в рублях]]/Продажи[[#This Row],[Средняя цена в категории за шт по поставщику]]-1</f>
        <v>-0.70830250110996007</v>
      </c>
      <c r="O993" s="48">
        <f>VLOOKUP(Продажи[[#This Row],[id клиента]],клиенты!$A$2:$E$435,5,0)</f>
        <v>44726</v>
      </c>
      <c r="P993">
        <f>Продажи[[#This Row],[дата создания чека]]-Продажи[[#This Row],[Дата регистрации]]</f>
        <v>591</v>
      </c>
      <c r="Q993" t="str">
        <f>VLOOKUP(Продажи[[#This Row],[id клиента]],клиенты!$A$2:$G$435,7,0)</f>
        <v>Украина</v>
      </c>
      <c r="R993">
        <f>IF(COUNTIF($H$2:H993, H993)=1, 1, 0)</f>
        <v>0</v>
      </c>
      <c r="S993" t="str">
        <f>VLOOKUP(Продажи[[#This Row],[id клиента]],клиенты!$A$2:$D$435,4,0)</f>
        <v>нет</v>
      </c>
      <c r="T993" s="54">
        <f>VLOOKUP(Продажи[[#This Row],[id клиента]],клиенты!$A$2:$I$435,9,0)</f>
        <v>21.453798767967147</v>
      </c>
    </row>
    <row r="994" spans="1:20" x14ac:dyDescent="0.25">
      <c r="A994">
        <v>993</v>
      </c>
      <c r="B994">
        <v>224</v>
      </c>
      <c r="C994">
        <v>421</v>
      </c>
      <c r="D994">
        <v>3</v>
      </c>
      <c r="E994" s="35">
        <v>6315</v>
      </c>
      <c r="F994" s="48">
        <v>45093</v>
      </c>
      <c r="G994" t="s">
        <v>19</v>
      </c>
      <c r="H994">
        <v>497</v>
      </c>
      <c r="I994" t="str">
        <f>VLOOKUP(Продажи[[#This Row],[id товара]],Товары[],2,0)</f>
        <v>Чипсы</v>
      </c>
      <c r="J994" s="17">
        <f>AVERAGEIF(Продажи[Категория],Продажи[[#This Row],[Категория]],Продажи[цена за шт в рублях])</f>
        <v>273.72549019607845</v>
      </c>
      <c r="K994" s="16">
        <f>Продажи[[#This Row],[цена за шт в рублях]]/Продажи[[#This Row],[Средняя цена в категории за шт]]-1</f>
        <v>0.53803724928366758</v>
      </c>
      <c r="L994" t="str">
        <f>VLOOKUP(Продажи[[#This Row],[id товара]],Товары[],3,0)</f>
        <v>Pringles</v>
      </c>
      <c r="M994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994" s="16">
        <f>Продажи[[#This Row],[цена за шт в рублях]]/Продажи[[#This Row],[Средняя цена в категории за шт по поставщику]]-1</f>
        <v>0.50229396771452839</v>
      </c>
      <c r="O994" s="48">
        <f>VLOOKUP(Продажи[[#This Row],[id клиента]],клиенты!$A$2:$E$435,5,0)</f>
        <v>44826</v>
      </c>
      <c r="P994">
        <f>Продажи[[#This Row],[дата создания чека]]-Продажи[[#This Row],[Дата регистрации]]</f>
        <v>267</v>
      </c>
      <c r="Q994" t="str">
        <f>VLOOKUP(Продажи[[#This Row],[id клиента]],клиенты!$A$2:$G$435,7,0)</f>
        <v>Узбекистан</v>
      </c>
      <c r="R994">
        <f>IF(COUNTIF($H$2:H994, H994)=1, 1, 0)</f>
        <v>0</v>
      </c>
      <c r="S994" t="str">
        <f>VLOOKUP(Продажи[[#This Row],[id клиента]],клиенты!$A$2:$D$435,4,0)</f>
        <v>нет</v>
      </c>
      <c r="T994" s="54">
        <f>VLOOKUP(Продажи[[#This Row],[id клиента]],клиенты!$A$2:$I$435,9,0)</f>
        <v>14.193018480492814</v>
      </c>
    </row>
    <row r="995" spans="1:20" x14ac:dyDescent="0.25">
      <c r="A995">
        <v>994</v>
      </c>
      <c r="B995">
        <v>235</v>
      </c>
      <c r="C995">
        <v>345</v>
      </c>
      <c r="D995">
        <v>3</v>
      </c>
      <c r="E995" s="35">
        <v>5175</v>
      </c>
      <c r="F995" s="48">
        <v>45301</v>
      </c>
      <c r="G995" t="s">
        <v>8</v>
      </c>
      <c r="H995">
        <v>406</v>
      </c>
      <c r="I995" t="str">
        <f>VLOOKUP(Продажи[[#This Row],[id товара]],Товары[],2,0)</f>
        <v>Хлеб</v>
      </c>
      <c r="J995" s="17">
        <f>AVERAGEIF(Продажи[Категория],Продажи[[#This Row],[Категория]],Продажи[цена за шт в рублях])</f>
        <v>300.31818181818181</v>
      </c>
      <c r="K995" s="16">
        <f>Продажи[[#This Row],[цена за шт в рублях]]/Продажи[[#This Row],[Средняя цена в категории за шт]]-1</f>
        <v>0.14878159527773582</v>
      </c>
      <c r="L995" t="str">
        <f>VLOOKUP(Продажи[[#This Row],[id товара]],Товары[],3,0)</f>
        <v>Русский Хлеб</v>
      </c>
      <c r="M995" s="32">
        <f>AVERAGEIFS(Продажи[цена за шт в рублях],Продажи[Категория],Продажи[[#This Row],[Категория]],Продажи[Поставщик],Продажи[[#This Row],[Поставщик]])</f>
        <v>316.60000000000002</v>
      </c>
      <c r="N995" s="16">
        <f>Продажи[[#This Row],[цена за шт в рублях]]/Продажи[[#This Row],[Средняя цена в категории за шт по поставщику]]-1</f>
        <v>8.970309538850274E-2</v>
      </c>
      <c r="O995" s="48">
        <f>VLOOKUP(Продажи[[#This Row],[id клиента]],клиенты!$A$2:$E$435,5,0)</f>
        <v>44895</v>
      </c>
      <c r="P995">
        <f>Продажи[[#This Row],[дата создания чека]]-Продажи[[#This Row],[Дата регистрации]]</f>
        <v>406</v>
      </c>
      <c r="Q995" t="str">
        <f>VLOOKUP(Продажи[[#This Row],[id клиента]],клиенты!$A$2:$G$435,7,0)</f>
        <v>Украина</v>
      </c>
      <c r="R995">
        <f>IF(COUNTIF($H$2:H995, H995)=1, 1, 0)</f>
        <v>0</v>
      </c>
      <c r="S995" t="str">
        <f>VLOOKUP(Продажи[[#This Row],[id клиента]],клиенты!$A$2:$D$435,4,0)</f>
        <v>да</v>
      </c>
      <c r="T995" s="54">
        <f>VLOOKUP(Продажи[[#This Row],[id клиента]],клиенты!$A$2:$I$435,9,0)</f>
        <v>13.338809034907598</v>
      </c>
    </row>
    <row r="996" spans="1:20" x14ac:dyDescent="0.25">
      <c r="A996">
        <v>995</v>
      </c>
      <c r="B996">
        <v>477</v>
      </c>
      <c r="C996">
        <v>50</v>
      </c>
      <c r="D996">
        <v>1</v>
      </c>
      <c r="E996" s="35">
        <v>250</v>
      </c>
      <c r="F996" s="48">
        <v>45145</v>
      </c>
      <c r="G996" t="s">
        <v>15</v>
      </c>
      <c r="H996">
        <v>58</v>
      </c>
      <c r="I996" t="str">
        <f>VLOOKUP(Продажи[[#This Row],[id товара]],Товары[],2,0)</f>
        <v>Макароны</v>
      </c>
      <c r="J996" s="17">
        <f>AVERAGEIF(Продажи[Категория],Продажи[[#This Row],[Категория]],Продажи[цена за шт в рублях])</f>
        <v>265.47674418604652</v>
      </c>
      <c r="K996" s="16">
        <f>Продажи[[#This Row],[цена за шт в рублях]]/Продажи[[#This Row],[Средняя цена в категории за шт]]-1</f>
        <v>-0.81165958565108842</v>
      </c>
      <c r="L996" t="str">
        <f>VLOOKUP(Продажи[[#This Row],[id товара]],Товары[],3,0)</f>
        <v>Борилла</v>
      </c>
      <c r="M996" s="32">
        <f>AVERAGEIFS(Продажи[цена за шт в рублях],Продажи[Категория],Продажи[[#This Row],[Категория]],Продажи[Поставщик],Продажи[[#This Row],[Поставщик]])</f>
        <v>236.27586206896552</v>
      </c>
      <c r="N996" s="16">
        <f>Продажи[[#This Row],[цена за шт в рублях]]/Продажи[[#This Row],[Средняя цена в категории за шт по поставщику]]-1</f>
        <v>-0.78838295388207824</v>
      </c>
      <c r="O996" s="48">
        <f>VLOOKUP(Продажи[[#This Row],[id клиента]],клиенты!$A$2:$E$435,5,0)</f>
        <v>44628</v>
      </c>
      <c r="P996">
        <f>Продажи[[#This Row],[дата создания чека]]-Продажи[[#This Row],[Дата регистрации]]</f>
        <v>517</v>
      </c>
      <c r="Q996" t="str">
        <f>VLOOKUP(Продажи[[#This Row],[id клиента]],клиенты!$A$2:$G$435,7,0)</f>
        <v>Беларусь</v>
      </c>
      <c r="R996">
        <f>IF(COUNTIF($H$2:H996, H996)=1, 1, 0)</f>
        <v>0</v>
      </c>
      <c r="S996" t="str">
        <f>VLOOKUP(Продажи[[#This Row],[id клиента]],клиенты!$A$2:$D$435,4,0)</f>
        <v>нет</v>
      </c>
      <c r="T996" s="54">
        <f>VLOOKUP(Продажи[[#This Row],[id клиента]],клиенты!$A$2:$I$435,9,0)</f>
        <v>21.388090349075977</v>
      </c>
    </row>
    <row r="997" spans="1:20" x14ac:dyDescent="0.25">
      <c r="A997">
        <v>996</v>
      </c>
      <c r="B997">
        <v>242</v>
      </c>
      <c r="C997">
        <v>441</v>
      </c>
      <c r="D997">
        <v>1</v>
      </c>
      <c r="E997" s="35">
        <v>2205</v>
      </c>
      <c r="F997" s="48">
        <v>44934</v>
      </c>
      <c r="G997" t="s">
        <v>25</v>
      </c>
      <c r="H997">
        <v>312</v>
      </c>
      <c r="I997" t="str">
        <f>VLOOKUP(Продажи[[#This Row],[id товара]],Товары[],2,0)</f>
        <v>Овощи</v>
      </c>
      <c r="J997" s="17">
        <f>AVERAGEIF(Продажи[Категория],Продажи[[#This Row],[Категория]],Продажи[цена за шт в рублях])</f>
        <v>250.48780487804879</v>
      </c>
      <c r="K997" s="16">
        <f>Продажи[[#This Row],[цена за шт в рублях]]/Продажи[[#This Row],[Средняя цена в категории за шт]]-1</f>
        <v>0.76056475170399218</v>
      </c>
      <c r="L997" t="str">
        <f>VLOOKUP(Продажи[[#This Row],[id товара]],Товары[],3,0)</f>
        <v>Овощной ряд</v>
      </c>
      <c r="M997" s="32">
        <f>AVERAGEIFS(Продажи[цена за шт в рублях],Продажи[Категория],Продажи[[#This Row],[Категория]],Продажи[Поставщик],Продажи[[#This Row],[Поставщик]])</f>
        <v>303.8235294117647</v>
      </c>
      <c r="N997" s="16">
        <f>Продажи[[#This Row],[цена за шт в рублях]]/Продажи[[#This Row],[Средняя цена в категории за шт по поставщику]]-1</f>
        <v>0.45150048402710552</v>
      </c>
      <c r="O997" s="48">
        <f>VLOOKUP(Продажи[[#This Row],[id клиента]],клиенты!$A$2:$E$435,5,0)</f>
        <v>44886</v>
      </c>
      <c r="P997">
        <f>Продажи[[#This Row],[дата создания чека]]-Продажи[[#This Row],[Дата регистрации]]</f>
        <v>48</v>
      </c>
      <c r="Q997" t="str">
        <f>VLOOKUP(Продажи[[#This Row],[id клиента]],клиенты!$A$2:$G$435,7,0)</f>
        <v>Россия</v>
      </c>
      <c r="R997">
        <f>IF(COUNTIF($H$2:H997, H997)=1, 1, 0)</f>
        <v>0</v>
      </c>
      <c r="S997" t="str">
        <f>VLOOKUP(Продажи[[#This Row],[id клиента]],клиенты!$A$2:$D$435,4,0)</f>
        <v>да</v>
      </c>
      <c r="T997" s="54">
        <f>VLOOKUP(Продажи[[#This Row],[id клиента]],клиенты!$A$2:$I$435,9,0)</f>
        <v>4.1067761806981515</v>
      </c>
    </row>
    <row r="998" spans="1:20" x14ac:dyDescent="0.25">
      <c r="A998">
        <v>997</v>
      </c>
      <c r="B998">
        <v>423</v>
      </c>
      <c r="C998">
        <v>187</v>
      </c>
      <c r="D998">
        <v>5</v>
      </c>
      <c r="E998" s="35">
        <v>4675</v>
      </c>
      <c r="F998" s="48">
        <v>45247</v>
      </c>
      <c r="G998" t="s">
        <v>8</v>
      </c>
      <c r="H998">
        <v>136</v>
      </c>
      <c r="I998" t="str">
        <f>VLOOKUP(Продажи[[#This Row],[id товара]],Товары[],2,0)</f>
        <v>Чипсы</v>
      </c>
      <c r="J998" s="17">
        <f>AVERAGEIF(Продажи[Категория],Продажи[[#This Row],[Категория]],Продажи[цена за шт в рублях])</f>
        <v>273.72549019607845</v>
      </c>
      <c r="K998" s="16">
        <f>Продажи[[#This Row],[цена за шт в рублях]]/Продажи[[#This Row],[Средняя цена в категории за шт]]-1</f>
        <v>-0.31683381088825224</v>
      </c>
      <c r="L998" t="str">
        <f>VLOOKUP(Продажи[[#This Row],[id товара]],Товары[],3,0)</f>
        <v>Pringles</v>
      </c>
      <c r="M998" s="32">
        <f>AVERAGEIFS(Продажи[цена за шт в рублях],Продажи[Категория],Продажи[[#This Row],[Категория]],Продажи[Поставщик],Продажи[[#This Row],[Поставщик]])</f>
        <v>280.23809523809524</v>
      </c>
      <c r="N998" s="16">
        <f>Продажи[[#This Row],[цена за шт в рублях]]/Продажи[[#This Row],[Средняя цена в категории за шт по поставщику]]-1</f>
        <v>-0.33271028037383177</v>
      </c>
      <c r="O998" s="48">
        <f>VLOOKUP(Продажи[[#This Row],[id клиента]],клиенты!$A$2:$E$435,5,0)</f>
        <v>44860</v>
      </c>
      <c r="P998">
        <f>Продажи[[#This Row],[дата создания чека]]-Продажи[[#This Row],[Дата регистрации]]</f>
        <v>387</v>
      </c>
      <c r="Q998" t="str">
        <f>VLOOKUP(Продажи[[#This Row],[id клиента]],клиенты!$A$2:$G$435,7,0)</f>
        <v>Украина</v>
      </c>
      <c r="R998">
        <f>IF(COUNTIF($H$2:H998, H998)=1, 1, 0)</f>
        <v>0</v>
      </c>
      <c r="S998" t="str">
        <f>VLOOKUP(Продажи[[#This Row],[id клиента]],клиенты!$A$2:$D$435,4,0)</f>
        <v>да</v>
      </c>
      <c r="T998" s="54">
        <f>VLOOKUP(Продажи[[#This Row],[id клиента]],клиенты!$A$2:$I$435,9,0)</f>
        <v>17.248459958932237</v>
      </c>
    </row>
    <row r="999" spans="1:20" x14ac:dyDescent="0.25">
      <c r="A999">
        <v>998</v>
      </c>
      <c r="B999">
        <v>414</v>
      </c>
      <c r="C999">
        <v>170</v>
      </c>
      <c r="D999">
        <v>1</v>
      </c>
      <c r="E999" s="35">
        <v>850</v>
      </c>
      <c r="F999" s="48">
        <v>45248</v>
      </c>
      <c r="G999" t="s">
        <v>12</v>
      </c>
      <c r="H999">
        <v>328</v>
      </c>
      <c r="I999" t="str">
        <f>VLOOKUP(Продажи[[#This Row],[id товара]],Товары[],2,0)</f>
        <v>Фрукты</v>
      </c>
      <c r="J999" s="17">
        <f>AVERAGEIF(Продажи[Категория],Продажи[[#This Row],[Категория]],Продажи[цена за шт в рублях])</f>
        <v>274.16279069767444</v>
      </c>
      <c r="K999" s="16">
        <f>Продажи[[#This Row],[цена за шт в рублях]]/Продажи[[#This Row],[Средняя цена в категории за шт]]-1</f>
        <v>-0.37993044363389605</v>
      </c>
      <c r="L999" t="str">
        <f>VLOOKUP(Продажи[[#This Row],[id товара]],Товары[],3,0)</f>
        <v>Экзотик</v>
      </c>
      <c r="M999" s="32">
        <f>AVERAGEIFS(Продажи[цена за шт в рублях],Продажи[Категория],Продажи[[#This Row],[Категория]],Продажи[Поставщик],Продажи[[#This Row],[Поставщик]])</f>
        <v>253.6875</v>
      </c>
      <c r="N999" s="16">
        <f>Продажи[[#This Row],[цена за шт в рублях]]/Продажи[[#This Row],[Средняя цена в категории за шт по поставщику]]-1</f>
        <v>-0.32988420793298845</v>
      </c>
      <c r="O999" s="48">
        <f>VLOOKUP(Продажи[[#This Row],[id клиента]],клиенты!$A$2:$E$435,5,0)</f>
        <v>44568</v>
      </c>
      <c r="P999">
        <f>Продажи[[#This Row],[дата создания чека]]-Продажи[[#This Row],[Дата регистрации]]</f>
        <v>680</v>
      </c>
      <c r="Q999" t="str">
        <f>VLOOKUP(Продажи[[#This Row],[id клиента]],клиенты!$A$2:$G$435,7,0)</f>
        <v>Россия</v>
      </c>
      <c r="R999">
        <f>IF(COUNTIF($H$2:H999, H999)=1, 1, 0)</f>
        <v>0</v>
      </c>
      <c r="S999" t="str">
        <f>VLOOKUP(Продажи[[#This Row],[id клиента]],клиенты!$A$2:$D$435,4,0)</f>
        <v>да</v>
      </c>
      <c r="T999" s="54">
        <f>VLOOKUP(Продажи[[#This Row],[id клиента]],клиенты!$A$2:$I$435,9,0)</f>
        <v>23.392197125256672</v>
      </c>
    </row>
    <row r="1000" spans="1:20" x14ac:dyDescent="0.25">
      <c r="A1000">
        <v>999</v>
      </c>
      <c r="B1000">
        <v>110</v>
      </c>
      <c r="C1000">
        <v>114</v>
      </c>
      <c r="D1000">
        <v>3</v>
      </c>
      <c r="E1000" s="35">
        <v>1710</v>
      </c>
      <c r="F1000" s="48">
        <v>44990</v>
      </c>
      <c r="G1000" t="s">
        <v>22</v>
      </c>
      <c r="H1000">
        <v>172</v>
      </c>
      <c r="I1000" t="str">
        <f>VLOOKUP(Продажи[[#This Row],[id товара]],Товары[],2,0)</f>
        <v>Макароны</v>
      </c>
      <c r="J1000" s="17">
        <f>AVERAGEIF(Продажи[Категория],Продажи[[#This Row],[Категория]],Продажи[цена за шт в рублях])</f>
        <v>265.47674418604652</v>
      </c>
      <c r="K1000" s="16">
        <f>Продажи[[#This Row],[цена за шт в рублях]]/Продажи[[#This Row],[Средняя цена в категории за шт]]-1</f>
        <v>-0.57058385528448163</v>
      </c>
      <c r="L1000" t="str">
        <f>VLOOKUP(Продажи[[#This Row],[id товара]],Товары[],3,0)</f>
        <v>Паста Зара</v>
      </c>
      <c r="M1000" s="32">
        <f>AVERAGEIFS(Продажи[цена за шт в рублях],Продажи[Категория],Продажи[[#This Row],[Категория]],Продажи[Поставщик],Продажи[[#This Row],[Поставщик]])</f>
        <v>276.67567567567568</v>
      </c>
      <c r="N1000" s="16">
        <f>Продажи[[#This Row],[цена за шт в рублях]]/Продажи[[#This Row],[Средняя цена в категории за шт по поставщику]]-1</f>
        <v>-0.58796522418677344</v>
      </c>
      <c r="O1000" s="48">
        <f>VLOOKUP(Продажи[[#This Row],[id клиента]],клиенты!$A$2:$E$435,5,0)</f>
        <v>44737</v>
      </c>
      <c r="P1000">
        <f>Продажи[[#This Row],[дата создания чека]]-Продажи[[#This Row],[Дата регистрации]]</f>
        <v>253</v>
      </c>
      <c r="Q1000" t="str">
        <f>VLOOKUP(Продажи[[#This Row],[id клиента]],клиенты!$A$2:$G$435,7,0)</f>
        <v>Россия</v>
      </c>
      <c r="R1000">
        <f>IF(COUNTIF($H$2:H1000, H1000)=1, 1, 0)</f>
        <v>0</v>
      </c>
      <c r="S1000" t="str">
        <f>VLOOKUP(Продажи[[#This Row],[id клиента]],клиенты!$A$2:$D$435,4,0)</f>
        <v>нет</v>
      </c>
      <c r="T1000" s="54">
        <f>VLOOKUP(Продажи[[#This Row],[id клиента]],клиенты!$A$2:$I$435,9,0)</f>
        <v>22.209445585215605</v>
      </c>
    </row>
    <row r="1001" spans="1:20" x14ac:dyDescent="0.25">
      <c r="A1001">
        <v>1000</v>
      </c>
      <c r="B1001">
        <v>296</v>
      </c>
      <c r="C1001">
        <v>453</v>
      </c>
      <c r="D1001">
        <v>1</v>
      </c>
      <c r="E1001" s="35">
        <v>2265</v>
      </c>
      <c r="F1001" s="48">
        <v>45265</v>
      </c>
      <c r="G1001" t="s">
        <v>15</v>
      </c>
      <c r="H1001">
        <v>167</v>
      </c>
      <c r="I1001" t="str">
        <f>VLOOKUP(Продажи[[#This Row],[id товара]],Товары[],2,0)</f>
        <v>Крупа</v>
      </c>
      <c r="J1001" s="17">
        <f>AVERAGEIF(Продажи[Категория],Продажи[[#This Row],[Категория]],Продажи[цена за шт в рублях])</f>
        <v>255.11627906976744</v>
      </c>
      <c r="K1001" s="16">
        <f>Продажи[[#This Row],[цена за шт в рублях]]/Продажи[[#This Row],[Средняя цена в категории за шт]]-1</f>
        <v>0.7756608933454876</v>
      </c>
      <c r="L1001" t="str">
        <f>VLOOKUP(Продажи[[#This Row],[id товара]],Товары[],3,0)</f>
        <v>Мистраль</v>
      </c>
      <c r="M1001" s="32">
        <f>AVERAGEIFS(Продажи[цена за шт в рублях],Продажи[Категория],Продажи[[#This Row],[Категория]],Продажи[Поставщик],Продажи[[#This Row],[Поставщик]])</f>
        <v>250.30769230769232</v>
      </c>
      <c r="N1001" s="16">
        <f>Продажи[[#This Row],[цена за шт в рублях]]/Продажи[[#This Row],[Средняя цена в категории за шт по поставщику]]-1</f>
        <v>0.80977258758451121</v>
      </c>
      <c r="O1001" s="48">
        <f>VLOOKUP(Продажи[[#This Row],[id клиента]],клиенты!$A$2:$E$435,5,0)</f>
        <v>44563</v>
      </c>
      <c r="P1001">
        <f>Продажи[[#This Row],[дата создания чека]]-Продажи[[#This Row],[Дата регистрации]]</f>
        <v>702</v>
      </c>
      <c r="Q1001" t="str">
        <f>VLOOKUP(Продажи[[#This Row],[id клиента]],клиенты!$A$2:$G$435,7,0)</f>
        <v>Узбекистан</v>
      </c>
      <c r="R1001">
        <f>IF(COUNTIF($H$2:H1001, H1001)=1, 1, 0)</f>
        <v>0</v>
      </c>
      <c r="S1001" t="str">
        <f>VLOOKUP(Продажи[[#This Row],[id клиента]],клиенты!$A$2:$D$435,4,0)</f>
        <v>да</v>
      </c>
      <c r="T1001" s="54">
        <f>VLOOKUP(Продажи[[#This Row],[id клиента]],клиенты!$A$2:$I$435,9,0)</f>
        <v>26.119096509240247</v>
      </c>
    </row>
  </sheetData>
  <conditionalFormatting sqref="K2:K100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00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G435"/>
  <sheetViews>
    <sheetView showGridLines="0" workbookViewId="0">
      <selection activeCell="H1" sqref="H1"/>
    </sheetView>
  </sheetViews>
  <sheetFormatPr defaultColWidth="8.85546875" defaultRowHeight="15" x14ac:dyDescent="0.25"/>
  <cols>
    <col min="1" max="1" width="12.7109375" customWidth="1"/>
    <col min="2" max="2" width="21.28515625" bestFit="1" customWidth="1"/>
    <col min="3" max="3" width="42.5703125" bestFit="1" customWidth="1"/>
    <col min="4" max="4" width="16.28515625" customWidth="1"/>
    <col min="5" max="5" width="15.42578125" customWidth="1"/>
    <col min="6" max="6" width="9.85546875" customWidth="1"/>
    <col min="7" max="7" width="19.85546875" bestFit="1" customWidth="1"/>
    <col min="8" max="8" width="17.85546875" bestFit="1" customWidth="1"/>
    <col min="9" max="9" width="12.7109375" customWidth="1"/>
    <col min="10" max="11" width="39.28515625" bestFit="1" customWidth="1"/>
    <col min="12" max="12" width="13.7109375" bestFit="1" customWidth="1"/>
    <col min="13" max="13" width="15.85546875" bestFit="1" customWidth="1"/>
    <col min="14" max="14" width="19.42578125" bestFit="1" customWidth="1"/>
    <col min="16" max="21" width="0" hidden="1" customWidth="1"/>
    <col min="22" max="22" width="9.28515625" hidden="1" customWidth="1"/>
    <col min="23" max="23" width="10.7109375" hidden="1" customWidth="1"/>
    <col min="24" max="27" width="0" hidden="1" customWidth="1"/>
  </cols>
  <sheetData>
    <row r="1" spans="1:14" ht="63" customHeight="1" x14ac:dyDescent="0.25">
      <c r="A1" s="50" t="s">
        <v>7</v>
      </c>
      <c r="B1" s="50" t="s">
        <v>1013</v>
      </c>
      <c r="C1" s="50" t="s">
        <v>1012</v>
      </c>
      <c r="D1" s="50" t="s">
        <v>1011</v>
      </c>
      <c r="E1" s="50" t="s">
        <v>1010</v>
      </c>
      <c r="F1" s="49" t="s">
        <v>1086</v>
      </c>
      <c r="G1" s="49" t="s">
        <v>1087</v>
      </c>
      <c r="H1" s="50" t="s">
        <v>1151</v>
      </c>
      <c r="I1" s="50" t="s">
        <v>1152</v>
      </c>
      <c r="J1" s="50" t="s">
        <v>1103</v>
      </c>
      <c r="K1" s="50" t="s">
        <v>1104</v>
      </c>
      <c r="L1" s="50" t="s">
        <v>1100</v>
      </c>
      <c r="M1" s="50" t="s">
        <v>1101</v>
      </c>
      <c r="N1" s="50" t="s">
        <v>1102</v>
      </c>
    </row>
    <row r="2" spans="1:14" x14ac:dyDescent="0.25">
      <c r="A2" s="37">
        <v>315</v>
      </c>
      <c r="B2" s="38" t="s">
        <v>1009</v>
      </c>
      <c r="C2" s="38" t="s">
        <v>1008</v>
      </c>
      <c r="D2" s="38" t="s">
        <v>143</v>
      </c>
      <c r="E2" s="39">
        <v>44747</v>
      </c>
      <c r="F2" s="38" t="str">
        <f>LEFT(клиенты!$B2,LEN(клиенты!$B2)-13)</f>
        <v>+998</v>
      </c>
      <c r="G2" s="38" t="str">
        <f>_xlfn.XLOOKUP(клиенты!$F2,'коды стран'!$B$2:$B$7,'коды стран'!$A$2:$A$7,"не найдено",0)</f>
        <v>Узбекистан</v>
      </c>
      <c r="H2" s="39">
        <f>_xlfn.MAXIFS(Продажи[дата создания чека],Продажи[id клиента],A2)</f>
        <v>45368</v>
      </c>
      <c r="I2" s="58">
        <f>IFERROR((H2-E2)/30.4375,0)</f>
        <v>20.402464065708418</v>
      </c>
      <c r="J2" s="38" t="str">
        <f>IF(LEN(C2) - LEN(SUBSTITUTE(C2," ",""))&lt;3,C2,RIGHT(C2,LEN(C2)-FIND(" ",клиенты!$C2,1)))</f>
        <v>Фадей Ефимович Калинин</v>
      </c>
      <c r="K2" s="38" t="str">
        <f>IF(OR(
    RIGHT(MID(C2,FIND(" ",C2)+1,FIND(" ",C2,FIND(" ",C2)+1)-FIND(" ",C2)-1),2)="ич",
    RIGHT(MID(C2,FIND(" ",C2)+1,FIND(" ",C2,FIND(" ",C2)+1)-FIND(" ",C2)-1),3)="вна",
    RIGHT(MID(C2,FIND(" ",C2)+1,FIND(" ",C2,FIND(" ",C2)+1)-FIND(" ",C2)-1),3)="чна"
),
C2,
MID(C2,FIND(" ",C2)+1,FIND(" ",C2,FIND(" ",C2)+1)-FIND(" ",C2)-1)&amp;" "&amp;
RIGHT(C2,LEN(C2)-FIND("☐",SUBSTITUTE(C2," ","☐",2)))&amp;" "&amp;
LEFT(C2,FIND(" ",C2)-1)
)</f>
        <v>Фадей Ефимович Калинин</v>
      </c>
      <c r="L2" s="38" t="str">
        <f>LEFT(клиенты!$K2,FIND(" ",клиенты!$K2,1)-1)</f>
        <v>Фадей</v>
      </c>
      <c r="M2" s="38" t="str">
        <f>MID(K2,FIND(" ",клиенты!$K2,1)+1,(FIND(" ",клиенты!$K2,FIND(" ",клиенты!$K2,1)+1)-1)-FIND(" ",клиенты!$K2,1))</f>
        <v>Ефимович</v>
      </c>
      <c r="N2" s="38" t="str">
        <f>RIGHT(K2,LEN(K2)-FIND(" ",клиенты!$K2,FIND(" ",клиенты!$K2,1)+1))</f>
        <v>Калинин</v>
      </c>
    </row>
    <row r="3" spans="1:14" x14ac:dyDescent="0.25">
      <c r="A3" s="40">
        <v>253</v>
      </c>
      <c r="B3" s="41" t="s">
        <v>1007</v>
      </c>
      <c r="C3" s="41" t="s">
        <v>1006</v>
      </c>
      <c r="D3" s="41" t="s">
        <v>143</v>
      </c>
      <c r="E3" s="42">
        <v>44750</v>
      </c>
      <c r="F3" s="41" t="str">
        <f>LEFT(клиенты!$B3,LEN(клиенты!$B3)-13)</f>
        <v>+375</v>
      </c>
      <c r="G3" s="41" t="str">
        <f>_xlfn.XLOOKUP(клиенты!$F3,'коды стран'!$B$2:$B$7,'коды стран'!$A$2:$A$7,"не найдено",0)</f>
        <v>Беларусь</v>
      </c>
      <c r="H3" s="42">
        <f>_xlfn.MAXIFS(Продажи[дата создания чека],Продажи[id клиента],A3)</f>
        <v>45083</v>
      </c>
      <c r="I3" s="59">
        <f t="shared" ref="I3:I66" si="0">IFERROR((H3-E3)/30.4375,0)</f>
        <v>10.940451745379876</v>
      </c>
      <c r="J3" s="41" t="str">
        <f>IF(LEN(C3) - LEN(SUBSTITUTE(C3," ",""))&lt;3,C3,RIGHT(C3,LEN(C3)-FIND(" ",клиенты!$C3,1)))</f>
        <v>Вера Георгиевна Некрасова</v>
      </c>
      <c r="K3" s="41" t="str">
        <f t="shared" ref="K3:K66" si="1">IF(OR(
    RIGHT(MID(C3,FIND(" ",C3)+1,FIND(" ",C3,FIND(" ",C3)+1)-FIND(" ",C3)-1),2)="ич",
    RIGHT(MID(C3,FIND(" ",C3)+1,FIND(" ",C3,FIND(" ",C3)+1)-FIND(" ",C3)-1),3)="вна",
    RIGHT(MID(C3,FIND(" ",C3)+1,FIND(" ",C3,FIND(" ",C3)+1)-FIND(" ",C3)-1),3)="чна"
),
C3,
MID(C3,FIND(" ",C3)+1,FIND(" ",C3,FIND(" ",C3)+1)-FIND(" ",C3)-1)&amp;" "&amp;
RIGHT(C3,LEN(C3)-FIND("☐",SUBSTITUTE(C3," ","☐",2)))&amp;" "&amp;
LEFT(C3,FIND(" ",C3)-1)
)</f>
        <v>Вера Георгиевна Некрасова</v>
      </c>
      <c r="L3" s="41" t="str">
        <f>LEFT(клиенты!$K3,FIND(" ",клиенты!$K3,1)-1)</f>
        <v>Вера</v>
      </c>
      <c r="M3" s="41" t="str">
        <f>MID(K3,FIND(" ",клиенты!$K3,1)+1,(FIND(" ",клиенты!$K3,FIND(" ",клиенты!$K3,1)+1)-1)-FIND(" ",клиенты!$K3,1))</f>
        <v>Георгиевна</v>
      </c>
      <c r="N3" s="41" t="str">
        <f>RIGHT(K3,LEN(K3)-FIND(" ",клиенты!$K3,FIND(" ",клиенты!$K3,1)+1))</f>
        <v>Некрасова</v>
      </c>
    </row>
    <row r="4" spans="1:14" x14ac:dyDescent="0.25">
      <c r="A4" s="43">
        <v>12</v>
      </c>
      <c r="B4" s="44" t="s">
        <v>1005</v>
      </c>
      <c r="C4" s="44" t="s">
        <v>1004</v>
      </c>
      <c r="D4" s="44" t="s">
        <v>143</v>
      </c>
      <c r="E4" s="45">
        <v>44842</v>
      </c>
      <c r="F4" s="44" t="str">
        <f>LEFT(клиенты!$B4,LEN(клиенты!$B4)-13)</f>
        <v>+375</v>
      </c>
      <c r="G4" s="44" t="str">
        <f>_xlfn.XLOOKUP(клиенты!$F4,'коды стран'!$B$2:$B$7,'коды стран'!$A$2:$A$7,"не найдено",0)</f>
        <v>Беларусь</v>
      </c>
      <c r="H4" s="45">
        <f>_xlfn.MAXIFS(Продажи[дата создания чека],Продажи[id клиента],A4)</f>
        <v>45363</v>
      </c>
      <c r="I4" s="60">
        <f t="shared" si="0"/>
        <v>17.117043121149898</v>
      </c>
      <c r="J4" s="44" t="str">
        <f>IF(LEN(C4) - LEN(SUBSTITUTE(C4," ",""))&lt;3,C4,RIGHT(C4,LEN(C4)-FIND(" ",клиенты!$C4,1)))</f>
        <v>Никодим Игоревич Бобров</v>
      </c>
      <c r="K4" s="44" t="str">
        <f t="shared" si="1"/>
        <v>Никодим Игоревич Бобров</v>
      </c>
      <c r="L4" s="44" t="str">
        <f>LEFT(клиенты!$K4,FIND(" ",клиенты!$K4,1)-1)</f>
        <v>Никодим</v>
      </c>
      <c r="M4" s="44" t="str">
        <f>MID(K4,FIND(" ",клиенты!$K4,1)+1,(FIND(" ",клиенты!$K4,FIND(" ",клиенты!$K4,1)+1)-1)-FIND(" ",клиенты!$K4,1))</f>
        <v>Игоревич</v>
      </c>
      <c r="N4" s="44" t="str">
        <f>RIGHT(K4,LEN(K4)-FIND(" ",клиенты!$K4,FIND(" ",клиенты!$K4,1)+1))</f>
        <v>Бобров</v>
      </c>
    </row>
    <row r="5" spans="1:14" x14ac:dyDescent="0.25">
      <c r="A5" s="40">
        <v>116</v>
      </c>
      <c r="B5" s="41" t="s">
        <v>1003</v>
      </c>
      <c r="C5" s="41" t="s">
        <v>1002</v>
      </c>
      <c r="D5" s="41" t="s">
        <v>140</v>
      </c>
      <c r="E5" s="42">
        <v>44643</v>
      </c>
      <c r="F5" s="41" t="str">
        <f>LEFT(клиенты!$B5,LEN(клиенты!$B5)-13)</f>
        <v>+7</v>
      </c>
      <c r="G5" s="41" t="str">
        <f>_xlfn.XLOOKUP(клиенты!$F5,'коды стран'!$B$2:$B$7,'коды стран'!$A$2:$A$7,"не найдено",0)</f>
        <v>Россия</v>
      </c>
      <c r="H5" s="42">
        <f>_xlfn.MAXIFS(Продажи[дата создания чека],Продажи[id клиента],A5)</f>
        <v>45286</v>
      </c>
      <c r="I5" s="59">
        <f t="shared" si="0"/>
        <v>21.125256673511295</v>
      </c>
      <c r="J5" s="41" t="str">
        <f>IF(LEN(C5) - LEN(SUBSTITUTE(C5," ",""))&lt;3,C5,RIGHT(C5,LEN(C5)-FIND(" ",клиенты!$C5,1)))</f>
        <v>Носкова Вера Федоровна</v>
      </c>
      <c r="K5" s="41" t="str">
        <f t="shared" si="1"/>
        <v>Вера Федоровна Носкова</v>
      </c>
      <c r="L5" s="41" t="str">
        <f>LEFT(клиенты!$K5,FIND(" ",клиенты!$K5,1)-1)</f>
        <v>Вера</v>
      </c>
      <c r="M5" s="41" t="str">
        <f>MID(K5,FIND(" ",клиенты!$K5,1)+1,(FIND(" ",клиенты!$K5,FIND(" ",клиенты!$K5,1)+1)-1)-FIND(" ",клиенты!$K5,1))</f>
        <v>Федоровна</v>
      </c>
      <c r="N5" s="41" t="str">
        <f>RIGHT(K5,LEN(K5)-FIND(" ",клиенты!$K5,FIND(" ",клиенты!$K5,1)+1))</f>
        <v>Носкова</v>
      </c>
    </row>
    <row r="6" spans="1:14" x14ac:dyDescent="0.25">
      <c r="A6" s="43">
        <v>471</v>
      </c>
      <c r="B6" s="44" t="s">
        <v>1001</v>
      </c>
      <c r="C6" s="44" t="s">
        <v>1000</v>
      </c>
      <c r="D6" s="44" t="s">
        <v>143</v>
      </c>
      <c r="E6" s="45">
        <v>44577</v>
      </c>
      <c r="F6" s="44" t="str">
        <f>LEFT(клиенты!$B6,LEN(клиенты!$B6)-13)</f>
        <v>+380</v>
      </c>
      <c r="G6" s="44" t="str">
        <f>_xlfn.XLOOKUP(клиенты!$F6,'коды стран'!$B$2:$B$7,'коды стран'!$A$2:$A$7,"не найдено",0)</f>
        <v>Украина</v>
      </c>
      <c r="H6" s="45">
        <f>_xlfn.MAXIFS(Продажи[дата создания чека],Продажи[id клиента],A6)</f>
        <v>45151</v>
      </c>
      <c r="I6" s="60">
        <f t="shared" si="0"/>
        <v>18.858316221765914</v>
      </c>
      <c r="J6" s="44" t="str">
        <f>IF(LEN(C6) - LEN(SUBSTITUTE(C6," ",""))&lt;3,C6,RIGHT(C6,LEN(C6)-FIND(" ",клиенты!$C6,1)))</f>
        <v>Александра Матвеевна Артемьева</v>
      </c>
      <c r="K6" s="44" t="str">
        <f t="shared" si="1"/>
        <v>Александра Матвеевна Артемьева</v>
      </c>
      <c r="L6" s="44" t="str">
        <f>LEFT(клиенты!$K6,FIND(" ",клиенты!$K6,1)-1)</f>
        <v>Александра</v>
      </c>
      <c r="M6" s="44" t="str">
        <f>MID(K6,FIND(" ",клиенты!$K6,1)+1,(FIND(" ",клиенты!$K6,FIND(" ",клиенты!$K6,1)+1)-1)-FIND(" ",клиенты!$K6,1))</f>
        <v>Матвеевна</v>
      </c>
      <c r="N6" s="44" t="str">
        <f>RIGHT(K6,LEN(K6)-FIND(" ",клиенты!$K6,FIND(" ",клиенты!$K6,1)+1))</f>
        <v>Артемьева</v>
      </c>
    </row>
    <row r="7" spans="1:14" x14ac:dyDescent="0.25">
      <c r="A7" s="40">
        <v>374</v>
      </c>
      <c r="B7" s="41" t="s">
        <v>999</v>
      </c>
      <c r="C7" s="41" t="s">
        <v>998</v>
      </c>
      <c r="D7" s="41" t="s">
        <v>140</v>
      </c>
      <c r="E7" s="42">
        <v>44582</v>
      </c>
      <c r="F7" s="41" t="str">
        <f>LEFT(клиенты!$B7,LEN(клиенты!$B7)-13)</f>
        <v>+380</v>
      </c>
      <c r="G7" s="41" t="str">
        <f>_xlfn.XLOOKUP(клиенты!$F7,'коды стран'!$B$2:$B$7,'коды стран'!$A$2:$A$7,"не найдено",0)</f>
        <v>Украина</v>
      </c>
      <c r="H7" s="42">
        <f>_xlfn.MAXIFS(Продажи[дата создания чека],Продажи[id клиента],A7)</f>
        <v>45292</v>
      </c>
      <c r="I7" s="59">
        <f t="shared" si="0"/>
        <v>23.326488706365502</v>
      </c>
      <c r="J7" s="41" t="str">
        <f>IF(LEN(C7) - LEN(SUBSTITUTE(C7," ",""))&lt;3,C7,RIGHT(C7,LEN(C7)-FIND(" ",клиенты!$C7,1)))</f>
        <v>Калинина Ирина Филипповна</v>
      </c>
      <c r="K7" s="41" t="str">
        <f t="shared" si="1"/>
        <v>Ирина Филипповна Калинина</v>
      </c>
      <c r="L7" s="41" t="str">
        <f>LEFT(клиенты!$K7,FIND(" ",клиенты!$K7,1)-1)</f>
        <v>Ирина</v>
      </c>
      <c r="M7" s="41" t="str">
        <f>MID(K7,FIND(" ",клиенты!$K7,1)+1,(FIND(" ",клиенты!$K7,FIND(" ",клиенты!$K7,1)+1)-1)-FIND(" ",клиенты!$K7,1))</f>
        <v>Филипповна</v>
      </c>
      <c r="N7" s="41" t="str">
        <f>RIGHT(K7,LEN(K7)-FIND(" ",клиенты!$K7,FIND(" ",клиенты!$K7,1)+1))</f>
        <v>Калинина</v>
      </c>
    </row>
    <row r="8" spans="1:14" x14ac:dyDescent="0.25">
      <c r="A8" s="43">
        <v>477</v>
      </c>
      <c r="B8" s="44" t="s">
        <v>997</v>
      </c>
      <c r="C8" s="44" t="s">
        <v>996</v>
      </c>
      <c r="D8" s="44" t="s">
        <v>143</v>
      </c>
      <c r="E8" s="45">
        <v>44738</v>
      </c>
      <c r="F8" s="44" t="str">
        <f>LEFT(клиенты!$B8,LEN(клиенты!$B8)-13)</f>
        <v>+998</v>
      </c>
      <c r="G8" s="44" t="str">
        <f>_xlfn.XLOOKUP(клиенты!$F8,'коды стран'!$B$2:$B$7,'коды стран'!$A$2:$A$7,"не найдено",0)</f>
        <v>Узбекистан</v>
      </c>
      <c r="H8" s="45">
        <f>_xlfn.MAXIFS(Продажи[дата создания чека],Продажи[id клиента],A8)</f>
        <v>45349</v>
      </c>
      <c r="I8" s="60">
        <f t="shared" si="0"/>
        <v>20.073921971252567</v>
      </c>
      <c r="J8" s="44" t="str">
        <f>IF(LEN(C8) - LEN(SUBSTITUTE(C8," ",""))&lt;3,C8,RIGHT(C8,LEN(C8)-FIND(" ",клиенты!$C8,1)))</f>
        <v>Зоя Кирилловна Брагина</v>
      </c>
      <c r="K8" s="44" t="str">
        <f t="shared" si="1"/>
        <v>Зоя Кирилловна Брагина</v>
      </c>
      <c r="L8" s="44" t="str">
        <f>LEFT(клиенты!$K8,FIND(" ",клиенты!$K8,1)-1)</f>
        <v>Зоя</v>
      </c>
      <c r="M8" s="44" t="str">
        <f>MID(K8,FIND(" ",клиенты!$K8,1)+1,(FIND(" ",клиенты!$K8,FIND(" ",клиенты!$K8,1)+1)-1)-FIND(" ",клиенты!$K8,1))</f>
        <v>Кирилловна</v>
      </c>
      <c r="N8" s="44" t="str">
        <f>RIGHT(K8,LEN(K8)-FIND(" ",клиенты!$K8,FIND(" ",клиенты!$K8,1)+1))</f>
        <v>Брагина</v>
      </c>
    </row>
    <row r="9" spans="1:14" x14ac:dyDescent="0.25">
      <c r="A9" s="40">
        <v>335</v>
      </c>
      <c r="B9" s="41" t="s">
        <v>995</v>
      </c>
      <c r="C9" s="41" t="s">
        <v>994</v>
      </c>
      <c r="D9" s="41" t="s">
        <v>140</v>
      </c>
      <c r="E9" s="42">
        <v>44619</v>
      </c>
      <c r="F9" s="41" t="str">
        <f>LEFT(клиенты!$B9,LEN(клиенты!$B9)-13)</f>
        <v>+998</v>
      </c>
      <c r="G9" s="41" t="str">
        <f>_xlfn.XLOOKUP(клиенты!$F9,'коды стран'!$B$2:$B$7,'коды стран'!$A$2:$A$7,"не найдено",0)</f>
        <v>Узбекистан</v>
      </c>
      <c r="H9" s="42">
        <f>_xlfn.MAXIFS(Продажи[дата создания чека],Продажи[id клиента],A9)</f>
        <v>45327</v>
      </c>
      <c r="I9" s="59">
        <f t="shared" si="0"/>
        <v>23.260780287474333</v>
      </c>
      <c r="J9" s="41" t="str">
        <f>IF(LEN(C9) - LEN(SUBSTITUTE(C9," ",""))&lt;3,C9,RIGHT(C9,LEN(C9)-FIND(" ",клиенты!$C9,1)))</f>
        <v>Осипов Светозар Ефремович</v>
      </c>
      <c r="K9" s="41" t="str">
        <f t="shared" si="1"/>
        <v>Светозар Ефремович Осипов</v>
      </c>
      <c r="L9" s="41" t="str">
        <f>LEFT(клиенты!$K9,FIND(" ",клиенты!$K9,1)-1)</f>
        <v>Светозар</v>
      </c>
      <c r="M9" s="41" t="str">
        <f>MID(K9,FIND(" ",клиенты!$K9,1)+1,(FIND(" ",клиенты!$K9,FIND(" ",клиенты!$K9,1)+1)-1)-FIND(" ",клиенты!$K9,1))</f>
        <v>Ефремович</v>
      </c>
      <c r="N9" s="41" t="str">
        <f>RIGHT(K9,LEN(K9)-FIND(" ",клиенты!$K9,FIND(" ",клиенты!$K9,1)+1))</f>
        <v>Осипов</v>
      </c>
    </row>
    <row r="10" spans="1:14" x14ac:dyDescent="0.25">
      <c r="A10" s="43">
        <v>350</v>
      </c>
      <c r="B10" s="44" t="s">
        <v>993</v>
      </c>
      <c r="C10" s="44" t="s">
        <v>992</v>
      </c>
      <c r="D10" s="44" t="s">
        <v>140</v>
      </c>
      <c r="E10" s="45">
        <v>44684</v>
      </c>
      <c r="F10" s="44" t="str">
        <f>LEFT(клиенты!$B10,LEN(клиенты!$B10)-13)</f>
        <v>+380</v>
      </c>
      <c r="G10" s="44" t="str">
        <f>_xlfn.XLOOKUP(клиенты!$F10,'коды стран'!$B$2:$B$7,'коды стран'!$A$2:$A$7,"не найдено",0)</f>
        <v>Украина</v>
      </c>
      <c r="H10" s="45">
        <f>_xlfn.MAXIFS(Продажи[дата создания чека],Продажи[id клиента],A10)</f>
        <v>45376</v>
      </c>
      <c r="I10" s="60">
        <f t="shared" si="0"/>
        <v>22.735112936344969</v>
      </c>
      <c r="J10" s="44" t="str">
        <f>IF(LEN(C10) - LEN(SUBSTITUTE(C10," ",""))&lt;3,C10,RIGHT(C10,LEN(C10)-FIND(" ",клиенты!$C10,1)))</f>
        <v>Любовь Георгиевна Мамонтова</v>
      </c>
      <c r="K10" s="44" t="str">
        <f t="shared" si="1"/>
        <v>Любовь Георгиевна Мамонтова</v>
      </c>
      <c r="L10" s="44" t="str">
        <f>LEFT(клиенты!$K10,FIND(" ",клиенты!$K10,1)-1)</f>
        <v>Любовь</v>
      </c>
      <c r="M10" s="44" t="str">
        <f>MID(K10,FIND(" ",клиенты!$K10,1)+1,(FIND(" ",клиенты!$K10,FIND(" ",клиенты!$K10,1)+1)-1)-FIND(" ",клиенты!$K10,1))</f>
        <v>Георгиевна</v>
      </c>
      <c r="N10" s="44" t="str">
        <f>RIGHT(K10,LEN(K10)-FIND(" ",клиенты!$K10,FIND(" ",клиенты!$K10,1)+1))</f>
        <v>Мамонтова</v>
      </c>
    </row>
    <row r="11" spans="1:14" x14ac:dyDescent="0.25">
      <c r="A11" s="40">
        <v>413</v>
      </c>
      <c r="B11" s="41" t="s">
        <v>991</v>
      </c>
      <c r="C11" s="41" t="s">
        <v>990</v>
      </c>
      <c r="D11" s="41" t="s">
        <v>140</v>
      </c>
      <c r="E11" s="42">
        <v>44699</v>
      </c>
      <c r="F11" s="41" t="str">
        <f>LEFT(клиенты!$B11,LEN(клиенты!$B11)-13)</f>
        <v>+7</v>
      </c>
      <c r="G11" s="41" t="str">
        <f>_xlfn.XLOOKUP(клиенты!$F11,'коды стран'!$B$2:$B$7,'коды стран'!$A$2:$A$7,"не найдено",0)</f>
        <v>Россия</v>
      </c>
      <c r="H11" s="42">
        <f>_xlfn.MAXIFS(Продажи[дата создания чека],Продажи[id клиента],A11)</f>
        <v>45241</v>
      </c>
      <c r="I11" s="59">
        <f t="shared" si="0"/>
        <v>17.806981519507186</v>
      </c>
      <c r="J11" s="41" t="str">
        <f>IF(LEN(C11) - LEN(SUBSTITUTE(C11," ",""))&lt;3,C11,RIGHT(C11,LEN(C11)-FIND(" ",клиенты!$C11,1)))</f>
        <v>Август Вячеславович Брагин</v>
      </c>
      <c r="K11" s="41" t="str">
        <f t="shared" si="1"/>
        <v>Август Вячеславович Брагин</v>
      </c>
      <c r="L11" s="41" t="str">
        <f>LEFT(клиенты!$K11,FIND(" ",клиенты!$K11,1)-1)</f>
        <v>Август</v>
      </c>
      <c r="M11" s="41" t="str">
        <f>MID(K11,FIND(" ",клиенты!$K11,1)+1,(FIND(" ",клиенты!$K11,FIND(" ",клиенты!$K11,1)+1)-1)-FIND(" ",клиенты!$K11,1))</f>
        <v>Вячеславович</v>
      </c>
      <c r="N11" s="41" t="str">
        <f>RIGHT(K11,LEN(K11)-FIND(" ",клиенты!$K11,FIND(" ",клиенты!$K11,1)+1))</f>
        <v>Брагин</v>
      </c>
    </row>
    <row r="12" spans="1:14" x14ac:dyDescent="0.25">
      <c r="A12" s="43">
        <v>495</v>
      </c>
      <c r="B12" s="44" t="s">
        <v>989</v>
      </c>
      <c r="C12" s="44" t="s">
        <v>988</v>
      </c>
      <c r="D12" s="44" t="s">
        <v>143</v>
      </c>
      <c r="E12" s="45">
        <v>44654</v>
      </c>
      <c r="F12" s="44" t="str">
        <f>LEFT(клиенты!$B12,LEN(клиенты!$B12)-13)</f>
        <v>+998</v>
      </c>
      <c r="G12" s="44" t="str">
        <f>_xlfn.XLOOKUP(клиенты!$F12,'коды стран'!$B$2:$B$7,'коды стран'!$A$2:$A$7,"не найдено",0)</f>
        <v>Узбекистан</v>
      </c>
      <c r="H12" s="45">
        <f>_xlfn.MAXIFS(Продажи[дата создания чека],Продажи[id клиента],A12)</f>
        <v>45136</v>
      </c>
      <c r="I12" s="60">
        <f t="shared" si="0"/>
        <v>15.835728952772074</v>
      </c>
      <c r="J12" s="44" t="str">
        <f>IF(LEN(C12) - LEN(SUBSTITUTE(C12," ",""))&lt;3,C12,RIGHT(C12,LEN(C12)-FIND(" ",клиенты!$C12,1)))</f>
        <v>Мефодий Филиппович Воробьев</v>
      </c>
      <c r="K12" s="44" t="str">
        <f t="shared" si="1"/>
        <v>Мефодий Филиппович Воробьев</v>
      </c>
      <c r="L12" s="44" t="str">
        <f>LEFT(клиенты!$K12,FIND(" ",клиенты!$K12,1)-1)</f>
        <v>Мефодий</v>
      </c>
      <c r="M12" s="44" t="str">
        <f>MID(K12,FIND(" ",клиенты!$K12,1)+1,(FIND(" ",клиенты!$K12,FIND(" ",клиенты!$K12,1)+1)-1)-FIND(" ",клиенты!$K12,1))</f>
        <v>Филиппович</v>
      </c>
      <c r="N12" s="44" t="str">
        <f>RIGHT(K12,LEN(K12)-FIND(" ",клиенты!$K12,FIND(" ",клиенты!$K12,1)+1))</f>
        <v>Воробьев</v>
      </c>
    </row>
    <row r="13" spans="1:14" x14ac:dyDescent="0.25">
      <c r="A13" s="40">
        <v>353</v>
      </c>
      <c r="B13" s="41" t="s">
        <v>987</v>
      </c>
      <c r="C13" s="41" t="s">
        <v>986</v>
      </c>
      <c r="D13" s="41" t="s">
        <v>143</v>
      </c>
      <c r="E13" s="42">
        <v>44656</v>
      </c>
      <c r="F13" s="41" t="str">
        <f>LEFT(клиенты!$B13,LEN(клиенты!$B13)-13)</f>
        <v>+992</v>
      </c>
      <c r="G13" s="41" t="str">
        <f>_xlfn.XLOOKUP(клиенты!$F13,'коды стран'!$B$2:$B$7,'коды стран'!$A$2:$A$7,"не найдено",0)</f>
        <v>Таджикистан</v>
      </c>
      <c r="H13" s="42">
        <f>_xlfn.MAXIFS(Продажи[дата создания чека],Продажи[id клиента],A13)</f>
        <v>45394</v>
      </c>
      <c r="I13" s="59">
        <f t="shared" si="0"/>
        <v>24.246406570841888</v>
      </c>
      <c r="J13" s="41" t="str">
        <f>IF(LEN(C13) - LEN(SUBSTITUTE(C13," ",""))&lt;3,C13,RIGHT(C13,LEN(C13)-FIND(" ",клиенты!$C13,1)))</f>
        <v>Гурьев Влас Юлианович</v>
      </c>
      <c r="K13" s="41" t="str">
        <f t="shared" si="1"/>
        <v>Влас Юлианович Гурьев</v>
      </c>
      <c r="L13" s="41" t="str">
        <f>LEFT(клиенты!$K13,FIND(" ",клиенты!$K13,1)-1)</f>
        <v>Влас</v>
      </c>
      <c r="M13" s="41" t="str">
        <f>MID(K13,FIND(" ",клиенты!$K13,1)+1,(FIND(" ",клиенты!$K13,FIND(" ",клиенты!$K13,1)+1)-1)-FIND(" ",клиенты!$K13,1))</f>
        <v>Юлианович</v>
      </c>
      <c r="N13" s="41" t="str">
        <f>RIGHT(K13,LEN(K13)-FIND(" ",клиенты!$K13,FIND(" ",клиенты!$K13,1)+1))</f>
        <v>Гурьев</v>
      </c>
    </row>
    <row r="14" spans="1:14" x14ac:dyDescent="0.25">
      <c r="A14" s="43">
        <v>332</v>
      </c>
      <c r="B14" s="44" t="s">
        <v>985</v>
      </c>
      <c r="C14" s="44" t="s">
        <v>984</v>
      </c>
      <c r="D14" s="44" t="s">
        <v>140</v>
      </c>
      <c r="E14" s="45">
        <v>44858</v>
      </c>
      <c r="F14" s="44" t="str">
        <f>LEFT(клиенты!$B14,LEN(клиенты!$B14)-13)</f>
        <v>+998</v>
      </c>
      <c r="G14" s="44" t="str">
        <f>_xlfn.XLOOKUP(клиенты!$F14,'коды стран'!$B$2:$B$7,'коды стран'!$A$2:$A$7,"не найдено",0)</f>
        <v>Узбекистан</v>
      </c>
      <c r="H14" s="45">
        <f>_xlfn.MAXIFS(Продажи[дата создания чека],Продажи[id клиента],A14)</f>
        <v>45326</v>
      </c>
      <c r="I14" s="60">
        <f t="shared" si="0"/>
        <v>15.375770020533881</v>
      </c>
      <c r="J14" s="44" t="str">
        <f>IF(LEN(C14) - LEN(SUBSTITUTE(C14," ",""))&lt;3,C14,RIGHT(C14,LEN(C14)-FIND(" ",клиенты!$C14,1)))</f>
        <v>Агата Юрьевна Галкина</v>
      </c>
      <c r="K14" s="44" t="str">
        <f t="shared" si="1"/>
        <v>Агата Юрьевна Галкина</v>
      </c>
      <c r="L14" s="44" t="str">
        <f>LEFT(клиенты!$K14,FIND(" ",клиенты!$K14,1)-1)</f>
        <v>Агата</v>
      </c>
      <c r="M14" s="44" t="str">
        <f>MID(K14,FIND(" ",клиенты!$K14,1)+1,(FIND(" ",клиенты!$K14,FIND(" ",клиенты!$K14,1)+1)-1)-FIND(" ",клиенты!$K14,1))</f>
        <v>Юрьевна</v>
      </c>
      <c r="N14" s="44" t="str">
        <f>RIGHT(K14,LEN(K14)-FIND(" ",клиенты!$K14,FIND(" ",клиенты!$K14,1)+1))</f>
        <v>Галкина</v>
      </c>
    </row>
    <row r="15" spans="1:14" x14ac:dyDescent="0.25">
      <c r="A15" s="40">
        <v>414</v>
      </c>
      <c r="B15" s="41" t="s">
        <v>983</v>
      </c>
      <c r="C15" s="41" t="s">
        <v>982</v>
      </c>
      <c r="D15" s="41" t="s">
        <v>140</v>
      </c>
      <c r="E15" s="42">
        <v>44794</v>
      </c>
      <c r="F15" s="41" t="str">
        <f>LEFT(клиенты!$B15,LEN(клиенты!$B15)-13)</f>
        <v>+375</v>
      </c>
      <c r="G15" s="41" t="str">
        <f>_xlfn.XLOOKUP(клиенты!$F15,'коды стран'!$B$2:$B$7,'коды стран'!$A$2:$A$7,"не найдено",0)</f>
        <v>Беларусь</v>
      </c>
      <c r="H15" s="42">
        <f>_xlfn.MAXIFS(Продажи[дата создания чека],Продажи[id клиента],A15)</f>
        <v>45133</v>
      </c>
      <c r="I15" s="59">
        <f t="shared" si="0"/>
        <v>11.137577002053389</v>
      </c>
      <c r="J15" s="41" t="str">
        <f>IF(LEN(C15) - LEN(SUBSTITUTE(C15," ",""))&lt;3,C15,RIGHT(C15,LEN(C15)-FIND(" ",клиенты!$C15,1)))</f>
        <v>Юлия Леоновна Наумова</v>
      </c>
      <c r="K15" s="41" t="str">
        <f t="shared" si="1"/>
        <v>Юлия Леоновна Наумова</v>
      </c>
      <c r="L15" s="41" t="str">
        <f>LEFT(клиенты!$K15,FIND(" ",клиенты!$K15,1)-1)</f>
        <v>Юлия</v>
      </c>
      <c r="M15" s="41" t="str">
        <f>MID(K15,FIND(" ",клиенты!$K15,1)+1,(FIND(" ",клиенты!$K15,FIND(" ",клиенты!$K15,1)+1)-1)-FIND(" ",клиенты!$K15,1))</f>
        <v>Леоновна</v>
      </c>
      <c r="N15" s="41" t="str">
        <f>RIGHT(K15,LEN(K15)-FIND(" ",клиенты!$K15,FIND(" ",клиенты!$K15,1)+1))</f>
        <v>Наумова</v>
      </c>
    </row>
    <row r="16" spans="1:14" x14ac:dyDescent="0.25">
      <c r="A16" s="43">
        <v>236</v>
      </c>
      <c r="B16" s="44" t="s">
        <v>981</v>
      </c>
      <c r="C16" s="44" t="s">
        <v>980</v>
      </c>
      <c r="D16" s="44" t="s">
        <v>143</v>
      </c>
      <c r="E16" s="45">
        <v>44820</v>
      </c>
      <c r="F16" s="44" t="str">
        <f>LEFT(клиенты!$B16,LEN(клиенты!$B16)-13)</f>
        <v>+998</v>
      </c>
      <c r="G16" s="44" t="str">
        <f>_xlfn.XLOOKUP(клиенты!$F16,'коды стран'!$B$2:$B$7,'коды стран'!$A$2:$A$7,"не найдено",0)</f>
        <v>Узбекистан</v>
      </c>
      <c r="H16" s="45">
        <f>_xlfn.MAXIFS(Продажи[дата создания чека],Продажи[id клиента],A16)</f>
        <v>45013</v>
      </c>
      <c r="I16" s="60">
        <f t="shared" si="0"/>
        <v>6.3408624229979464</v>
      </c>
      <c r="J16" s="44" t="str">
        <f>IF(LEN(C16) - LEN(SUBSTITUTE(C16," ",""))&lt;3,C16,RIGHT(C16,LEN(C16)-FIND(" ",клиенты!$C16,1)))</f>
        <v>Лонгин Арсенович Никонов</v>
      </c>
      <c r="K16" s="44" t="str">
        <f t="shared" si="1"/>
        <v>Лонгин Арсенович Никонов</v>
      </c>
      <c r="L16" s="44" t="str">
        <f>LEFT(клиенты!$K16,FIND(" ",клиенты!$K16,1)-1)</f>
        <v>Лонгин</v>
      </c>
      <c r="M16" s="44" t="str">
        <f>MID(K16,FIND(" ",клиенты!$K16,1)+1,(FIND(" ",клиенты!$K16,FIND(" ",клиенты!$K16,1)+1)-1)-FIND(" ",клиенты!$K16,1))</f>
        <v>Арсенович</v>
      </c>
      <c r="N16" s="44" t="str">
        <f>RIGHT(K16,LEN(K16)-FIND(" ",клиенты!$K16,FIND(" ",клиенты!$K16,1)+1))</f>
        <v>Никонов</v>
      </c>
    </row>
    <row r="17" spans="1:33" x14ac:dyDescent="0.25">
      <c r="A17" s="40">
        <v>164</v>
      </c>
      <c r="B17" s="41" t="s">
        <v>979</v>
      </c>
      <c r="C17" s="41" t="s">
        <v>978</v>
      </c>
      <c r="D17" s="41" t="s">
        <v>140</v>
      </c>
      <c r="E17" s="42">
        <v>44678</v>
      </c>
      <c r="F17" s="41" t="str">
        <f>LEFT(клиенты!$B17,LEN(клиенты!$B17)-13)</f>
        <v>+7</v>
      </c>
      <c r="G17" s="41" t="str">
        <f>_xlfn.XLOOKUP(клиенты!$F17,'коды стран'!$B$2:$B$7,'коды стран'!$A$2:$A$7,"не найдено",0)</f>
        <v>Россия</v>
      </c>
      <c r="H17" s="42">
        <f>_xlfn.MAXIFS(Продажи[дата создания чека],Продажи[id клиента],A17)</f>
        <v>45335</v>
      </c>
      <c r="I17" s="59">
        <f t="shared" si="0"/>
        <v>21.585215605749486</v>
      </c>
      <c r="J17" s="41" t="str">
        <f>IF(LEN(C17) - LEN(SUBSTITUTE(C17," ",""))&lt;3,C17,RIGHT(C17,LEN(C17)-FIND(" ",клиенты!$C17,1)))</f>
        <v>Филимон Федотович Иванов</v>
      </c>
      <c r="K17" s="41" t="str">
        <f t="shared" si="1"/>
        <v>Филимон Федотович Иванов</v>
      </c>
      <c r="L17" s="41" t="str">
        <f>LEFT(клиенты!$K17,FIND(" ",клиенты!$K17,1)-1)</f>
        <v>Филимон</v>
      </c>
      <c r="M17" s="41" t="str">
        <f>MID(K17,FIND(" ",клиенты!$K17,1)+1,(FIND(" ",клиенты!$K17,FIND(" ",клиенты!$K17,1)+1)-1)-FIND(" ",клиенты!$K17,1))</f>
        <v>Федотович</v>
      </c>
      <c r="N17" s="41" t="str">
        <f>RIGHT(K17,LEN(K17)-FIND(" ",клиенты!$K17,FIND(" ",клиенты!$K17,1)+1))</f>
        <v>Иванов</v>
      </c>
    </row>
    <row r="18" spans="1:33" x14ac:dyDescent="0.25">
      <c r="A18" s="43">
        <v>490</v>
      </c>
      <c r="B18" s="44" t="s">
        <v>977</v>
      </c>
      <c r="C18" s="44" t="s">
        <v>976</v>
      </c>
      <c r="D18" s="44" t="s">
        <v>140</v>
      </c>
      <c r="E18" s="45">
        <v>44603</v>
      </c>
      <c r="F18" s="44" t="str">
        <f>LEFT(клиенты!$B18,LEN(клиенты!$B18)-13)</f>
        <v>+7</v>
      </c>
      <c r="G18" s="44" t="str">
        <f>_xlfn.XLOOKUP(клиенты!$F18,'коды стран'!$B$2:$B$7,'коды стран'!$A$2:$A$7,"не найдено",0)</f>
        <v>Россия</v>
      </c>
      <c r="H18" s="45">
        <f>_xlfn.MAXIFS(Продажи[дата создания чека],Продажи[id клиента],A18)</f>
        <v>45371</v>
      </c>
      <c r="I18" s="60">
        <f t="shared" si="0"/>
        <v>25.232032854209447</v>
      </c>
      <c r="J18" s="44" t="str">
        <f>IF(LEN(C18) - LEN(SUBSTITUTE(C18," ",""))&lt;3,C18,RIGHT(C18,LEN(C18)-FIND(" ",клиенты!$C18,1)))</f>
        <v>Кудрявцев Демид Ерофеевич</v>
      </c>
      <c r="K18" s="44" t="str">
        <f t="shared" si="1"/>
        <v>Демид Ерофеевич Кудрявцев</v>
      </c>
      <c r="L18" s="44" t="str">
        <f>LEFT(клиенты!$K18,FIND(" ",клиенты!$K18,1)-1)</f>
        <v>Демид</v>
      </c>
      <c r="M18" s="44" t="str">
        <f>MID(K18,FIND(" ",клиенты!$K18,1)+1,(FIND(" ",клиенты!$K18,FIND(" ",клиенты!$K18,1)+1)-1)-FIND(" ",клиенты!$K18,1))</f>
        <v>Ерофеевич</v>
      </c>
      <c r="N18" s="44" t="str">
        <f>RIGHT(K18,LEN(K18)-FIND(" ",клиенты!$K18,FIND(" ",клиенты!$K18,1)+1))</f>
        <v>Кудрявцев</v>
      </c>
    </row>
    <row r="19" spans="1:33" x14ac:dyDescent="0.25">
      <c r="A19" s="40">
        <v>223</v>
      </c>
      <c r="B19" s="41" t="s">
        <v>975</v>
      </c>
      <c r="C19" s="41" t="s">
        <v>974</v>
      </c>
      <c r="D19" s="41" t="s">
        <v>143</v>
      </c>
      <c r="E19" s="42">
        <v>44893</v>
      </c>
      <c r="F19" s="41" t="str">
        <f>LEFT(клиенты!$B19,LEN(клиенты!$B19)-13)</f>
        <v>+380</v>
      </c>
      <c r="G19" s="41" t="str">
        <f>_xlfn.XLOOKUP(клиенты!$F19,'коды стран'!$B$2:$B$7,'коды стран'!$A$2:$A$7,"не найдено",0)</f>
        <v>Украина</v>
      </c>
      <c r="H19" s="42">
        <f>_xlfn.MAXIFS(Продажи[дата создания чека],Продажи[id клиента],A19)</f>
        <v>45325</v>
      </c>
      <c r="I19" s="59">
        <f t="shared" si="0"/>
        <v>14.193018480492814</v>
      </c>
      <c r="J19" s="41" t="str">
        <f>IF(LEN(C19) - LEN(SUBSTITUTE(C19," ",""))&lt;3,C19,RIGHT(C19,LEN(C19)-FIND(" ",клиенты!$C19,1)))</f>
        <v>Вероника Евгеньевна Федосеева</v>
      </c>
      <c r="K19" s="41" t="str">
        <f t="shared" si="1"/>
        <v>Вероника Евгеньевна Федосеева</v>
      </c>
      <c r="L19" s="41" t="str">
        <f>LEFT(клиенты!$K19,FIND(" ",клиенты!$K19,1)-1)</f>
        <v>Вероника</v>
      </c>
      <c r="M19" s="41" t="str">
        <f>MID(K19,FIND(" ",клиенты!$K19,1)+1,(FIND(" ",клиенты!$K19,FIND(" ",клиенты!$K19,1)+1)-1)-FIND(" ",клиенты!$K19,1))</f>
        <v>Евгеньевна</v>
      </c>
      <c r="N19" s="41" t="str">
        <f>RIGHT(K19,LEN(K19)-FIND(" ",клиенты!$K19,FIND(" ",клиенты!$K19,1)+1))</f>
        <v>Федосеева</v>
      </c>
    </row>
    <row r="20" spans="1:33" x14ac:dyDescent="0.25">
      <c r="A20" s="43">
        <v>204</v>
      </c>
      <c r="B20" s="44" t="s">
        <v>973</v>
      </c>
      <c r="C20" s="44" t="s">
        <v>972</v>
      </c>
      <c r="D20" s="44" t="s">
        <v>143</v>
      </c>
      <c r="E20" s="45">
        <v>44867</v>
      </c>
      <c r="F20" s="44" t="str">
        <f>LEFT(клиенты!$B20,LEN(клиенты!$B20)-13)</f>
        <v>+7</v>
      </c>
      <c r="G20" s="44" t="str">
        <f>_xlfn.XLOOKUP(клиенты!$F20,'коды стран'!$B$2:$B$7,'коды стран'!$A$2:$A$7,"не найдено",0)</f>
        <v>Россия</v>
      </c>
      <c r="H20" s="45">
        <f>_xlfn.MAXIFS(Продажи[дата создания чека],Продажи[id клиента],A20)</f>
        <v>45168</v>
      </c>
      <c r="I20" s="60">
        <f t="shared" si="0"/>
        <v>9.8891170431211499</v>
      </c>
      <c r="J20" s="44" t="str">
        <f>IF(LEN(C20) - LEN(SUBSTITUTE(C20," ",""))&lt;3,C20,RIGHT(C20,LEN(C20)-FIND(" ",клиенты!$C20,1)))</f>
        <v>Герасимов Еремей Демидович</v>
      </c>
      <c r="K20" s="44" t="str">
        <f t="shared" si="1"/>
        <v>Еремей Демидович Герасимов</v>
      </c>
      <c r="L20" s="44" t="str">
        <f>LEFT(клиенты!$K20,FIND(" ",клиенты!$K20,1)-1)</f>
        <v>Еремей</v>
      </c>
      <c r="M20" s="44" t="str">
        <f>MID(K20,FIND(" ",клиенты!$K20,1)+1,(FIND(" ",клиенты!$K20,FIND(" ",клиенты!$K20,1)+1)-1)-FIND(" ",клиенты!$K20,1))</f>
        <v>Демидович</v>
      </c>
      <c r="N20" s="44" t="str">
        <f>RIGHT(K20,LEN(K20)-FIND(" ",клиенты!$K20,FIND(" ",клиенты!$K20,1)+1))</f>
        <v>Герасимов</v>
      </c>
    </row>
    <row r="21" spans="1:33" x14ac:dyDescent="0.25">
      <c r="A21" s="40">
        <v>481</v>
      </c>
      <c r="B21" s="41" t="s">
        <v>971</v>
      </c>
      <c r="C21" s="41" t="s">
        <v>970</v>
      </c>
      <c r="D21" s="41" t="s">
        <v>143</v>
      </c>
      <c r="E21" s="42">
        <v>44756</v>
      </c>
      <c r="F21" s="41" t="str">
        <f>LEFT(клиенты!$B21,LEN(клиенты!$B21)-13)</f>
        <v>+375</v>
      </c>
      <c r="G21" s="41" t="str">
        <f>_xlfn.XLOOKUP(клиенты!$F21,'коды стран'!$B$2:$B$7,'коды стран'!$A$2:$A$7,"не найдено",0)</f>
        <v>Беларусь</v>
      </c>
      <c r="H21" s="42">
        <f>_xlfn.MAXIFS(Продажи[дата создания чека],Продажи[id клиента],A21)</f>
        <v>45327</v>
      </c>
      <c r="I21" s="59">
        <f t="shared" si="0"/>
        <v>18.759753593429156</v>
      </c>
      <c r="J21" s="41" t="str">
        <f>IF(LEN(C21) - LEN(SUBSTITUTE(C21," ",""))&lt;3,C21,RIGHT(C21,LEN(C21)-FIND(" ",клиенты!$C21,1)))</f>
        <v>Новикова Лидия Павловна</v>
      </c>
      <c r="K21" s="41" t="str">
        <f t="shared" si="1"/>
        <v>Лидия Павловна Новикова</v>
      </c>
      <c r="L21" s="41" t="str">
        <f>LEFT(клиенты!$K21,FIND(" ",клиенты!$K21,1)-1)</f>
        <v>Лидия</v>
      </c>
      <c r="M21" s="41" t="str">
        <f>MID(K21,FIND(" ",клиенты!$K21,1)+1,(FIND(" ",клиенты!$K21,FIND(" ",клиенты!$K21,1)+1)-1)-FIND(" ",клиенты!$K21,1))</f>
        <v>Павловна</v>
      </c>
      <c r="N21" s="41" t="str">
        <f>RIGHT(K21,LEN(K21)-FIND(" ",клиенты!$K21,FIND(" ",клиенты!$K21,1)+1))</f>
        <v>Новикова</v>
      </c>
    </row>
    <row r="22" spans="1:33" x14ac:dyDescent="0.25">
      <c r="A22" s="43">
        <v>363</v>
      </c>
      <c r="B22" s="44" t="s">
        <v>969</v>
      </c>
      <c r="C22" s="44" t="s">
        <v>968</v>
      </c>
      <c r="D22" s="44" t="s">
        <v>140</v>
      </c>
      <c r="E22" s="45">
        <v>44675</v>
      </c>
      <c r="F22" s="44" t="str">
        <f>LEFT(клиенты!$B22,LEN(клиенты!$B22)-13)</f>
        <v>+998</v>
      </c>
      <c r="G22" s="44" t="str">
        <f>_xlfn.XLOOKUP(клиенты!$F22,'коды стран'!$B$2:$B$7,'коды стран'!$A$2:$A$7,"не найдено",0)</f>
        <v>Узбекистан</v>
      </c>
      <c r="H22" s="45">
        <f>_xlfn.MAXIFS(Продажи[дата создания чека],Продажи[id клиента],A22)</f>
        <v>45244</v>
      </c>
      <c r="I22" s="60">
        <f t="shared" si="0"/>
        <v>18.694045174537987</v>
      </c>
      <c r="J22" s="44" t="str">
        <f>IF(LEN(C22) - LEN(SUBSTITUTE(C22," ",""))&lt;3,C22,RIGHT(C22,LEN(C22)-FIND(" ",клиенты!$C22,1)))</f>
        <v>Сорокина Феврония Натановна</v>
      </c>
      <c r="K22" s="44" t="str">
        <f t="shared" si="1"/>
        <v>Феврония Натановна Сорокина</v>
      </c>
      <c r="L22" s="44" t="str">
        <f>LEFT(клиенты!$K22,FIND(" ",клиенты!$K22,1)-1)</f>
        <v>Феврония</v>
      </c>
      <c r="M22" s="44" t="str">
        <f>MID(K22,FIND(" ",клиенты!$K22,1)+1,(FIND(" ",клиенты!$K22,FIND(" ",клиенты!$K22,1)+1)-1)-FIND(" ",клиенты!$K22,1))</f>
        <v>Натановна</v>
      </c>
      <c r="N22" s="44" t="str">
        <f>RIGHT(K22,LEN(K22)-FIND(" ",клиенты!$K22,FIND(" ",клиенты!$K22,1)+1))</f>
        <v>Сорокина</v>
      </c>
    </row>
    <row r="23" spans="1:33" x14ac:dyDescent="0.25">
      <c r="A23" s="40">
        <v>397</v>
      </c>
      <c r="B23" s="41" t="s">
        <v>967</v>
      </c>
      <c r="C23" s="41" t="s">
        <v>966</v>
      </c>
      <c r="D23" s="41" t="s">
        <v>140</v>
      </c>
      <c r="E23" s="42">
        <v>44728</v>
      </c>
      <c r="F23" s="41" t="str">
        <f>LEFT(клиенты!$B23,LEN(клиенты!$B23)-13)</f>
        <v>+375</v>
      </c>
      <c r="G23" s="41" t="str">
        <f>_xlfn.XLOOKUP(клиенты!$F23,'коды стран'!$B$2:$B$7,'коды стран'!$A$2:$A$7,"не найдено",0)</f>
        <v>Беларусь</v>
      </c>
      <c r="H23" s="42">
        <f>_xlfn.MAXIFS(Продажи[дата создания чека],Продажи[id клиента],A23)</f>
        <v>45123</v>
      </c>
      <c r="I23" s="59">
        <f t="shared" si="0"/>
        <v>12.97741273100616</v>
      </c>
      <c r="J23" s="41" t="str">
        <f>IF(LEN(C23) - LEN(SUBSTITUTE(C23," ",""))&lt;3,C23,RIGHT(C23,LEN(C23)-FIND(" ",клиенты!$C23,1)))</f>
        <v>Нинель Натановна Лазарева</v>
      </c>
      <c r="K23" s="41" t="str">
        <f t="shared" si="1"/>
        <v>Нинель Натановна Лазарева</v>
      </c>
      <c r="L23" s="41" t="str">
        <f>LEFT(клиенты!$K23,FIND(" ",клиенты!$K23,1)-1)</f>
        <v>Нинель</v>
      </c>
      <c r="M23" s="41" t="str">
        <f>MID(K23,FIND(" ",клиенты!$K23,1)+1,(FIND(" ",клиенты!$K23,FIND(" ",клиенты!$K23,1)+1)-1)-FIND(" ",клиенты!$K23,1))</f>
        <v>Натановна</v>
      </c>
      <c r="N23" s="41" t="str">
        <f>RIGHT(K23,LEN(K23)-FIND(" ",клиенты!$K23,FIND(" ",клиенты!$K23,1)+1))</f>
        <v>Лазарева</v>
      </c>
      <c r="X23" s="81"/>
      <c r="Y23" s="81"/>
      <c r="Z23" s="81"/>
      <c r="AA23" s="81"/>
      <c r="AB23" s="81"/>
      <c r="AC23" s="81"/>
      <c r="AD23" s="81"/>
      <c r="AE23" s="81"/>
      <c r="AF23" s="81"/>
      <c r="AG23" s="81"/>
    </row>
    <row r="24" spans="1:33" x14ac:dyDescent="0.25">
      <c r="A24" s="43">
        <v>280</v>
      </c>
      <c r="B24" s="44" t="s">
        <v>965</v>
      </c>
      <c r="C24" s="44" t="s">
        <v>964</v>
      </c>
      <c r="D24" s="44" t="s">
        <v>140</v>
      </c>
      <c r="E24" s="45">
        <v>44563</v>
      </c>
      <c r="F24" s="44" t="str">
        <f>LEFT(клиенты!$B24,LEN(клиенты!$B24)-13)</f>
        <v>+7</v>
      </c>
      <c r="G24" s="44" t="str">
        <f>_xlfn.XLOOKUP(клиенты!$F24,'коды стран'!$B$2:$B$7,'коды стран'!$A$2:$A$7,"не найдено",0)</f>
        <v>Россия</v>
      </c>
      <c r="H24" s="45">
        <f>_xlfn.MAXIFS(Продажи[дата создания чека],Продажи[id клиента],A24)</f>
        <v>45284</v>
      </c>
      <c r="I24" s="60">
        <f t="shared" si="0"/>
        <v>23.687885010266939</v>
      </c>
      <c r="J24" s="44" t="str">
        <f>IF(LEN(C24) - LEN(SUBSTITUTE(C24," ",""))&lt;3,C24,RIGHT(C24,LEN(C24)-FIND(" ",клиенты!$C24,1)))</f>
        <v>Рыбаков Автоном Антонович</v>
      </c>
      <c r="K24" s="44" t="str">
        <f t="shared" si="1"/>
        <v>Рыбаков Автоном Антонович г-н</v>
      </c>
      <c r="L24" s="44" t="str">
        <f>LEFT(клиенты!$K24,FIND(" ",клиенты!$K24,1)-1)</f>
        <v>Рыбаков</v>
      </c>
      <c r="M24" s="44" t="str">
        <f>MID(K24,FIND(" ",клиенты!$K24,1)+1,(FIND(" ",клиенты!$K24,FIND(" ",клиенты!$K24,1)+1)-1)-FIND(" ",клиенты!$K24,1))</f>
        <v>Автоном</v>
      </c>
      <c r="N24" s="44" t="str">
        <f>RIGHT(K24,LEN(K24)-FIND(" ",клиенты!$K24,FIND(" ",клиенты!$K24,1)+1))</f>
        <v>Антонович г-н</v>
      </c>
    </row>
    <row r="25" spans="1:33" x14ac:dyDescent="0.25">
      <c r="A25" s="40">
        <v>39</v>
      </c>
      <c r="B25" s="41" t="s">
        <v>963</v>
      </c>
      <c r="C25" s="41" t="s">
        <v>962</v>
      </c>
      <c r="D25" s="41" t="s">
        <v>143</v>
      </c>
      <c r="E25" s="42">
        <v>44653</v>
      </c>
      <c r="F25" s="41" t="str">
        <f>LEFT(клиенты!$B25,LEN(клиенты!$B25)-13)</f>
        <v>+375</v>
      </c>
      <c r="G25" s="41" t="str">
        <f>_xlfn.XLOOKUP(клиенты!$F25,'коды стран'!$B$2:$B$7,'коды стран'!$A$2:$A$7,"не найдено",0)</f>
        <v>Беларусь</v>
      </c>
      <c r="H25" s="42">
        <f>_xlfn.MAXIFS(Продажи[дата создания чека],Продажи[id клиента],A25)</f>
        <v>45003</v>
      </c>
      <c r="I25" s="59">
        <f t="shared" si="0"/>
        <v>11.498973305954825</v>
      </c>
      <c r="J25" s="41" t="str">
        <f>IF(LEN(C25) - LEN(SUBSTITUTE(C25," ",""))&lt;3,C25,RIGHT(C25,LEN(C25)-FIND(" ",клиенты!$C25,1)))</f>
        <v>Бирюков Олимпий Иосифович</v>
      </c>
      <c r="K25" s="41" t="str">
        <f t="shared" si="1"/>
        <v>Олимпий Иосифович Бирюков</v>
      </c>
      <c r="L25" s="41" t="str">
        <f>LEFT(клиенты!$K25,FIND(" ",клиенты!$K25,1)-1)</f>
        <v>Олимпий</v>
      </c>
      <c r="M25" s="41" t="str">
        <f>MID(K25,FIND(" ",клиенты!$K25,1)+1,(FIND(" ",клиенты!$K25,FIND(" ",клиенты!$K25,1)+1)-1)-FIND(" ",клиенты!$K25,1))</f>
        <v>Иосифович</v>
      </c>
      <c r="N25" s="41" t="str">
        <f>RIGHT(K25,LEN(K25)-FIND(" ",клиенты!$K25,FIND(" ",клиенты!$K25,1)+1))</f>
        <v>Бирюков</v>
      </c>
    </row>
    <row r="26" spans="1:33" ht="15.75" customHeight="1" x14ac:dyDescent="0.25">
      <c r="A26" s="43">
        <v>303</v>
      </c>
      <c r="B26" s="44" t="s">
        <v>961</v>
      </c>
      <c r="C26" s="44" t="s">
        <v>960</v>
      </c>
      <c r="D26" s="44" t="s">
        <v>140</v>
      </c>
      <c r="E26" s="45">
        <v>44689</v>
      </c>
      <c r="F26" s="44" t="str">
        <f>LEFT(клиенты!$B26,LEN(клиенты!$B26)-13)</f>
        <v>+998</v>
      </c>
      <c r="G26" s="44" t="str">
        <f>_xlfn.XLOOKUP(клиенты!$F26,'коды стран'!$B$2:$B$7,'коды стран'!$A$2:$A$7,"не найдено",0)</f>
        <v>Узбекистан</v>
      </c>
      <c r="H26" s="45">
        <f>_xlfn.MAXIFS(Продажи[дата создания чека],Продажи[id клиента],A26)</f>
        <v>45326</v>
      </c>
      <c r="I26" s="60">
        <f t="shared" si="0"/>
        <v>20.928131416837783</v>
      </c>
      <c r="J26" s="44" t="str">
        <f>IF(LEN(C26) - LEN(SUBSTITUTE(C26," ",""))&lt;3,C26,RIGHT(C26,LEN(C26)-FIND(" ",клиенты!$C26,1)))</f>
        <v>Чеслав Виленович Шестаков</v>
      </c>
      <c r="K26" s="44" t="str">
        <f t="shared" si="1"/>
        <v>Чеслав Виленович Шестаков</v>
      </c>
      <c r="L26" s="44" t="str">
        <f>LEFT(клиенты!$K26,FIND(" ",клиенты!$K26,1)-1)</f>
        <v>Чеслав</v>
      </c>
      <c r="M26" s="44" t="str">
        <f>MID(K26,FIND(" ",клиенты!$K26,1)+1,(FIND(" ",клиенты!$K26,FIND(" ",клиенты!$K26,1)+1)-1)-FIND(" ",клиенты!$K26,1))</f>
        <v>Виленович</v>
      </c>
      <c r="N26" s="44" t="str">
        <f>RIGHT(K26,LEN(K26)-FIND(" ",клиенты!$K26,FIND(" ",клиенты!$K26,1)+1))</f>
        <v>Шестаков</v>
      </c>
      <c r="Q26" s="82" t="s">
        <v>1099</v>
      </c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 spans="1:33" x14ac:dyDescent="0.25">
      <c r="A27" s="40">
        <v>422</v>
      </c>
      <c r="B27" s="41" t="s">
        <v>959</v>
      </c>
      <c r="C27" s="41" t="s">
        <v>958</v>
      </c>
      <c r="D27" s="41" t="s">
        <v>140</v>
      </c>
      <c r="E27" s="42">
        <v>44784</v>
      </c>
      <c r="F27" s="41" t="str">
        <f>LEFT(клиенты!$B27,LEN(клиенты!$B27)-13)</f>
        <v>+380</v>
      </c>
      <c r="G27" s="41" t="str">
        <f>_xlfn.XLOOKUP(клиенты!$F27,'коды стран'!$B$2:$B$7,'коды стран'!$A$2:$A$7,"не найдено",0)</f>
        <v>Украина</v>
      </c>
      <c r="H27" s="42">
        <f>_xlfn.MAXIFS(Продажи[дата создания чека],Продажи[id клиента],A27)</f>
        <v>45174</v>
      </c>
      <c r="I27" s="59">
        <f t="shared" si="0"/>
        <v>12.813141683778234</v>
      </c>
      <c r="J27" s="41" t="str">
        <f>IF(LEN(C27) - LEN(SUBSTITUTE(C27," ",""))&lt;3,C27,RIGHT(C27,LEN(C27)-FIND(" ",клиенты!$C27,1)))</f>
        <v>Виноградов Карл Алексеевич</v>
      </c>
      <c r="K27" s="41" t="str">
        <f t="shared" si="1"/>
        <v>Карл Алексеевич Виноградов</v>
      </c>
      <c r="L27" s="41" t="str">
        <f>LEFT(клиенты!$K27,FIND(" ",клиенты!$K27,1)-1)</f>
        <v>Карл</v>
      </c>
      <c r="M27" s="41" t="str">
        <f>MID(K27,FIND(" ",клиенты!$K27,1)+1,(FIND(" ",клиенты!$K27,FIND(" ",клиенты!$K27,1)+1)-1)-FIND(" ",клиенты!$K27,1))</f>
        <v>Алексеевич</v>
      </c>
      <c r="N27" s="41" t="str">
        <f>RIGHT(K27,LEN(K27)-FIND(" ",клиенты!$K27,FIND(" ",клиенты!$K27,1)+1))</f>
        <v>Виноградов</v>
      </c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 spans="1:33" x14ac:dyDescent="0.25">
      <c r="A28" s="43">
        <v>24</v>
      </c>
      <c r="B28" s="44" t="s">
        <v>957</v>
      </c>
      <c r="C28" s="44" t="s">
        <v>956</v>
      </c>
      <c r="D28" s="44" t="s">
        <v>143</v>
      </c>
      <c r="E28" s="45">
        <v>44609</v>
      </c>
      <c r="F28" s="44" t="str">
        <f>LEFT(клиенты!$B28,LEN(клиенты!$B28)-13)</f>
        <v>+998</v>
      </c>
      <c r="G28" s="44" t="str">
        <f>_xlfn.XLOOKUP(клиенты!$F28,'коды стран'!$B$2:$B$7,'коды стран'!$A$2:$A$7,"не найдено",0)</f>
        <v>Узбекистан</v>
      </c>
      <c r="H28" s="45">
        <f>_xlfn.MAXIFS(Продажи[дата создания чека],Продажи[id клиента],A28)</f>
        <v>45300</v>
      </c>
      <c r="I28" s="60">
        <f t="shared" si="0"/>
        <v>22.702258726899384</v>
      </c>
      <c r="J28" s="44" t="str">
        <f>IF(LEN(C28) - LEN(SUBSTITUTE(C28," ",""))&lt;3,C28,RIGHT(C28,LEN(C28)-FIND(" ",клиенты!$C28,1)))</f>
        <v>Кудрявцева Ульяна Филипповна</v>
      </c>
      <c r="K28" s="44" t="str">
        <f t="shared" si="1"/>
        <v>Ульяна Филипповна Кудрявцева</v>
      </c>
      <c r="L28" s="44" t="str">
        <f>LEFT(клиенты!$K28,FIND(" ",клиенты!$K28,1)-1)</f>
        <v>Ульяна</v>
      </c>
      <c r="M28" s="44" t="str">
        <f>MID(K28,FIND(" ",клиенты!$K28,1)+1,(FIND(" ",клиенты!$K28,FIND(" ",клиенты!$K28,1)+1)-1)-FIND(" ",клиенты!$K28,1))</f>
        <v>Филипповна</v>
      </c>
      <c r="N28" s="44" t="str">
        <f>RIGHT(K28,LEN(K28)-FIND(" ",клиенты!$K28,FIND(" ",клиенты!$K28,1)+1))</f>
        <v>Кудрявцева</v>
      </c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 spans="1:33" x14ac:dyDescent="0.25">
      <c r="A29" s="40">
        <v>112</v>
      </c>
      <c r="B29" s="41" t="s">
        <v>955</v>
      </c>
      <c r="C29" s="41" t="s">
        <v>954</v>
      </c>
      <c r="D29" s="41" t="s">
        <v>140</v>
      </c>
      <c r="E29" s="42">
        <v>44652</v>
      </c>
      <c r="F29" s="41" t="str">
        <f>LEFT(клиенты!$B29,LEN(клиенты!$B29)-13)</f>
        <v>+7</v>
      </c>
      <c r="G29" s="41" t="str">
        <f>_xlfn.XLOOKUP(клиенты!$F29,'коды стран'!$B$2:$B$7,'коды стран'!$A$2:$A$7,"не найдено",0)</f>
        <v>Россия</v>
      </c>
      <c r="H29" s="42">
        <f>_xlfn.MAXIFS(Продажи[дата создания чека],Продажи[id клиента],A29)</f>
        <v>45368</v>
      </c>
      <c r="I29" s="59">
        <f t="shared" si="0"/>
        <v>23.523613963039015</v>
      </c>
      <c r="J29" s="41" t="str">
        <f>IF(LEN(C29) - LEN(SUBSTITUTE(C29," ",""))&lt;3,C29,RIGHT(C29,LEN(C29)-FIND(" ",клиенты!$C29,1)))</f>
        <v>Майя Вадимовна Рябова</v>
      </c>
      <c r="K29" s="41" t="str">
        <f t="shared" si="1"/>
        <v>Майя Вадимовна Рябова</v>
      </c>
      <c r="L29" s="41" t="str">
        <f>LEFT(клиенты!$K29,FIND(" ",клиенты!$K29,1)-1)</f>
        <v>Майя</v>
      </c>
      <c r="M29" s="41" t="str">
        <f>MID(K29,FIND(" ",клиенты!$K29,1)+1,(FIND(" ",клиенты!$K29,FIND(" ",клиенты!$K29,1)+1)-1)-FIND(" ",клиенты!$K29,1))</f>
        <v>Вадимовна</v>
      </c>
      <c r="N29" s="41" t="str">
        <f>RIGHT(K29,LEN(K29)-FIND(" ",клиенты!$K29,FIND(" ",клиенты!$K29,1)+1))</f>
        <v>Рябова</v>
      </c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spans="1:33" x14ac:dyDescent="0.25">
      <c r="A30" s="43">
        <v>451</v>
      </c>
      <c r="B30" s="44" t="s">
        <v>953</v>
      </c>
      <c r="C30" s="44" t="s">
        <v>952</v>
      </c>
      <c r="D30" s="44" t="s">
        <v>143</v>
      </c>
      <c r="E30" s="45">
        <v>44584</v>
      </c>
      <c r="F30" s="44" t="str">
        <f>LEFT(клиенты!$B30,LEN(клиенты!$B30)-13)</f>
        <v>+7</v>
      </c>
      <c r="G30" s="44" t="str">
        <f>_xlfn.XLOOKUP(клиенты!$F30,'коды стран'!$B$2:$B$7,'коды стран'!$A$2:$A$7,"не найдено",0)</f>
        <v>Россия</v>
      </c>
      <c r="H30" s="45">
        <f>_xlfn.MAXIFS(Продажи[дата создания чека],Продажи[id клиента],A30)</f>
        <v>45040</v>
      </c>
      <c r="I30" s="60">
        <f t="shared" si="0"/>
        <v>14.981519507186858</v>
      </c>
      <c r="J30" s="44" t="str">
        <f>IF(LEN(C30) - LEN(SUBSTITUTE(C30," ",""))&lt;3,C30,RIGHT(C30,LEN(C30)-FIND(" ",клиенты!$C30,1)))</f>
        <v>Лукия Ефимовна Тимофеева</v>
      </c>
      <c r="K30" s="44" t="str">
        <f t="shared" si="1"/>
        <v>Лукия Ефимовна Тимофеева</v>
      </c>
      <c r="L30" s="44" t="str">
        <f>LEFT(клиенты!$K30,FIND(" ",клиенты!$K30,1)-1)</f>
        <v>Лукия</v>
      </c>
      <c r="M30" s="44" t="str">
        <f>MID(K30,FIND(" ",клиенты!$K30,1)+1,(FIND(" ",клиенты!$K30,FIND(" ",клиенты!$K30,1)+1)-1)-FIND(" ",клиенты!$K30,1))</f>
        <v>Ефимовна</v>
      </c>
      <c r="N30" s="44" t="str">
        <f>RIGHT(K30,LEN(K30)-FIND(" ",клиенты!$K30,FIND(" ",клиенты!$K30,1)+1))</f>
        <v>Тимофеева</v>
      </c>
    </row>
    <row r="31" spans="1:33" x14ac:dyDescent="0.25">
      <c r="A31" s="40">
        <v>131</v>
      </c>
      <c r="B31" s="41" t="s">
        <v>951</v>
      </c>
      <c r="C31" s="41" t="s">
        <v>950</v>
      </c>
      <c r="D31" s="41" t="s">
        <v>143</v>
      </c>
      <c r="E31" s="42">
        <v>44693</v>
      </c>
      <c r="F31" s="41" t="str">
        <f>LEFT(клиенты!$B31,LEN(клиенты!$B31)-13)</f>
        <v>+7</v>
      </c>
      <c r="G31" s="41" t="str">
        <f>_xlfn.XLOOKUP(клиенты!$F31,'коды стран'!$B$2:$B$7,'коды стран'!$A$2:$A$7,"не найдено",0)</f>
        <v>Россия</v>
      </c>
      <c r="H31" s="42">
        <f>_xlfn.MAXIFS(Продажи[дата создания чека],Продажи[id клиента],A31)</f>
        <v>45414</v>
      </c>
      <c r="I31" s="59">
        <f t="shared" si="0"/>
        <v>23.687885010266939</v>
      </c>
      <c r="J31" s="41" t="str">
        <f>IF(LEN(C31) - LEN(SUBSTITUTE(C31," ",""))&lt;3,C31,RIGHT(C31,LEN(C31)-FIND(" ",клиенты!$C31,1)))</f>
        <v>Полина Николаевна Евдокимова</v>
      </c>
      <c r="K31" s="41" t="str">
        <f t="shared" si="1"/>
        <v>Полина Николаевна Евдокимова</v>
      </c>
      <c r="L31" s="41" t="str">
        <f>LEFT(клиенты!$K31,FIND(" ",клиенты!$K31,1)-1)</f>
        <v>Полина</v>
      </c>
      <c r="M31" s="41" t="str">
        <f>MID(K31,FIND(" ",клиенты!$K31,1)+1,(FIND(" ",клиенты!$K31,FIND(" ",клиенты!$K31,1)+1)-1)-FIND(" ",клиенты!$K31,1))</f>
        <v>Николаевна</v>
      </c>
      <c r="N31" s="41" t="str">
        <f>RIGHT(K31,LEN(K31)-FIND(" ",клиенты!$K31,FIND(" ",клиенты!$K31,1)+1))</f>
        <v>Евдокимова</v>
      </c>
    </row>
    <row r="32" spans="1:33" x14ac:dyDescent="0.25">
      <c r="A32" s="43">
        <v>160</v>
      </c>
      <c r="B32" s="44" t="s">
        <v>949</v>
      </c>
      <c r="C32" s="44" t="s">
        <v>948</v>
      </c>
      <c r="D32" s="44" t="s">
        <v>143</v>
      </c>
      <c r="E32" s="45">
        <v>44649</v>
      </c>
      <c r="F32" s="44" t="str">
        <f>LEFT(клиенты!$B32,LEN(клиенты!$B32)-13)</f>
        <v>+998</v>
      </c>
      <c r="G32" s="44" t="str">
        <f>_xlfn.XLOOKUP(клиенты!$F32,'коды стран'!$B$2:$B$7,'коды стран'!$A$2:$A$7,"не найдено",0)</f>
        <v>Узбекистан</v>
      </c>
      <c r="H32" s="45">
        <f>_xlfn.MAXIFS(Продажи[дата создания чека],Продажи[id клиента],A32)</f>
        <v>45125</v>
      </c>
      <c r="I32" s="60">
        <f t="shared" si="0"/>
        <v>15.638603696098563</v>
      </c>
      <c r="J32" s="44" t="str">
        <f>IF(LEN(C32) - LEN(SUBSTITUTE(C32," ",""))&lt;3,C32,RIGHT(C32,LEN(C32)-FIND(" ",клиенты!$C32,1)))</f>
        <v>Элеонора Ивановна Королева</v>
      </c>
      <c r="K32" s="44" t="str">
        <f t="shared" si="1"/>
        <v>Элеонора Ивановна Королева</v>
      </c>
      <c r="L32" s="44" t="str">
        <f>LEFT(клиенты!$K32,FIND(" ",клиенты!$K32,1)-1)</f>
        <v>Элеонора</v>
      </c>
      <c r="M32" s="44" t="str">
        <f>MID(K32,FIND(" ",клиенты!$K32,1)+1,(FIND(" ",клиенты!$K32,FIND(" ",клиенты!$K32,1)+1)-1)-FIND(" ",клиенты!$K32,1))</f>
        <v>Ивановна</v>
      </c>
      <c r="N32" s="44" t="str">
        <f>RIGHT(K32,LEN(K32)-FIND(" ",клиенты!$K32,FIND(" ",клиенты!$K32,1)+1))</f>
        <v>Королева</v>
      </c>
    </row>
    <row r="33" spans="1:14" x14ac:dyDescent="0.25">
      <c r="A33" s="40">
        <v>408</v>
      </c>
      <c r="B33" s="41" t="s">
        <v>947</v>
      </c>
      <c r="C33" s="41" t="s">
        <v>946</v>
      </c>
      <c r="D33" s="41" t="s">
        <v>140</v>
      </c>
      <c r="E33" s="42">
        <v>44857</v>
      </c>
      <c r="F33" s="41" t="str">
        <f>LEFT(клиенты!$B33,LEN(клиенты!$B33)-13)</f>
        <v>+7</v>
      </c>
      <c r="G33" s="41" t="str">
        <f>_xlfn.XLOOKUP(клиенты!$F33,'коды стран'!$B$2:$B$7,'коды стран'!$A$2:$A$7,"не найдено",0)</f>
        <v>Россия</v>
      </c>
      <c r="H33" s="42">
        <f>_xlfn.MAXIFS(Продажи[дата создания чека],Продажи[id клиента],A33)</f>
        <v>45355</v>
      </c>
      <c r="I33" s="59">
        <f t="shared" si="0"/>
        <v>16.361396303901437</v>
      </c>
      <c r="J33" s="41" t="str">
        <f>IF(LEN(C33) - LEN(SUBSTITUTE(C33," ",""))&lt;3,C33,RIGHT(C33,LEN(C33)-FIND(" ",клиенты!$C33,1)))</f>
        <v>Юлия Вячеславовна Журавлева</v>
      </c>
      <c r="K33" s="41" t="str">
        <f t="shared" si="1"/>
        <v>Юлия Вячеславовна Журавлева</v>
      </c>
      <c r="L33" s="41" t="str">
        <f>LEFT(клиенты!$K33,FIND(" ",клиенты!$K33,1)-1)</f>
        <v>Юлия</v>
      </c>
      <c r="M33" s="41" t="str">
        <f>MID(K33,FIND(" ",клиенты!$K33,1)+1,(FIND(" ",клиенты!$K33,FIND(" ",клиенты!$K33,1)+1)-1)-FIND(" ",клиенты!$K33,1))</f>
        <v>Вячеславовна</v>
      </c>
      <c r="N33" s="41" t="str">
        <f>RIGHT(K33,LEN(K33)-FIND(" ",клиенты!$K33,FIND(" ",клиенты!$K33,1)+1))</f>
        <v>Журавлева</v>
      </c>
    </row>
    <row r="34" spans="1:14" x14ac:dyDescent="0.25">
      <c r="A34" s="43">
        <v>324</v>
      </c>
      <c r="B34" s="44" t="s">
        <v>945</v>
      </c>
      <c r="C34" s="44" t="s">
        <v>944</v>
      </c>
      <c r="D34" s="44" t="s">
        <v>140</v>
      </c>
      <c r="E34" s="45">
        <v>44761</v>
      </c>
      <c r="F34" s="44" t="str">
        <f>LEFT(клиенты!$B34,LEN(клиенты!$B34)-13)</f>
        <v>+998</v>
      </c>
      <c r="G34" s="44" t="str">
        <f>_xlfn.XLOOKUP(клиенты!$F34,'коды стран'!$B$2:$B$7,'коды стран'!$A$2:$A$7,"не найдено",0)</f>
        <v>Узбекистан</v>
      </c>
      <c r="H34" s="45">
        <f>_xlfn.MAXIFS(Продажи[дата создания чека],Продажи[id клиента],A34)</f>
        <v>45405</v>
      </c>
      <c r="I34" s="60">
        <f t="shared" si="0"/>
        <v>21.15811088295688</v>
      </c>
      <c r="J34" s="44" t="str">
        <f>IF(LEN(C34) - LEN(SUBSTITUTE(C34," ",""))&lt;3,C34,RIGHT(C34,LEN(C34)-FIND(" ",клиенты!$C34,1)))</f>
        <v>Алексеев Касьян Ефимович</v>
      </c>
      <c r="K34" s="44" t="str">
        <f t="shared" si="1"/>
        <v>Касьян Ефимович Алексеев</v>
      </c>
      <c r="L34" s="44" t="str">
        <f>LEFT(клиенты!$K34,FIND(" ",клиенты!$K34,1)-1)</f>
        <v>Касьян</v>
      </c>
      <c r="M34" s="44" t="str">
        <f>MID(K34,FIND(" ",клиенты!$K34,1)+1,(FIND(" ",клиенты!$K34,FIND(" ",клиенты!$K34,1)+1)-1)-FIND(" ",клиенты!$K34,1))</f>
        <v>Ефимович</v>
      </c>
      <c r="N34" s="44" t="str">
        <f>RIGHT(K34,LEN(K34)-FIND(" ",клиенты!$K34,FIND(" ",клиенты!$K34,1)+1))</f>
        <v>Алексеев</v>
      </c>
    </row>
    <row r="35" spans="1:14" x14ac:dyDescent="0.25">
      <c r="A35" s="40">
        <v>310</v>
      </c>
      <c r="B35" s="41" t="s">
        <v>943</v>
      </c>
      <c r="C35" s="41" t="s">
        <v>942</v>
      </c>
      <c r="D35" s="41" t="s">
        <v>140</v>
      </c>
      <c r="E35" s="42">
        <v>44807</v>
      </c>
      <c r="F35" s="41" t="str">
        <f>LEFT(клиенты!$B35,LEN(клиенты!$B35)-13)</f>
        <v>+992</v>
      </c>
      <c r="G35" s="41" t="str">
        <f>_xlfn.XLOOKUP(клиенты!$F35,'коды стран'!$B$2:$B$7,'коды стран'!$A$2:$A$7,"не найдено",0)</f>
        <v>Таджикистан</v>
      </c>
      <c r="H35" s="42">
        <f>_xlfn.MAXIFS(Продажи[дата создания чека],Продажи[id клиента],A35)</f>
        <v>45267</v>
      </c>
      <c r="I35" s="59">
        <f t="shared" si="0"/>
        <v>15.112936344969199</v>
      </c>
      <c r="J35" s="41" t="str">
        <f>IF(LEN(C35) - LEN(SUBSTITUTE(C35," ",""))&lt;3,C35,RIGHT(C35,LEN(C35)-FIND(" ",клиенты!$C35,1)))</f>
        <v>Феофан Гурьевич Дорофеев</v>
      </c>
      <c r="K35" s="41" t="str">
        <f t="shared" si="1"/>
        <v>Феофан Гурьевич Дорофеев</v>
      </c>
      <c r="L35" s="41" t="str">
        <f>LEFT(клиенты!$K35,FIND(" ",клиенты!$K35,1)-1)</f>
        <v>Феофан</v>
      </c>
      <c r="M35" s="41" t="str">
        <f>MID(K35,FIND(" ",клиенты!$K35,1)+1,(FIND(" ",клиенты!$K35,FIND(" ",клиенты!$K35,1)+1)-1)-FIND(" ",клиенты!$K35,1))</f>
        <v>Гурьевич</v>
      </c>
      <c r="N35" s="41" t="str">
        <f>RIGHT(K35,LEN(K35)-FIND(" ",клиенты!$K35,FIND(" ",клиенты!$K35,1)+1))</f>
        <v>Дорофеев</v>
      </c>
    </row>
    <row r="36" spans="1:14" x14ac:dyDescent="0.25">
      <c r="A36" s="43">
        <v>179</v>
      </c>
      <c r="B36" s="44" t="s">
        <v>941</v>
      </c>
      <c r="C36" s="44" t="s">
        <v>940</v>
      </c>
      <c r="D36" s="44" t="s">
        <v>143</v>
      </c>
      <c r="E36" s="45">
        <v>44833</v>
      </c>
      <c r="F36" s="44" t="str">
        <f>LEFT(клиенты!$B36,LEN(клиенты!$B36)-13)</f>
        <v>+7</v>
      </c>
      <c r="G36" s="44" t="str">
        <f>_xlfn.XLOOKUP(клиенты!$F36,'коды стран'!$B$2:$B$7,'коды стран'!$A$2:$A$7,"не найдено",0)</f>
        <v>Россия</v>
      </c>
      <c r="H36" s="45">
        <f>_xlfn.MAXIFS(Продажи[дата создания чека],Продажи[id клиента],A36)</f>
        <v>45381</v>
      </c>
      <c r="I36" s="60">
        <f t="shared" si="0"/>
        <v>18.004106776180699</v>
      </c>
      <c r="J36" s="44" t="str">
        <f>IF(LEN(C36) - LEN(SUBSTITUTE(C36," ",""))&lt;3,C36,RIGHT(C36,LEN(C36)-FIND(" ",клиенты!$C36,1)))</f>
        <v>Капустина Тамара Валериевна</v>
      </c>
      <c r="K36" s="44" t="str">
        <f t="shared" si="1"/>
        <v>Тамара Валериевна Капустина</v>
      </c>
      <c r="L36" s="44" t="str">
        <f>LEFT(клиенты!$K36,FIND(" ",клиенты!$K36,1)-1)</f>
        <v>Тамара</v>
      </c>
      <c r="M36" s="44" t="str">
        <f>MID(K36,FIND(" ",клиенты!$K36,1)+1,(FIND(" ",клиенты!$K36,FIND(" ",клиенты!$K36,1)+1)-1)-FIND(" ",клиенты!$K36,1))</f>
        <v>Валериевна</v>
      </c>
      <c r="N36" s="44" t="str">
        <f>RIGHT(K36,LEN(K36)-FIND(" ",клиенты!$K36,FIND(" ",клиенты!$K36,1)+1))</f>
        <v>Капустина</v>
      </c>
    </row>
    <row r="37" spans="1:14" x14ac:dyDescent="0.25">
      <c r="A37" s="40">
        <v>64</v>
      </c>
      <c r="B37" s="41" t="s">
        <v>939</v>
      </c>
      <c r="C37" s="41" t="s">
        <v>938</v>
      </c>
      <c r="D37" s="41" t="s">
        <v>143</v>
      </c>
      <c r="E37" s="42">
        <v>44707</v>
      </c>
      <c r="F37" s="41" t="str">
        <f>LEFT(клиенты!$B37,LEN(клиенты!$B37)-13)</f>
        <v>+998</v>
      </c>
      <c r="G37" s="41" t="str">
        <f>_xlfn.XLOOKUP(клиенты!$F37,'коды стран'!$B$2:$B$7,'коды стран'!$A$2:$A$7,"не найдено",0)</f>
        <v>Узбекистан</v>
      </c>
      <c r="H37" s="42">
        <f>_xlfn.MAXIFS(Продажи[дата создания чека],Продажи[id клиента],A37)</f>
        <v>45189</v>
      </c>
      <c r="I37" s="59">
        <f t="shared" si="0"/>
        <v>15.835728952772074</v>
      </c>
      <c r="J37" s="41" t="str">
        <f>IF(LEN(C37) - LEN(SUBSTITUTE(C37," ",""))&lt;3,C37,RIGHT(C37,LEN(C37)-FIND(" ",клиенты!$C37,1)))</f>
        <v>Ратибор Арсеньевич Петров</v>
      </c>
      <c r="K37" s="41" t="str">
        <f t="shared" si="1"/>
        <v>Ратибор Арсеньевич Петров</v>
      </c>
      <c r="L37" s="41" t="str">
        <f>LEFT(клиенты!$K37,FIND(" ",клиенты!$K37,1)-1)</f>
        <v>Ратибор</v>
      </c>
      <c r="M37" s="41" t="str">
        <f>MID(K37,FIND(" ",клиенты!$K37,1)+1,(FIND(" ",клиенты!$K37,FIND(" ",клиенты!$K37,1)+1)-1)-FIND(" ",клиенты!$K37,1))</f>
        <v>Арсеньевич</v>
      </c>
      <c r="N37" s="41" t="str">
        <f>RIGHT(K37,LEN(K37)-FIND(" ",клиенты!$K37,FIND(" ",клиенты!$K37,1)+1))</f>
        <v>Петров</v>
      </c>
    </row>
    <row r="38" spans="1:14" x14ac:dyDescent="0.25">
      <c r="A38" s="43">
        <v>318</v>
      </c>
      <c r="B38" s="44" t="s">
        <v>937</v>
      </c>
      <c r="C38" s="44" t="s">
        <v>936</v>
      </c>
      <c r="D38" s="44" t="s">
        <v>143</v>
      </c>
      <c r="E38" s="45">
        <v>44892</v>
      </c>
      <c r="F38" s="44" t="str">
        <f>LEFT(клиенты!$B38,LEN(клиенты!$B38)-13)</f>
        <v>+998</v>
      </c>
      <c r="G38" s="44" t="str">
        <f>_xlfn.XLOOKUP(клиенты!$F38,'коды стран'!$B$2:$B$7,'коды стран'!$A$2:$A$7,"не найдено",0)</f>
        <v>Узбекистан</v>
      </c>
      <c r="H38" s="45">
        <f>_xlfn.MAXIFS(Продажи[дата создания чека],Продажи[id клиента],A38)</f>
        <v>44993</v>
      </c>
      <c r="I38" s="60">
        <f t="shared" si="0"/>
        <v>3.3182751540041067</v>
      </c>
      <c r="J38" s="44" t="str">
        <f>IF(LEN(C38) - LEN(SUBSTITUTE(C38," ",""))&lt;3,C38,RIGHT(C38,LEN(C38)-FIND(" ",клиенты!$C38,1)))</f>
        <v>Поляков Боян Андреевич</v>
      </c>
      <c r="K38" s="44" t="str">
        <f t="shared" si="1"/>
        <v>Боян Андреевич Поляков</v>
      </c>
      <c r="L38" s="44" t="str">
        <f>LEFT(клиенты!$K38,FIND(" ",клиенты!$K38,1)-1)</f>
        <v>Боян</v>
      </c>
      <c r="M38" s="44" t="str">
        <f>MID(K38,FIND(" ",клиенты!$K38,1)+1,(FIND(" ",клиенты!$K38,FIND(" ",клиенты!$K38,1)+1)-1)-FIND(" ",клиенты!$K38,1))</f>
        <v>Андреевич</v>
      </c>
      <c r="N38" s="44" t="str">
        <f>RIGHT(K38,LEN(K38)-FIND(" ",клиенты!$K38,FIND(" ",клиенты!$K38,1)+1))</f>
        <v>Поляков</v>
      </c>
    </row>
    <row r="39" spans="1:14" x14ac:dyDescent="0.25">
      <c r="A39" s="40">
        <v>239</v>
      </c>
      <c r="B39" s="41" t="s">
        <v>935</v>
      </c>
      <c r="C39" s="41" t="s">
        <v>934</v>
      </c>
      <c r="D39" s="41" t="s">
        <v>140</v>
      </c>
      <c r="E39" s="42">
        <v>44767</v>
      </c>
      <c r="F39" s="41" t="str">
        <f>LEFT(клиенты!$B39,LEN(клиенты!$B39)-13)</f>
        <v>+998</v>
      </c>
      <c r="G39" s="41" t="str">
        <f>_xlfn.XLOOKUP(клиенты!$F39,'коды стран'!$B$2:$B$7,'коды стран'!$A$2:$A$7,"не найдено",0)</f>
        <v>Узбекистан</v>
      </c>
      <c r="H39" s="42">
        <f>_xlfn.MAXIFS(Продажи[дата создания чека],Продажи[id клиента],A39)</f>
        <v>45129</v>
      </c>
      <c r="I39" s="59">
        <f t="shared" si="0"/>
        <v>11.893223819301848</v>
      </c>
      <c r="J39" s="41" t="str">
        <f>IF(LEN(C39) - LEN(SUBSTITUTE(C39," ",""))&lt;3,C39,RIGHT(C39,LEN(C39)-FIND(" ",клиенты!$C39,1)))</f>
        <v>Иванов Христофор Ильясович</v>
      </c>
      <c r="K39" s="41" t="str">
        <f t="shared" si="1"/>
        <v>Христофор Ильясович Иванов</v>
      </c>
      <c r="L39" s="41" t="str">
        <f>LEFT(клиенты!$K39,FIND(" ",клиенты!$K39,1)-1)</f>
        <v>Христофор</v>
      </c>
      <c r="M39" s="41" t="str">
        <f>MID(K39,FIND(" ",клиенты!$K39,1)+1,(FIND(" ",клиенты!$K39,FIND(" ",клиенты!$K39,1)+1)-1)-FIND(" ",клиенты!$K39,1))</f>
        <v>Ильясович</v>
      </c>
      <c r="N39" s="41" t="str">
        <f>RIGHT(K39,LEN(K39)-FIND(" ",клиенты!$K39,FIND(" ",клиенты!$K39,1)+1))</f>
        <v>Иванов</v>
      </c>
    </row>
    <row r="40" spans="1:14" x14ac:dyDescent="0.25">
      <c r="A40" s="43">
        <v>194</v>
      </c>
      <c r="B40" s="44" t="s">
        <v>933</v>
      </c>
      <c r="C40" s="44" t="s">
        <v>932</v>
      </c>
      <c r="D40" s="44" t="s">
        <v>143</v>
      </c>
      <c r="E40" s="45">
        <v>44924</v>
      </c>
      <c r="F40" s="44" t="str">
        <f>LEFT(клиенты!$B40,LEN(клиенты!$B40)-13)</f>
        <v>+7</v>
      </c>
      <c r="G40" s="44" t="str">
        <f>_xlfn.XLOOKUP(клиенты!$F40,'коды стран'!$B$2:$B$7,'коды стран'!$A$2:$A$7,"не найдено",0)</f>
        <v>Россия</v>
      </c>
      <c r="H40" s="45">
        <f>_xlfn.MAXIFS(Продажи[дата создания чека],Продажи[id клиента],A40)</f>
        <v>45406</v>
      </c>
      <c r="I40" s="60">
        <f t="shared" si="0"/>
        <v>15.835728952772074</v>
      </c>
      <c r="J40" s="44" t="str">
        <f>IF(LEN(C40) - LEN(SUBSTITUTE(C40," ",""))&lt;3,C40,RIGHT(C40,LEN(C40)-FIND(" ",клиенты!$C40,1)))</f>
        <v>Сила Денисович Гурьев</v>
      </c>
      <c r="K40" s="44" t="str">
        <f t="shared" si="1"/>
        <v>Сила Денисович Гурьев</v>
      </c>
      <c r="L40" s="44" t="str">
        <f>LEFT(клиенты!$K40,FIND(" ",клиенты!$K40,1)-1)</f>
        <v>Сила</v>
      </c>
      <c r="M40" s="44" t="str">
        <f>MID(K40,FIND(" ",клиенты!$K40,1)+1,(FIND(" ",клиенты!$K40,FIND(" ",клиенты!$K40,1)+1)-1)-FIND(" ",клиенты!$K40,1))</f>
        <v>Денисович</v>
      </c>
      <c r="N40" s="44" t="str">
        <f>RIGHT(K40,LEN(K40)-FIND(" ",клиенты!$K40,FIND(" ",клиенты!$K40,1)+1))</f>
        <v>Гурьев</v>
      </c>
    </row>
    <row r="41" spans="1:14" x14ac:dyDescent="0.25">
      <c r="A41" s="40">
        <v>267</v>
      </c>
      <c r="B41" s="41" t="s">
        <v>931</v>
      </c>
      <c r="C41" s="41" t="s">
        <v>930</v>
      </c>
      <c r="D41" s="41" t="s">
        <v>143</v>
      </c>
      <c r="E41" s="42">
        <v>44910</v>
      </c>
      <c r="F41" s="41" t="str">
        <f>LEFT(клиенты!$B41,LEN(клиенты!$B41)-13)</f>
        <v>+7</v>
      </c>
      <c r="G41" s="41" t="str">
        <f>_xlfn.XLOOKUP(клиенты!$F41,'коды стран'!$B$2:$B$7,'коды стран'!$A$2:$A$7,"не найдено",0)</f>
        <v>Россия</v>
      </c>
      <c r="H41" s="42">
        <f>_xlfn.MAXIFS(Продажи[дата создания чека],Продажи[id клиента],A41)</f>
        <v>45189</v>
      </c>
      <c r="I41" s="59">
        <f t="shared" si="0"/>
        <v>9.1663244353182751</v>
      </c>
      <c r="J41" s="41" t="str">
        <f>IF(LEN(C41) - LEN(SUBSTITUTE(C41," ",""))&lt;3,C41,RIGHT(C41,LEN(C41)-FIND(" ",клиенты!$C41,1)))</f>
        <v>Лора Болеславовна Потапова</v>
      </c>
      <c r="K41" s="41" t="str">
        <f t="shared" si="1"/>
        <v>Лора Болеславовна Потапова</v>
      </c>
      <c r="L41" s="41" t="str">
        <f>LEFT(клиенты!$K41,FIND(" ",клиенты!$K41,1)-1)</f>
        <v>Лора</v>
      </c>
      <c r="M41" s="41" t="str">
        <f>MID(K41,FIND(" ",клиенты!$K41,1)+1,(FIND(" ",клиенты!$K41,FIND(" ",клиенты!$K41,1)+1)-1)-FIND(" ",клиенты!$K41,1))</f>
        <v>Болеславовна</v>
      </c>
      <c r="N41" s="41" t="str">
        <f>RIGHT(K41,LEN(K41)-FIND(" ",клиенты!$K41,FIND(" ",клиенты!$K41,1)+1))</f>
        <v>Потапова</v>
      </c>
    </row>
    <row r="42" spans="1:14" x14ac:dyDescent="0.25">
      <c r="A42" s="43">
        <v>334</v>
      </c>
      <c r="B42" s="44" t="s">
        <v>929</v>
      </c>
      <c r="C42" s="44" t="s">
        <v>928</v>
      </c>
      <c r="D42" s="44" t="s">
        <v>140</v>
      </c>
      <c r="E42" s="45">
        <v>44881</v>
      </c>
      <c r="F42" s="44" t="str">
        <f>LEFT(клиенты!$B42,LEN(клиенты!$B42)-13)</f>
        <v>+380</v>
      </c>
      <c r="G42" s="44" t="str">
        <f>_xlfn.XLOOKUP(клиенты!$F42,'коды стран'!$B$2:$B$7,'коды стран'!$A$2:$A$7,"не найдено",0)</f>
        <v>Украина</v>
      </c>
      <c r="H42" s="45">
        <f>_xlfn.MAXIFS(Продажи[дата создания чека],Продажи[id клиента],A42)</f>
        <v>45197</v>
      </c>
      <c r="I42" s="60">
        <f t="shared" si="0"/>
        <v>10.381930184804927</v>
      </c>
      <c r="J42" s="44" t="str">
        <f>IF(LEN(C42) - LEN(SUBSTITUTE(C42," ",""))&lt;3,C42,RIGHT(C42,LEN(C42)-FIND(" ",клиенты!$C42,1)))</f>
        <v>Федотов Радислав Антонович</v>
      </c>
      <c r="K42" s="44" t="str">
        <f t="shared" si="1"/>
        <v>Радислав Антонович Федотов</v>
      </c>
      <c r="L42" s="44" t="str">
        <f>LEFT(клиенты!$K42,FIND(" ",клиенты!$K42,1)-1)</f>
        <v>Радислав</v>
      </c>
      <c r="M42" s="44" t="str">
        <f>MID(K42,FIND(" ",клиенты!$K42,1)+1,(FIND(" ",клиенты!$K42,FIND(" ",клиенты!$K42,1)+1)-1)-FIND(" ",клиенты!$K42,1))</f>
        <v>Антонович</v>
      </c>
      <c r="N42" s="44" t="str">
        <f>RIGHT(K42,LEN(K42)-FIND(" ",клиенты!$K42,FIND(" ",клиенты!$K42,1)+1))</f>
        <v>Федотов</v>
      </c>
    </row>
    <row r="43" spans="1:14" x14ac:dyDescent="0.25">
      <c r="A43" s="40">
        <v>47</v>
      </c>
      <c r="B43" s="41" t="s">
        <v>927</v>
      </c>
      <c r="C43" s="41" t="s">
        <v>926</v>
      </c>
      <c r="D43" s="41" t="s">
        <v>140</v>
      </c>
      <c r="E43" s="42">
        <v>44693</v>
      </c>
      <c r="F43" s="41" t="str">
        <f>LEFT(клиенты!$B43,LEN(клиенты!$B43)-13)</f>
        <v>+375</v>
      </c>
      <c r="G43" s="41" t="str">
        <f>_xlfn.XLOOKUP(клиенты!$F43,'коды стран'!$B$2:$B$7,'коды стран'!$A$2:$A$7,"не найдено",0)</f>
        <v>Беларусь</v>
      </c>
      <c r="H43" s="42">
        <f>_xlfn.MAXIFS(Продажи[дата создания чека],Продажи[id клиента],A43)</f>
        <v>45196</v>
      </c>
      <c r="I43" s="59">
        <f t="shared" si="0"/>
        <v>16.525667351129364</v>
      </c>
      <c r="J43" s="41" t="str">
        <f>IF(LEN(C43) - LEN(SUBSTITUTE(C43," ",""))&lt;3,C43,RIGHT(C43,LEN(C43)-FIND(" ",клиенты!$C43,1)))</f>
        <v>Лукин Харлампий Игнатович</v>
      </c>
      <c r="K43" s="41" t="str">
        <f t="shared" si="1"/>
        <v>Харлампий Игнатович Лукин</v>
      </c>
      <c r="L43" s="41" t="str">
        <f>LEFT(клиенты!$K43,FIND(" ",клиенты!$K43,1)-1)</f>
        <v>Харлампий</v>
      </c>
      <c r="M43" s="41" t="str">
        <f>MID(K43,FIND(" ",клиенты!$K43,1)+1,(FIND(" ",клиенты!$K43,FIND(" ",клиенты!$K43,1)+1)-1)-FIND(" ",клиенты!$K43,1))</f>
        <v>Игнатович</v>
      </c>
      <c r="N43" s="41" t="str">
        <f>RIGHT(K43,LEN(K43)-FIND(" ",клиенты!$K43,FIND(" ",клиенты!$K43,1)+1))</f>
        <v>Лукин</v>
      </c>
    </row>
    <row r="44" spans="1:14" x14ac:dyDescent="0.25">
      <c r="A44" s="43">
        <v>287</v>
      </c>
      <c r="B44" s="44" t="s">
        <v>925</v>
      </c>
      <c r="C44" s="44" t="s">
        <v>924</v>
      </c>
      <c r="D44" s="44" t="s">
        <v>143</v>
      </c>
      <c r="E44" s="45">
        <v>44608</v>
      </c>
      <c r="F44" s="44" t="str">
        <f>LEFT(клиенты!$B44,LEN(клиенты!$B44)-13)</f>
        <v>+7</v>
      </c>
      <c r="G44" s="44" t="str">
        <f>_xlfn.XLOOKUP(клиенты!$F44,'коды стран'!$B$2:$B$7,'коды стран'!$A$2:$A$7,"не найдено",0)</f>
        <v>Россия</v>
      </c>
      <c r="H44" s="45">
        <f>_xlfn.MAXIFS(Продажи[дата создания чека],Продажи[id клиента],A44)</f>
        <v>45246</v>
      </c>
      <c r="I44" s="60">
        <f t="shared" si="0"/>
        <v>20.960985626283367</v>
      </c>
      <c r="J44" s="44" t="str">
        <f>IF(LEN(C44) - LEN(SUBSTITUTE(C44," ",""))&lt;3,C44,RIGHT(C44,LEN(C44)-FIND(" ",клиенты!$C44,1)))</f>
        <v>Полякова Анжела Аскольдовна</v>
      </c>
      <c r="K44" s="44" t="str">
        <f t="shared" si="1"/>
        <v>Анжела Аскольдовна Полякова</v>
      </c>
      <c r="L44" s="44" t="str">
        <f>LEFT(клиенты!$K44,FIND(" ",клиенты!$K44,1)-1)</f>
        <v>Анжела</v>
      </c>
      <c r="M44" s="44" t="str">
        <f>MID(K44,FIND(" ",клиенты!$K44,1)+1,(FIND(" ",клиенты!$K44,FIND(" ",клиенты!$K44,1)+1)-1)-FIND(" ",клиенты!$K44,1))</f>
        <v>Аскольдовна</v>
      </c>
      <c r="N44" s="44" t="str">
        <f>RIGHT(K44,LEN(K44)-FIND(" ",клиенты!$K44,FIND(" ",клиенты!$K44,1)+1))</f>
        <v>Полякова</v>
      </c>
    </row>
    <row r="45" spans="1:14" x14ac:dyDescent="0.25">
      <c r="A45" s="40">
        <v>145</v>
      </c>
      <c r="B45" s="41" t="s">
        <v>923</v>
      </c>
      <c r="C45" s="41" t="s">
        <v>922</v>
      </c>
      <c r="D45" s="41" t="s">
        <v>140</v>
      </c>
      <c r="E45" s="42">
        <v>44653</v>
      </c>
      <c r="F45" s="41" t="str">
        <f>LEFT(клиенты!$B45,LEN(клиенты!$B45)-13)</f>
        <v>+380</v>
      </c>
      <c r="G45" s="41" t="str">
        <f>_xlfn.XLOOKUP(клиенты!$F45,'коды стран'!$B$2:$B$7,'коды стран'!$A$2:$A$7,"не найдено",0)</f>
        <v>Украина</v>
      </c>
      <c r="H45" s="42">
        <f>_xlfn.MAXIFS(Продажи[дата создания чека],Продажи[id клиента],A45)</f>
        <v>45234</v>
      </c>
      <c r="I45" s="59">
        <f t="shared" si="0"/>
        <v>19.088295687885012</v>
      </c>
      <c r="J45" s="41" t="str">
        <f>IF(LEN(C45) - LEN(SUBSTITUTE(C45," ",""))&lt;3,C45,RIGHT(C45,LEN(C45)-FIND(" ",клиенты!$C45,1)))</f>
        <v>Филиппова Юлия Леоновна</v>
      </c>
      <c r="K45" s="41" t="str">
        <f t="shared" si="1"/>
        <v>Юлия Леоновна Филиппова</v>
      </c>
      <c r="L45" s="41" t="str">
        <f>LEFT(клиенты!$K45,FIND(" ",клиенты!$K45,1)-1)</f>
        <v>Юлия</v>
      </c>
      <c r="M45" s="41" t="str">
        <f>MID(K45,FIND(" ",клиенты!$K45,1)+1,(FIND(" ",клиенты!$K45,FIND(" ",клиенты!$K45,1)+1)-1)-FIND(" ",клиенты!$K45,1))</f>
        <v>Леоновна</v>
      </c>
      <c r="N45" s="41" t="str">
        <f>RIGHT(K45,LEN(K45)-FIND(" ",клиенты!$K45,FIND(" ",клиенты!$K45,1)+1))</f>
        <v>Филиппова</v>
      </c>
    </row>
    <row r="46" spans="1:14" x14ac:dyDescent="0.25">
      <c r="A46" s="43">
        <v>270</v>
      </c>
      <c r="B46" s="44" t="s">
        <v>921</v>
      </c>
      <c r="C46" s="44" t="s">
        <v>920</v>
      </c>
      <c r="D46" s="44" t="s">
        <v>143</v>
      </c>
      <c r="E46" s="45">
        <v>44827</v>
      </c>
      <c r="F46" s="44" t="str">
        <f>LEFT(клиенты!$B46,LEN(клиенты!$B46)-13)</f>
        <v>+992</v>
      </c>
      <c r="G46" s="44" t="str">
        <f>_xlfn.XLOOKUP(клиенты!$F46,'коды стран'!$B$2:$B$7,'коды стран'!$A$2:$A$7,"не найдено",0)</f>
        <v>Таджикистан</v>
      </c>
      <c r="H46" s="45">
        <f>_xlfn.MAXIFS(Продажи[дата создания чека],Продажи[id клиента],A46)</f>
        <v>45387</v>
      </c>
      <c r="I46" s="60">
        <f t="shared" si="0"/>
        <v>18.39835728952772</v>
      </c>
      <c r="J46" s="44" t="str">
        <f>IF(LEN(C46) - LEN(SUBSTITUTE(C46," ",""))&lt;3,C46,RIGHT(C46,LEN(C46)-FIND(" ",клиенты!$C46,1)))</f>
        <v>Дементий Антипович Мухин</v>
      </c>
      <c r="K46" s="44" t="str">
        <f t="shared" si="1"/>
        <v>Дементий Антипович Мухин</v>
      </c>
      <c r="L46" s="44" t="str">
        <f>LEFT(клиенты!$K46,FIND(" ",клиенты!$K46,1)-1)</f>
        <v>Дементий</v>
      </c>
      <c r="M46" s="44" t="str">
        <f>MID(K46,FIND(" ",клиенты!$K46,1)+1,(FIND(" ",клиенты!$K46,FIND(" ",клиенты!$K46,1)+1)-1)-FIND(" ",клиенты!$K46,1))</f>
        <v>Антипович</v>
      </c>
      <c r="N46" s="44" t="str">
        <f>RIGHT(K46,LEN(K46)-FIND(" ",клиенты!$K46,FIND(" ",клиенты!$K46,1)+1))</f>
        <v>Мухин</v>
      </c>
    </row>
    <row r="47" spans="1:14" x14ac:dyDescent="0.25">
      <c r="A47" s="40">
        <v>183</v>
      </c>
      <c r="B47" s="41" t="s">
        <v>919</v>
      </c>
      <c r="C47" s="41" t="s">
        <v>918</v>
      </c>
      <c r="D47" s="41" t="s">
        <v>143</v>
      </c>
      <c r="E47" s="42">
        <v>44900</v>
      </c>
      <c r="F47" s="41" t="str">
        <f>LEFT(клиенты!$B47,LEN(клиенты!$B47)-13)</f>
        <v>+992</v>
      </c>
      <c r="G47" s="41" t="str">
        <f>_xlfn.XLOOKUP(клиенты!$F47,'коды стран'!$B$2:$B$7,'коды стран'!$A$2:$A$7,"не найдено",0)</f>
        <v>Таджикистан</v>
      </c>
      <c r="H47" s="42">
        <f>_xlfn.MAXIFS(Продажи[дата создания чека],Продажи[id клиента],A47)</f>
        <v>45397</v>
      </c>
      <c r="I47" s="59">
        <f t="shared" si="0"/>
        <v>16.328542094455852</v>
      </c>
      <c r="J47" s="41" t="str">
        <f>IF(LEN(C47) - LEN(SUBSTITUTE(C47," ",""))&lt;3,C47,RIGHT(C47,LEN(C47)-FIND(" ",клиенты!$C47,1)))</f>
        <v>Ия Никифоровна Лапина</v>
      </c>
      <c r="K47" s="41" t="str">
        <f t="shared" si="1"/>
        <v>Ия Никифоровна Лапина</v>
      </c>
      <c r="L47" s="41" t="str">
        <f>LEFT(клиенты!$K47,FIND(" ",клиенты!$K47,1)-1)</f>
        <v>Ия</v>
      </c>
      <c r="M47" s="41" t="str">
        <f>MID(K47,FIND(" ",клиенты!$K47,1)+1,(FIND(" ",клиенты!$K47,FIND(" ",клиенты!$K47,1)+1)-1)-FIND(" ",клиенты!$K47,1))</f>
        <v>Никифоровна</v>
      </c>
      <c r="N47" s="41" t="str">
        <f>RIGHT(K47,LEN(K47)-FIND(" ",клиенты!$K47,FIND(" ",клиенты!$K47,1)+1))</f>
        <v>Лапина</v>
      </c>
    </row>
    <row r="48" spans="1:14" x14ac:dyDescent="0.25">
      <c r="A48" s="43">
        <v>2</v>
      </c>
      <c r="B48" s="44" t="s">
        <v>917</v>
      </c>
      <c r="C48" s="44" t="s">
        <v>916</v>
      </c>
      <c r="D48" s="44" t="s">
        <v>140</v>
      </c>
      <c r="E48" s="45">
        <v>44775</v>
      </c>
      <c r="F48" s="44" t="str">
        <f>LEFT(клиенты!$B48,LEN(клиенты!$B48)-13)</f>
        <v>+998</v>
      </c>
      <c r="G48" s="44" t="str">
        <f>_xlfn.XLOOKUP(клиенты!$F48,'коды стран'!$B$2:$B$7,'коды стран'!$A$2:$A$7,"не найдено",0)</f>
        <v>Узбекистан</v>
      </c>
      <c r="H48" s="45">
        <f>_xlfn.MAXIFS(Продажи[дата создания чека],Продажи[id клиента],A48)</f>
        <v>45208</v>
      </c>
      <c r="I48" s="60">
        <f t="shared" si="0"/>
        <v>14.225872689938399</v>
      </c>
      <c r="J48" s="44" t="str">
        <f>IF(LEN(C48) - LEN(SUBSTITUTE(C48," ",""))&lt;3,C48,RIGHT(C48,LEN(C48)-FIND(" ",клиенты!$C48,1)))</f>
        <v>Морозова Майя Борисовна</v>
      </c>
      <c r="K48" s="44" t="str">
        <f t="shared" si="1"/>
        <v>Майя Борисовна Морозова</v>
      </c>
      <c r="L48" s="44" t="str">
        <f>LEFT(клиенты!$K48,FIND(" ",клиенты!$K48,1)-1)</f>
        <v>Майя</v>
      </c>
      <c r="M48" s="44" t="str">
        <f>MID(K48,FIND(" ",клиенты!$K48,1)+1,(FIND(" ",клиенты!$K48,FIND(" ",клиенты!$K48,1)+1)-1)-FIND(" ",клиенты!$K48,1))</f>
        <v>Борисовна</v>
      </c>
      <c r="N48" s="44" t="str">
        <f>RIGHT(K48,LEN(K48)-FIND(" ",клиенты!$K48,FIND(" ",клиенты!$K48,1)+1))</f>
        <v>Морозова</v>
      </c>
    </row>
    <row r="49" spans="1:14" x14ac:dyDescent="0.25">
      <c r="A49" s="40">
        <v>229</v>
      </c>
      <c r="B49" s="41" t="s">
        <v>915</v>
      </c>
      <c r="C49" s="41" t="s">
        <v>914</v>
      </c>
      <c r="D49" s="41" t="s">
        <v>140</v>
      </c>
      <c r="E49" s="42">
        <v>44766</v>
      </c>
      <c r="F49" s="41" t="str">
        <f>LEFT(клиенты!$B49,LEN(клиенты!$B49)-13)</f>
        <v>+375</v>
      </c>
      <c r="G49" s="41" t="str">
        <f>_xlfn.XLOOKUP(клиенты!$F49,'коды стран'!$B$2:$B$7,'коды стран'!$A$2:$A$7,"не найдено",0)</f>
        <v>Беларусь</v>
      </c>
      <c r="H49" s="42">
        <f>_xlfn.MAXIFS(Продажи[дата создания чека],Продажи[id клиента],A49)</f>
        <v>45419</v>
      </c>
      <c r="I49" s="59">
        <f t="shared" si="0"/>
        <v>21.453798767967147</v>
      </c>
      <c r="J49" s="41" t="str">
        <f>IF(LEN(C49) - LEN(SUBSTITUTE(C49," ",""))&lt;3,C49,RIGHT(C49,LEN(C49)-FIND(" ",клиенты!$C49,1)))</f>
        <v>Самойлова Татьяна Эльдаровна</v>
      </c>
      <c r="K49" s="41" t="str">
        <f t="shared" si="1"/>
        <v>Татьяна Эльдаровна Самойлова</v>
      </c>
      <c r="L49" s="41" t="str">
        <f>LEFT(клиенты!$K49,FIND(" ",клиенты!$K49,1)-1)</f>
        <v>Татьяна</v>
      </c>
      <c r="M49" s="41" t="str">
        <f>MID(K49,FIND(" ",клиенты!$K49,1)+1,(FIND(" ",клиенты!$K49,FIND(" ",клиенты!$K49,1)+1)-1)-FIND(" ",клиенты!$K49,1))</f>
        <v>Эльдаровна</v>
      </c>
      <c r="N49" s="41" t="str">
        <f>RIGHT(K49,LEN(K49)-FIND(" ",клиенты!$K49,FIND(" ",клиенты!$K49,1)+1))</f>
        <v>Самойлова</v>
      </c>
    </row>
    <row r="50" spans="1:14" x14ac:dyDescent="0.25">
      <c r="A50" s="43">
        <v>385</v>
      </c>
      <c r="B50" s="44" t="s">
        <v>913</v>
      </c>
      <c r="C50" s="44" t="s">
        <v>912</v>
      </c>
      <c r="D50" s="44" t="s">
        <v>140</v>
      </c>
      <c r="E50" s="45">
        <v>44753</v>
      </c>
      <c r="F50" s="44" t="str">
        <f>LEFT(клиенты!$B50,LEN(клиенты!$B50)-13)</f>
        <v>+380</v>
      </c>
      <c r="G50" s="44" t="str">
        <f>_xlfn.XLOOKUP(клиенты!$F50,'коды стран'!$B$2:$B$7,'коды стран'!$A$2:$A$7,"не найдено",0)</f>
        <v>Украина</v>
      </c>
      <c r="H50" s="45">
        <f>_xlfn.MAXIFS(Продажи[дата создания чека],Продажи[id клиента],A50)</f>
        <v>45406</v>
      </c>
      <c r="I50" s="60">
        <f t="shared" si="0"/>
        <v>21.453798767967147</v>
      </c>
      <c r="J50" s="44" t="str">
        <f>IF(LEN(C50) - LEN(SUBSTITUTE(C50," ",""))&lt;3,C50,RIGHT(C50,LEN(C50)-FIND(" ",клиенты!$C50,1)))</f>
        <v>Стрелков Геннадий Бориславович</v>
      </c>
      <c r="K50" s="44" t="str">
        <f t="shared" si="1"/>
        <v>Геннадий Бориславович Стрелков</v>
      </c>
      <c r="L50" s="44" t="str">
        <f>LEFT(клиенты!$K50,FIND(" ",клиенты!$K50,1)-1)</f>
        <v>Геннадий</v>
      </c>
      <c r="M50" s="44" t="str">
        <f>MID(K50,FIND(" ",клиенты!$K50,1)+1,(FIND(" ",клиенты!$K50,FIND(" ",клиенты!$K50,1)+1)-1)-FIND(" ",клиенты!$K50,1))</f>
        <v>Бориславович</v>
      </c>
      <c r="N50" s="44" t="str">
        <f>RIGHT(K50,LEN(K50)-FIND(" ",клиенты!$K50,FIND(" ",клиенты!$K50,1)+1))</f>
        <v>Стрелков</v>
      </c>
    </row>
    <row r="51" spans="1:14" x14ac:dyDescent="0.25">
      <c r="A51" s="40">
        <v>407</v>
      </c>
      <c r="B51" s="41" t="s">
        <v>911</v>
      </c>
      <c r="C51" s="41" t="s">
        <v>910</v>
      </c>
      <c r="D51" s="41" t="s">
        <v>143</v>
      </c>
      <c r="E51" s="42">
        <v>44621</v>
      </c>
      <c r="F51" s="41" t="str">
        <f>LEFT(клиенты!$B51,LEN(клиенты!$B51)-13)</f>
        <v>+375</v>
      </c>
      <c r="G51" s="41" t="str">
        <f>_xlfn.XLOOKUP(клиенты!$F51,'коды стран'!$B$2:$B$7,'коды стран'!$A$2:$A$7,"не найдено",0)</f>
        <v>Беларусь</v>
      </c>
      <c r="H51" s="42">
        <f>_xlfn.MAXIFS(Продажи[дата создания чека],Продажи[id клиента],A51)</f>
        <v>45387</v>
      </c>
      <c r="I51" s="59">
        <f t="shared" si="0"/>
        <v>25.166324435318277</v>
      </c>
      <c r="J51" s="41" t="str">
        <f>IF(LEN(C51) - LEN(SUBSTITUTE(C51," ",""))&lt;3,C51,RIGHT(C51,LEN(C51)-FIND(" ",клиенты!$C51,1)))</f>
        <v>Карп Афанасьевич Фомичев</v>
      </c>
      <c r="K51" s="41" t="str">
        <f t="shared" si="1"/>
        <v>Карп Афанасьевич Фомичев</v>
      </c>
      <c r="L51" s="41" t="str">
        <f>LEFT(клиенты!$K51,FIND(" ",клиенты!$K51,1)-1)</f>
        <v>Карп</v>
      </c>
      <c r="M51" s="41" t="str">
        <f>MID(K51,FIND(" ",клиенты!$K51,1)+1,(FIND(" ",клиенты!$K51,FIND(" ",клиенты!$K51,1)+1)-1)-FIND(" ",клиенты!$K51,1))</f>
        <v>Афанасьевич</v>
      </c>
      <c r="N51" s="41" t="str">
        <f>RIGHT(K51,LEN(K51)-FIND(" ",клиенты!$K51,FIND(" ",клиенты!$K51,1)+1))</f>
        <v>Фомичев</v>
      </c>
    </row>
    <row r="52" spans="1:14" x14ac:dyDescent="0.25">
      <c r="A52" s="43">
        <v>493</v>
      </c>
      <c r="B52" s="44" t="s">
        <v>909</v>
      </c>
      <c r="C52" s="44" t="s">
        <v>908</v>
      </c>
      <c r="D52" s="44" t="s">
        <v>143</v>
      </c>
      <c r="E52" s="45">
        <v>44855</v>
      </c>
      <c r="F52" s="44" t="str">
        <f>LEFT(клиенты!$B52,LEN(клиенты!$B52)-13)</f>
        <v>+380</v>
      </c>
      <c r="G52" s="44" t="str">
        <f>_xlfn.XLOOKUP(клиенты!$F52,'коды стран'!$B$2:$B$7,'коды стран'!$A$2:$A$7,"не найдено",0)</f>
        <v>Украина</v>
      </c>
      <c r="H52" s="45">
        <f>_xlfn.MAXIFS(Продажи[дата создания чека],Продажи[id клиента],A52)</f>
        <v>45308</v>
      </c>
      <c r="I52" s="60">
        <f t="shared" si="0"/>
        <v>14.882956878850102</v>
      </c>
      <c r="J52" s="44" t="str">
        <f>IF(LEN(C52) - LEN(SUBSTITUTE(C52," ",""))&lt;3,C52,RIGHT(C52,LEN(C52)-FIND(" ",клиенты!$C52,1)))</f>
        <v>Кондратьева Валентина Львовна</v>
      </c>
      <c r="K52" s="44" t="str">
        <f t="shared" si="1"/>
        <v>Валентина Львовна Кондратьева</v>
      </c>
      <c r="L52" s="44" t="str">
        <f>LEFT(клиенты!$K52,FIND(" ",клиенты!$K52,1)-1)</f>
        <v>Валентина</v>
      </c>
      <c r="M52" s="44" t="str">
        <f>MID(K52,FIND(" ",клиенты!$K52,1)+1,(FIND(" ",клиенты!$K52,FIND(" ",клиенты!$K52,1)+1)-1)-FIND(" ",клиенты!$K52,1))</f>
        <v>Львовна</v>
      </c>
      <c r="N52" s="44" t="str">
        <f>RIGHT(K52,LEN(K52)-FIND(" ",клиенты!$K52,FIND(" ",клиенты!$K52,1)+1))</f>
        <v>Кондратьева</v>
      </c>
    </row>
    <row r="53" spans="1:14" x14ac:dyDescent="0.25">
      <c r="A53" s="40">
        <v>34</v>
      </c>
      <c r="B53" s="41" t="s">
        <v>907</v>
      </c>
      <c r="C53" s="41" t="s">
        <v>906</v>
      </c>
      <c r="D53" s="41" t="s">
        <v>140</v>
      </c>
      <c r="E53" s="42">
        <v>44654</v>
      </c>
      <c r="F53" s="41" t="str">
        <f>LEFT(клиенты!$B53,LEN(клиенты!$B53)-13)</f>
        <v>+992</v>
      </c>
      <c r="G53" s="41" t="str">
        <f>_xlfn.XLOOKUP(клиенты!$F53,'коды стран'!$B$2:$B$7,'коды стран'!$A$2:$A$7,"не найдено",0)</f>
        <v>Таджикистан</v>
      </c>
      <c r="H53" s="42">
        <f>_xlfn.MAXIFS(Продажи[дата создания чека],Продажи[id клиента],A53)</f>
        <v>45260</v>
      </c>
      <c r="I53" s="59">
        <f t="shared" si="0"/>
        <v>19.909650924024639</v>
      </c>
      <c r="J53" s="41" t="str">
        <f>IF(LEN(C53) - LEN(SUBSTITUTE(C53," ",""))&lt;3,C53,RIGHT(C53,LEN(C53)-FIND(" ",клиенты!$C53,1)))</f>
        <v>Абрамова Евдокия Егоровна</v>
      </c>
      <c r="K53" s="41" t="str">
        <f t="shared" si="1"/>
        <v>Евдокия Егоровна Абрамова</v>
      </c>
      <c r="L53" s="41" t="str">
        <f>LEFT(клиенты!$K53,FIND(" ",клиенты!$K53,1)-1)</f>
        <v>Евдокия</v>
      </c>
      <c r="M53" s="41" t="str">
        <f>MID(K53,FIND(" ",клиенты!$K53,1)+1,(FIND(" ",клиенты!$K53,FIND(" ",клиенты!$K53,1)+1)-1)-FIND(" ",клиенты!$K53,1))</f>
        <v>Егоровна</v>
      </c>
      <c r="N53" s="41" t="str">
        <f>RIGHT(K53,LEN(K53)-FIND(" ",клиенты!$K53,FIND(" ",клиенты!$K53,1)+1))</f>
        <v>Абрамова</v>
      </c>
    </row>
    <row r="54" spans="1:14" x14ac:dyDescent="0.25">
      <c r="A54" s="43">
        <v>190</v>
      </c>
      <c r="B54" s="44" t="s">
        <v>905</v>
      </c>
      <c r="C54" s="44" t="s">
        <v>904</v>
      </c>
      <c r="D54" s="44" t="s">
        <v>140</v>
      </c>
      <c r="E54" s="45">
        <v>44689</v>
      </c>
      <c r="F54" s="44" t="str">
        <f>LEFT(клиенты!$B54,LEN(клиенты!$B54)-13)</f>
        <v>+375</v>
      </c>
      <c r="G54" s="44" t="str">
        <f>_xlfn.XLOOKUP(клиенты!$F54,'коды стран'!$B$2:$B$7,'коды стран'!$A$2:$A$7,"не найдено",0)</f>
        <v>Беларусь</v>
      </c>
      <c r="H54" s="45">
        <f>_xlfn.MAXIFS(Продажи[дата создания чека],Продажи[id клиента],A54)</f>
        <v>45398</v>
      </c>
      <c r="I54" s="60">
        <f t="shared" si="0"/>
        <v>23.293634496919918</v>
      </c>
      <c r="J54" s="44" t="str">
        <f>IF(LEN(C54) - LEN(SUBSTITUTE(C54," ",""))&lt;3,C54,RIGHT(C54,LEN(C54)-FIND(" ",клиенты!$C54,1)))</f>
        <v>Валентина Захаровна Боброва</v>
      </c>
      <c r="K54" s="44" t="str">
        <f t="shared" si="1"/>
        <v>Валентина Захаровна Боброва</v>
      </c>
      <c r="L54" s="44" t="str">
        <f>LEFT(клиенты!$K54,FIND(" ",клиенты!$K54,1)-1)</f>
        <v>Валентина</v>
      </c>
      <c r="M54" s="44" t="str">
        <f>MID(K54,FIND(" ",клиенты!$K54,1)+1,(FIND(" ",клиенты!$K54,FIND(" ",клиенты!$K54,1)+1)-1)-FIND(" ",клиенты!$K54,1))</f>
        <v>Захаровна</v>
      </c>
      <c r="N54" s="44" t="str">
        <f>RIGHT(K54,LEN(K54)-FIND(" ",клиенты!$K54,FIND(" ",клиенты!$K54,1)+1))</f>
        <v>Боброва</v>
      </c>
    </row>
    <row r="55" spans="1:14" x14ac:dyDescent="0.25">
      <c r="A55" s="40">
        <v>266</v>
      </c>
      <c r="B55" s="41" t="s">
        <v>903</v>
      </c>
      <c r="C55" s="41" t="s">
        <v>902</v>
      </c>
      <c r="D55" s="41" t="s">
        <v>140</v>
      </c>
      <c r="E55" s="42">
        <v>44795</v>
      </c>
      <c r="F55" s="41" t="str">
        <f>LEFT(клиенты!$B55,LEN(клиенты!$B55)-13)</f>
        <v>+7</v>
      </c>
      <c r="G55" s="41" t="str">
        <f>_xlfn.XLOOKUP(клиенты!$F55,'коды стран'!$B$2:$B$7,'коды стран'!$A$2:$A$7,"не найдено",0)</f>
        <v>Россия</v>
      </c>
      <c r="H55" s="42">
        <f>_xlfn.MAXIFS(Продажи[дата создания чека],Продажи[id клиента],A55)</f>
        <v>45234</v>
      </c>
      <c r="I55" s="59">
        <f t="shared" si="0"/>
        <v>14.422997946611909</v>
      </c>
      <c r="J55" s="41" t="str">
        <f>IF(LEN(C55) - LEN(SUBSTITUTE(C55," ",""))&lt;3,C55,RIGHT(C55,LEN(C55)-FIND(" ",клиенты!$C55,1)))</f>
        <v>Горшкова Василиса Святославовна</v>
      </c>
      <c r="K55" s="41" t="str">
        <f t="shared" si="1"/>
        <v>Василиса Святославовна Горшкова</v>
      </c>
      <c r="L55" s="41" t="str">
        <f>LEFT(клиенты!$K55,FIND(" ",клиенты!$K55,1)-1)</f>
        <v>Василиса</v>
      </c>
      <c r="M55" s="41" t="str">
        <f>MID(K55,FIND(" ",клиенты!$K55,1)+1,(FIND(" ",клиенты!$K55,FIND(" ",клиенты!$K55,1)+1)-1)-FIND(" ",клиенты!$K55,1))</f>
        <v>Святославовна</v>
      </c>
      <c r="N55" s="41" t="str">
        <f>RIGHT(K55,LEN(K55)-FIND(" ",клиенты!$K55,FIND(" ",клиенты!$K55,1)+1))</f>
        <v>Горшкова</v>
      </c>
    </row>
    <row r="56" spans="1:14" x14ac:dyDescent="0.25">
      <c r="A56" s="43">
        <v>222</v>
      </c>
      <c r="B56" s="44" t="s">
        <v>901</v>
      </c>
      <c r="C56" s="44" t="s">
        <v>900</v>
      </c>
      <c r="D56" s="44" t="s">
        <v>143</v>
      </c>
      <c r="E56" s="45">
        <v>44694</v>
      </c>
      <c r="F56" s="44" t="str">
        <f>LEFT(клиенты!$B56,LEN(клиенты!$B56)-13)</f>
        <v>+380</v>
      </c>
      <c r="G56" s="44" t="str">
        <f>_xlfn.XLOOKUP(клиенты!$F56,'коды стран'!$B$2:$B$7,'коды стран'!$A$2:$A$7,"не найдено",0)</f>
        <v>Украина</v>
      </c>
      <c r="H56" s="45">
        <f>_xlfn.MAXIFS(Продажи[дата создания чека],Продажи[id клиента],A56)</f>
        <v>45413</v>
      </c>
      <c r="I56" s="60">
        <f t="shared" si="0"/>
        <v>23.622176591375769</v>
      </c>
      <c r="J56" s="44" t="str">
        <f>IF(LEN(C56) - LEN(SUBSTITUTE(C56," ",""))&lt;3,C56,RIGHT(C56,LEN(C56)-FIND(" ",клиенты!$C56,1)))</f>
        <v>Эмилия Руслановна Шарапова</v>
      </c>
      <c r="K56" s="44" t="str">
        <f t="shared" si="1"/>
        <v>Эмилия Руслановна Шарапова</v>
      </c>
      <c r="L56" s="44" t="str">
        <f>LEFT(клиенты!$K56,FIND(" ",клиенты!$K56,1)-1)</f>
        <v>Эмилия</v>
      </c>
      <c r="M56" s="44" t="str">
        <f>MID(K56,FIND(" ",клиенты!$K56,1)+1,(FIND(" ",клиенты!$K56,FIND(" ",клиенты!$K56,1)+1)-1)-FIND(" ",клиенты!$K56,1))</f>
        <v>Руслановна</v>
      </c>
      <c r="N56" s="44" t="str">
        <f>RIGHT(K56,LEN(K56)-FIND(" ",клиенты!$K56,FIND(" ",клиенты!$K56,1)+1))</f>
        <v>Шарапова</v>
      </c>
    </row>
    <row r="57" spans="1:14" x14ac:dyDescent="0.25">
      <c r="A57" s="40">
        <v>382</v>
      </c>
      <c r="B57" s="41" t="s">
        <v>899</v>
      </c>
      <c r="C57" s="41" t="s">
        <v>898</v>
      </c>
      <c r="D57" s="41" t="s">
        <v>143</v>
      </c>
      <c r="E57" s="42">
        <v>44850</v>
      </c>
      <c r="F57" s="41" t="str">
        <f>LEFT(клиенты!$B57,LEN(клиенты!$B57)-13)</f>
        <v>+375</v>
      </c>
      <c r="G57" s="41" t="str">
        <f>_xlfn.XLOOKUP(клиенты!$F57,'коды стран'!$B$2:$B$7,'коды стран'!$A$2:$A$7,"не найдено",0)</f>
        <v>Беларусь</v>
      </c>
      <c r="H57" s="42">
        <f>_xlfn.MAXIFS(Продажи[дата создания чека],Продажи[id клиента],A57)</f>
        <v>45214</v>
      </c>
      <c r="I57" s="59">
        <f t="shared" si="0"/>
        <v>11.958932238193018</v>
      </c>
      <c r="J57" s="41" t="str">
        <f>IF(LEN(C57) - LEN(SUBSTITUTE(C57," ",""))&lt;3,C57,RIGHT(C57,LEN(C57)-FIND(" ",клиенты!$C57,1)))</f>
        <v>Алина Михайловна Шестакова</v>
      </c>
      <c r="K57" s="41" t="str">
        <f t="shared" si="1"/>
        <v>Алина Михайловна Шестакова</v>
      </c>
      <c r="L57" s="41" t="str">
        <f>LEFT(клиенты!$K57,FIND(" ",клиенты!$K57,1)-1)</f>
        <v>Алина</v>
      </c>
      <c r="M57" s="41" t="str">
        <f>MID(K57,FIND(" ",клиенты!$K57,1)+1,(FIND(" ",клиенты!$K57,FIND(" ",клиенты!$K57,1)+1)-1)-FIND(" ",клиенты!$K57,1))</f>
        <v>Михайловна</v>
      </c>
      <c r="N57" s="41" t="str">
        <f>RIGHT(K57,LEN(K57)-FIND(" ",клиенты!$K57,FIND(" ",клиенты!$K57,1)+1))</f>
        <v>Шестакова</v>
      </c>
    </row>
    <row r="58" spans="1:14" x14ac:dyDescent="0.25">
      <c r="A58" s="43">
        <v>142</v>
      </c>
      <c r="B58" s="44" t="s">
        <v>897</v>
      </c>
      <c r="C58" s="44" t="s">
        <v>896</v>
      </c>
      <c r="D58" s="44" t="s">
        <v>140</v>
      </c>
      <c r="E58" s="45">
        <v>44683</v>
      </c>
      <c r="F58" s="44" t="str">
        <f>LEFT(клиенты!$B58,LEN(клиенты!$B58)-13)</f>
        <v>+7</v>
      </c>
      <c r="G58" s="44" t="str">
        <f>_xlfn.XLOOKUP(клиенты!$F58,'коды стран'!$B$2:$B$7,'коды стран'!$A$2:$A$7,"не найдено",0)</f>
        <v>Россия</v>
      </c>
      <c r="H58" s="45">
        <f>_xlfn.MAXIFS(Продажи[дата создания чека],Продажи[id клиента],A58)</f>
        <v>45423</v>
      </c>
      <c r="I58" s="60">
        <f t="shared" si="0"/>
        <v>24.312114989733061</v>
      </c>
      <c r="J58" s="44" t="str">
        <f>IF(LEN(C58) - LEN(SUBSTITUTE(C58," ",""))&lt;3,C58,RIGHT(C58,LEN(C58)-FIND(" ",клиенты!$C58,1)))</f>
        <v>Агата Геннадьевна Колесникова</v>
      </c>
      <c r="K58" s="44" t="str">
        <f t="shared" si="1"/>
        <v>Агата Геннадьевна Колесникова</v>
      </c>
      <c r="L58" s="44" t="str">
        <f>LEFT(клиенты!$K58,FIND(" ",клиенты!$K58,1)-1)</f>
        <v>Агата</v>
      </c>
      <c r="M58" s="44" t="str">
        <f>MID(K58,FIND(" ",клиенты!$K58,1)+1,(FIND(" ",клиенты!$K58,FIND(" ",клиенты!$K58,1)+1)-1)-FIND(" ",клиенты!$K58,1))</f>
        <v>Геннадьевна</v>
      </c>
      <c r="N58" s="44" t="str">
        <f>RIGHT(K58,LEN(K58)-FIND(" ",клиенты!$K58,FIND(" ",клиенты!$K58,1)+1))</f>
        <v>Колесникова</v>
      </c>
    </row>
    <row r="59" spans="1:14" x14ac:dyDescent="0.25">
      <c r="A59" s="40">
        <v>150</v>
      </c>
      <c r="B59" s="41" t="s">
        <v>895</v>
      </c>
      <c r="C59" s="41" t="s">
        <v>894</v>
      </c>
      <c r="D59" s="41" t="s">
        <v>140</v>
      </c>
      <c r="E59" s="42">
        <v>44622</v>
      </c>
      <c r="F59" s="41" t="str">
        <f>LEFT(клиенты!$B59,LEN(клиенты!$B59)-13)</f>
        <v>+998</v>
      </c>
      <c r="G59" s="41" t="str">
        <f>_xlfn.XLOOKUP(клиенты!$F59,'коды стран'!$B$2:$B$7,'коды стран'!$A$2:$A$7,"не найдено",0)</f>
        <v>Узбекистан</v>
      </c>
      <c r="H59" s="42">
        <f>_xlfn.MAXIFS(Продажи[дата создания чека],Продажи[id клиента],A59)</f>
        <v>45245</v>
      </c>
      <c r="I59" s="59">
        <f t="shared" si="0"/>
        <v>20.468172484599588</v>
      </c>
      <c r="J59" s="41" t="str">
        <f>IF(LEN(C59) - LEN(SUBSTITUTE(C59," ",""))&lt;3,C59,RIGHT(C59,LEN(C59)-FIND(" ",клиенты!$C59,1)))</f>
        <v>Панова Евгения Викторовна</v>
      </c>
      <c r="K59" s="41" t="str">
        <f t="shared" si="1"/>
        <v>Евгения Викторовна Панова</v>
      </c>
      <c r="L59" s="41" t="str">
        <f>LEFT(клиенты!$K59,FIND(" ",клиенты!$K59,1)-1)</f>
        <v>Евгения</v>
      </c>
      <c r="M59" s="41" t="str">
        <f>MID(K59,FIND(" ",клиенты!$K59,1)+1,(FIND(" ",клиенты!$K59,FIND(" ",клиенты!$K59,1)+1)-1)-FIND(" ",клиенты!$K59,1))</f>
        <v>Викторовна</v>
      </c>
      <c r="N59" s="41" t="str">
        <f>RIGHT(K59,LEN(K59)-FIND(" ",клиенты!$K59,FIND(" ",клиенты!$K59,1)+1))</f>
        <v>Панова</v>
      </c>
    </row>
    <row r="60" spans="1:14" x14ac:dyDescent="0.25">
      <c r="A60" s="43">
        <v>14</v>
      </c>
      <c r="B60" s="44" t="s">
        <v>893</v>
      </c>
      <c r="C60" s="44" t="s">
        <v>892</v>
      </c>
      <c r="D60" s="44" t="s">
        <v>143</v>
      </c>
      <c r="E60" s="45">
        <v>44775</v>
      </c>
      <c r="F60" s="44" t="str">
        <f>LEFT(клиенты!$B60,LEN(клиенты!$B60)-13)</f>
        <v>+992</v>
      </c>
      <c r="G60" s="44" t="str">
        <f>_xlfn.XLOOKUP(клиенты!$F60,'коды стран'!$B$2:$B$7,'коды стран'!$A$2:$A$7,"не найдено",0)</f>
        <v>Таджикистан</v>
      </c>
      <c r="H60" s="45">
        <f>_xlfn.MAXIFS(Продажи[дата создания чека],Продажи[id клиента],A60)</f>
        <v>45012</v>
      </c>
      <c r="I60" s="60">
        <f t="shared" si="0"/>
        <v>7.786447638603696</v>
      </c>
      <c r="J60" s="44" t="str">
        <f>IF(LEN(C60) - LEN(SUBSTITUTE(C60," ",""))&lt;3,C60,RIGHT(C60,LEN(C60)-FIND(" ",клиенты!$C60,1)))</f>
        <v>Ипатий Устинович Зимин</v>
      </c>
      <c r="K60" s="44" t="str">
        <f t="shared" si="1"/>
        <v>Ипатий Устинович Зимин</v>
      </c>
      <c r="L60" s="44" t="str">
        <f>LEFT(клиенты!$K60,FIND(" ",клиенты!$K60,1)-1)</f>
        <v>Ипатий</v>
      </c>
      <c r="M60" s="44" t="str">
        <f>MID(K60,FIND(" ",клиенты!$K60,1)+1,(FIND(" ",клиенты!$K60,FIND(" ",клиенты!$K60,1)+1)-1)-FIND(" ",клиенты!$K60,1))</f>
        <v>Устинович</v>
      </c>
      <c r="N60" s="44" t="str">
        <f>RIGHT(K60,LEN(K60)-FIND(" ",клиенты!$K60,FIND(" ",клиенты!$K60,1)+1))</f>
        <v>Зимин</v>
      </c>
    </row>
    <row r="61" spans="1:14" x14ac:dyDescent="0.25">
      <c r="A61" s="40">
        <v>371</v>
      </c>
      <c r="B61" s="41" t="s">
        <v>891</v>
      </c>
      <c r="C61" s="41" t="s">
        <v>890</v>
      </c>
      <c r="D61" s="41" t="s">
        <v>140</v>
      </c>
      <c r="E61" s="42">
        <v>44844</v>
      </c>
      <c r="F61" s="41" t="str">
        <f>LEFT(клиенты!$B61,LEN(клиенты!$B61)-13)</f>
        <v>+380</v>
      </c>
      <c r="G61" s="41" t="str">
        <f>_xlfn.XLOOKUP(клиенты!$F61,'коды стран'!$B$2:$B$7,'коды стран'!$A$2:$A$7,"не найдено",0)</f>
        <v>Украина</v>
      </c>
      <c r="H61" s="42">
        <f>_xlfn.MAXIFS(Продажи[дата создания чека],Продажи[id клиента],A61)</f>
        <v>45267</v>
      </c>
      <c r="I61" s="59">
        <f t="shared" si="0"/>
        <v>13.897330595482547</v>
      </c>
      <c r="J61" s="41" t="str">
        <f>IF(LEN(C61) - LEN(SUBSTITUTE(C61," ",""))&lt;3,C61,RIGHT(C61,LEN(C61)-FIND(" ",клиенты!$C61,1)))</f>
        <v>Регина Сергеевна Ефимова</v>
      </c>
      <c r="K61" s="41" t="str">
        <f t="shared" si="1"/>
        <v>Регина Сергеевна Ефимова</v>
      </c>
      <c r="L61" s="41" t="str">
        <f>LEFT(клиенты!$K61,FIND(" ",клиенты!$K61,1)-1)</f>
        <v>Регина</v>
      </c>
      <c r="M61" s="41" t="str">
        <f>MID(K61,FIND(" ",клиенты!$K61,1)+1,(FIND(" ",клиенты!$K61,FIND(" ",клиенты!$K61,1)+1)-1)-FIND(" ",клиенты!$K61,1))</f>
        <v>Сергеевна</v>
      </c>
      <c r="N61" s="41" t="str">
        <f>RIGHT(K61,LEN(K61)-FIND(" ",клиенты!$K61,FIND(" ",клиенты!$K61,1)+1))</f>
        <v>Ефимова</v>
      </c>
    </row>
    <row r="62" spans="1:14" x14ac:dyDescent="0.25">
      <c r="A62" s="43">
        <v>328</v>
      </c>
      <c r="B62" s="44" t="s">
        <v>889</v>
      </c>
      <c r="C62" s="44" t="s">
        <v>888</v>
      </c>
      <c r="D62" s="44" t="s">
        <v>143</v>
      </c>
      <c r="E62" s="45">
        <v>44568</v>
      </c>
      <c r="F62" s="44" t="str">
        <f>LEFT(клиенты!$B62,LEN(клиенты!$B62)-13)</f>
        <v>+7</v>
      </c>
      <c r="G62" s="44" t="str">
        <f>_xlfn.XLOOKUP(клиенты!$F62,'коды стран'!$B$2:$B$7,'коды стран'!$A$2:$A$7,"не найдено",0)</f>
        <v>Россия</v>
      </c>
      <c r="H62" s="45">
        <f>_xlfn.MAXIFS(Продажи[дата создания чека],Продажи[id клиента],A62)</f>
        <v>45280</v>
      </c>
      <c r="I62" s="60">
        <f t="shared" si="0"/>
        <v>23.392197125256672</v>
      </c>
      <c r="J62" s="44" t="str">
        <f>IF(LEN(C62) - LEN(SUBSTITUTE(C62," ",""))&lt;3,C62,RIGHT(C62,LEN(C62)-FIND(" ",клиенты!$C62,1)))</f>
        <v>Регина Сергеевна Чернова</v>
      </c>
      <c r="K62" s="44" t="str">
        <f t="shared" si="1"/>
        <v>Регина Сергеевна Чернова</v>
      </c>
      <c r="L62" s="44" t="str">
        <f>LEFT(клиенты!$K62,FIND(" ",клиенты!$K62,1)-1)</f>
        <v>Регина</v>
      </c>
      <c r="M62" s="44" t="str">
        <f>MID(K62,FIND(" ",клиенты!$K62,1)+1,(FIND(" ",клиенты!$K62,FIND(" ",клиенты!$K62,1)+1)-1)-FIND(" ",клиенты!$K62,1))</f>
        <v>Сергеевна</v>
      </c>
      <c r="N62" s="44" t="str">
        <f>RIGHT(K62,LEN(K62)-FIND(" ",клиенты!$K62,FIND(" ",клиенты!$K62,1)+1))</f>
        <v>Чернова</v>
      </c>
    </row>
    <row r="63" spans="1:14" x14ac:dyDescent="0.25">
      <c r="A63" s="40">
        <v>171</v>
      </c>
      <c r="B63" s="41" t="s">
        <v>887</v>
      </c>
      <c r="C63" s="41" t="s">
        <v>886</v>
      </c>
      <c r="D63" s="41" t="s">
        <v>143</v>
      </c>
      <c r="E63" s="42">
        <v>44710</v>
      </c>
      <c r="F63" s="41" t="str">
        <f>LEFT(клиенты!$B63,LEN(клиенты!$B63)-13)</f>
        <v>+7</v>
      </c>
      <c r="G63" s="41" t="str">
        <f>_xlfn.XLOOKUP(клиенты!$F63,'коды стран'!$B$2:$B$7,'коды стран'!$A$2:$A$7,"не найдено",0)</f>
        <v>Россия</v>
      </c>
      <c r="H63" s="42">
        <f>_xlfn.MAXIFS(Продажи[дата создания чека],Продажи[id клиента],A63)</f>
        <v>45195</v>
      </c>
      <c r="I63" s="59">
        <f t="shared" si="0"/>
        <v>15.93429158110883</v>
      </c>
      <c r="J63" s="41" t="str">
        <f>IF(LEN(C63) - LEN(SUBSTITUTE(C63," ",""))&lt;3,C63,RIGHT(C63,LEN(C63)-FIND(" ",клиенты!$C63,1)))</f>
        <v>Бажен Дмитриевич Исаков</v>
      </c>
      <c r="K63" s="41" t="str">
        <f t="shared" si="1"/>
        <v>Бажен Дмитриевич Исаков</v>
      </c>
      <c r="L63" s="41" t="str">
        <f>LEFT(клиенты!$K63,FIND(" ",клиенты!$K63,1)-1)</f>
        <v>Бажен</v>
      </c>
      <c r="M63" s="41" t="str">
        <f>MID(K63,FIND(" ",клиенты!$K63,1)+1,(FIND(" ",клиенты!$K63,FIND(" ",клиенты!$K63,1)+1)-1)-FIND(" ",клиенты!$K63,1))</f>
        <v>Дмитриевич</v>
      </c>
      <c r="N63" s="41" t="str">
        <f>RIGHT(K63,LEN(K63)-FIND(" ",клиенты!$K63,FIND(" ",клиенты!$K63,1)+1))</f>
        <v>Исаков</v>
      </c>
    </row>
    <row r="64" spans="1:14" x14ac:dyDescent="0.25">
      <c r="A64" s="43">
        <v>68</v>
      </c>
      <c r="B64" s="44" t="s">
        <v>885</v>
      </c>
      <c r="C64" s="44" t="s">
        <v>884</v>
      </c>
      <c r="D64" s="44" t="s">
        <v>143</v>
      </c>
      <c r="E64" s="45">
        <v>44882</v>
      </c>
      <c r="F64" s="44" t="str">
        <f>LEFT(клиенты!$B64,LEN(клиенты!$B64)-13)</f>
        <v>+998</v>
      </c>
      <c r="G64" s="44" t="str">
        <f>_xlfn.XLOOKUP(клиенты!$F64,'коды стран'!$B$2:$B$7,'коды стран'!$A$2:$A$7,"не найдено",0)</f>
        <v>Узбекистан</v>
      </c>
      <c r="H64" s="45">
        <f>_xlfn.MAXIFS(Продажи[дата создания чека],Продажи[id клиента],A64)</f>
        <v>45395</v>
      </c>
      <c r="I64" s="60">
        <f t="shared" si="0"/>
        <v>16.854209445585216</v>
      </c>
      <c r="J64" s="44" t="str">
        <f>IF(LEN(C64) - LEN(SUBSTITUTE(C64," ",""))&lt;3,C64,RIGHT(C64,LEN(C64)-FIND(" ",клиенты!$C64,1)))</f>
        <v>Иванна Наумовна Иванова</v>
      </c>
      <c r="K64" s="44" t="str">
        <f t="shared" si="1"/>
        <v>Иванна Наумовна Иванова</v>
      </c>
      <c r="L64" s="44" t="str">
        <f>LEFT(клиенты!$K64,FIND(" ",клиенты!$K64,1)-1)</f>
        <v>Иванна</v>
      </c>
      <c r="M64" s="44" t="str">
        <f>MID(K64,FIND(" ",клиенты!$K64,1)+1,(FIND(" ",клиенты!$K64,FIND(" ",клиенты!$K64,1)+1)-1)-FIND(" ",клиенты!$K64,1))</f>
        <v>Наумовна</v>
      </c>
      <c r="N64" s="44" t="str">
        <f>RIGHT(K64,LEN(K64)-FIND(" ",клиенты!$K64,FIND(" ",клиенты!$K64,1)+1))</f>
        <v>Иванова</v>
      </c>
    </row>
    <row r="65" spans="1:14" x14ac:dyDescent="0.25">
      <c r="A65" s="40">
        <v>346</v>
      </c>
      <c r="B65" s="41" t="s">
        <v>883</v>
      </c>
      <c r="C65" s="41" t="s">
        <v>882</v>
      </c>
      <c r="D65" s="41" t="s">
        <v>143</v>
      </c>
      <c r="E65" s="42">
        <v>44636</v>
      </c>
      <c r="F65" s="41" t="str">
        <f>LEFT(клиенты!$B65,LEN(клиенты!$B65)-13)</f>
        <v>+7</v>
      </c>
      <c r="G65" s="41" t="str">
        <f>_xlfn.XLOOKUP(клиенты!$F65,'коды стран'!$B$2:$B$7,'коды стран'!$A$2:$A$7,"не найдено",0)</f>
        <v>Россия</v>
      </c>
      <c r="H65" s="42">
        <f>_xlfn.MAXIFS(Продажи[дата создания чека],Продажи[id клиента],A65)</f>
        <v>45309</v>
      </c>
      <c r="I65" s="59">
        <f t="shared" si="0"/>
        <v>22.11088295687885</v>
      </c>
      <c r="J65" s="41" t="str">
        <f>IF(LEN(C65) - LEN(SUBSTITUTE(C65," ",""))&lt;3,C65,RIGHT(C65,LEN(C65)-FIND(" ",клиенты!$C65,1)))</f>
        <v>Капитон Харитонович Родионов</v>
      </c>
      <c r="K65" s="41" t="str">
        <f t="shared" si="1"/>
        <v>Капитон Харитонович Родионов</v>
      </c>
      <c r="L65" s="41" t="str">
        <f>LEFT(клиенты!$K65,FIND(" ",клиенты!$K65,1)-1)</f>
        <v>Капитон</v>
      </c>
      <c r="M65" s="41" t="str">
        <f>MID(K65,FIND(" ",клиенты!$K65,1)+1,(FIND(" ",клиенты!$K65,FIND(" ",клиенты!$K65,1)+1)-1)-FIND(" ",клиенты!$K65,1))</f>
        <v>Харитонович</v>
      </c>
      <c r="N65" s="41" t="str">
        <f>RIGHT(K65,LEN(K65)-FIND(" ",клиенты!$K65,FIND(" ",клиенты!$K65,1)+1))</f>
        <v>Родионов</v>
      </c>
    </row>
    <row r="66" spans="1:14" x14ac:dyDescent="0.25">
      <c r="A66" s="43">
        <v>415</v>
      </c>
      <c r="B66" s="44" t="s">
        <v>881</v>
      </c>
      <c r="C66" s="44" t="s">
        <v>880</v>
      </c>
      <c r="D66" s="44" t="s">
        <v>143</v>
      </c>
      <c r="E66" s="45">
        <v>44661</v>
      </c>
      <c r="F66" s="44" t="str">
        <f>LEFT(клиенты!$B66,LEN(клиенты!$B66)-13)</f>
        <v>+380</v>
      </c>
      <c r="G66" s="44" t="str">
        <f>_xlfn.XLOOKUP(клиенты!$F66,'коды стран'!$B$2:$B$7,'коды стран'!$A$2:$A$7,"не найдено",0)</f>
        <v>Украина</v>
      </c>
      <c r="H66" s="45">
        <f>_xlfn.MAXIFS(Продажи[дата создания чека],Продажи[id клиента],A66)</f>
        <v>45287</v>
      </c>
      <c r="I66" s="60">
        <f t="shared" si="0"/>
        <v>20.566735112936346</v>
      </c>
      <c r="J66" s="44" t="str">
        <f>IF(LEN(C66) - LEN(SUBSTITUTE(C66," ",""))&lt;3,C66,RIGHT(C66,LEN(C66)-FIND(" ",клиенты!$C66,1)))</f>
        <v>Капитон Феликсович Кабанов</v>
      </c>
      <c r="K66" s="44" t="str">
        <f t="shared" si="1"/>
        <v>Капитон Феликсович Кабанов</v>
      </c>
      <c r="L66" s="44" t="str">
        <f>LEFT(клиенты!$K66,FIND(" ",клиенты!$K66,1)-1)</f>
        <v>Капитон</v>
      </c>
      <c r="M66" s="44" t="str">
        <f>MID(K66,FIND(" ",клиенты!$K66,1)+1,(FIND(" ",клиенты!$K66,FIND(" ",клиенты!$K66,1)+1)-1)-FIND(" ",клиенты!$K66,1))</f>
        <v>Феликсович</v>
      </c>
      <c r="N66" s="44" t="str">
        <f>RIGHT(K66,LEN(K66)-FIND(" ",клиенты!$K66,FIND(" ",клиенты!$K66,1)+1))</f>
        <v>Кабанов</v>
      </c>
    </row>
    <row r="67" spans="1:14" x14ac:dyDescent="0.25">
      <c r="A67" s="40">
        <v>115</v>
      </c>
      <c r="B67" s="41" t="s">
        <v>879</v>
      </c>
      <c r="C67" s="41" t="s">
        <v>878</v>
      </c>
      <c r="D67" s="41" t="s">
        <v>143</v>
      </c>
      <c r="E67" s="42">
        <v>44832</v>
      </c>
      <c r="F67" s="41" t="str">
        <f>LEFT(клиенты!$B67,LEN(клиенты!$B67)-13)</f>
        <v>+375</v>
      </c>
      <c r="G67" s="41" t="str">
        <f>_xlfn.XLOOKUP(клиенты!$F67,'коды стран'!$B$2:$B$7,'коды стран'!$A$2:$A$7,"не найдено",0)</f>
        <v>Беларусь</v>
      </c>
      <c r="H67" s="42">
        <f>_xlfn.MAXIFS(Продажи[дата создания чека],Продажи[id клиента],A67)</f>
        <v>45415</v>
      </c>
      <c r="I67" s="59">
        <f t="shared" ref="I67:I130" si="2">IFERROR((H67-E67)/30.4375,0)</f>
        <v>19.154004106776181</v>
      </c>
      <c r="J67" s="41" t="str">
        <f>IF(LEN(C67) - LEN(SUBSTITUTE(C67," ",""))&lt;3,C67,RIGHT(C67,LEN(C67)-FIND(" ",клиенты!$C67,1)))</f>
        <v>Галина Кирилловна Прохорова</v>
      </c>
      <c r="K67" s="41" t="str">
        <f t="shared" ref="K67:K130" si="3">IF(OR(
    RIGHT(MID(C67,FIND(" ",C67)+1,FIND(" ",C67,FIND(" ",C67)+1)-FIND(" ",C67)-1),2)="ич",
    RIGHT(MID(C67,FIND(" ",C67)+1,FIND(" ",C67,FIND(" ",C67)+1)-FIND(" ",C67)-1),3)="вна",
    RIGHT(MID(C67,FIND(" ",C67)+1,FIND(" ",C67,FIND(" ",C67)+1)-FIND(" ",C67)-1),3)="чна"
),
C67,
MID(C67,FIND(" ",C67)+1,FIND(" ",C67,FIND(" ",C67)+1)-FIND(" ",C67)-1)&amp;" "&amp;
RIGHT(C67,LEN(C67)-FIND("☐",SUBSTITUTE(C67," ","☐",2)))&amp;" "&amp;
LEFT(C67,FIND(" ",C67)-1)
)</f>
        <v>Галина Кирилловна Прохорова</v>
      </c>
      <c r="L67" s="41" t="str">
        <f>LEFT(клиенты!$K67,FIND(" ",клиенты!$K67,1)-1)</f>
        <v>Галина</v>
      </c>
      <c r="M67" s="41" t="str">
        <f>MID(K67,FIND(" ",клиенты!$K67,1)+1,(FIND(" ",клиенты!$K67,FIND(" ",клиенты!$K67,1)+1)-1)-FIND(" ",клиенты!$K67,1))</f>
        <v>Кирилловна</v>
      </c>
      <c r="N67" s="41" t="str">
        <f>RIGHT(K67,LEN(K67)-FIND(" ",клиенты!$K67,FIND(" ",клиенты!$K67,1)+1))</f>
        <v>Прохорова</v>
      </c>
    </row>
    <row r="68" spans="1:14" x14ac:dyDescent="0.25">
      <c r="A68" s="43">
        <v>42</v>
      </c>
      <c r="B68" s="44" t="s">
        <v>877</v>
      </c>
      <c r="C68" s="44" t="s">
        <v>876</v>
      </c>
      <c r="D68" s="44" t="s">
        <v>143</v>
      </c>
      <c r="E68" s="45">
        <v>44783</v>
      </c>
      <c r="F68" s="44" t="str">
        <f>LEFT(клиенты!$B68,LEN(клиенты!$B68)-13)</f>
        <v>+992</v>
      </c>
      <c r="G68" s="44" t="str">
        <f>_xlfn.XLOOKUP(клиенты!$F68,'коды стран'!$B$2:$B$7,'коды стран'!$A$2:$A$7,"не найдено",0)</f>
        <v>Таджикистан</v>
      </c>
      <c r="H68" s="45">
        <f>_xlfn.MAXIFS(Продажи[дата создания чека],Продажи[id клиента],A68)</f>
        <v>45372</v>
      </c>
      <c r="I68" s="60">
        <f t="shared" si="2"/>
        <v>19.351129363449694</v>
      </c>
      <c r="J68" s="44" t="str">
        <f>IF(LEN(C68) - LEN(SUBSTITUTE(C68," ",""))&lt;3,C68,RIGHT(C68,LEN(C68)-FIND(" ",клиенты!$C68,1)))</f>
        <v>Панфил Федотович Шаров</v>
      </c>
      <c r="K68" s="44" t="str">
        <f t="shared" si="3"/>
        <v>Панфил Федотович Шаров</v>
      </c>
      <c r="L68" s="44" t="str">
        <f>LEFT(клиенты!$K68,FIND(" ",клиенты!$K68,1)-1)</f>
        <v>Панфил</v>
      </c>
      <c r="M68" s="44" t="str">
        <f>MID(K68,FIND(" ",клиенты!$K68,1)+1,(FIND(" ",клиенты!$K68,FIND(" ",клиенты!$K68,1)+1)-1)-FIND(" ",клиенты!$K68,1))</f>
        <v>Федотович</v>
      </c>
      <c r="N68" s="44" t="str">
        <f>RIGHT(K68,LEN(K68)-FIND(" ",клиенты!$K68,FIND(" ",клиенты!$K68,1)+1))</f>
        <v>Шаров</v>
      </c>
    </row>
    <row r="69" spans="1:14" x14ac:dyDescent="0.25">
      <c r="A69" s="40">
        <v>378</v>
      </c>
      <c r="B69" s="41" t="s">
        <v>875</v>
      </c>
      <c r="C69" s="41" t="s">
        <v>874</v>
      </c>
      <c r="D69" s="41" t="s">
        <v>140</v>
      </c>
      <c r="E69" s="42">
        <v>44710</v>
      </c>
      <c r="F69" s="41" t="str">
        <f>LEFT(клиенты!$B69,LEN(клиенты!$B69)-13)</f>
        <v>+7</v>
      </c>
      <c r="G69" s="41" t="str">
        <f>_xlfn.XLOOKUP(клиенты!$F69,'коды стран'!$B$2:$B$7,'коды стран'!$A$2:$A$7,"не найдено",0)</f>
        <v>Россия</v>
      </c>
      <c r="H69" s="42">
        <f>_xlfn.MAXIFS(Продажи[дата создания чека],Продажи[id клиента],A69)</f>
        <v>45000</v>
      </c>
      <c r="I69" s="59">
        <f t="shared" si="2"/>
        <v>9.5277207392197134</v>
      </c>
      <c r="J69" s="41" t="str">
        <f>IF(LEN(C69) - LEN(SUBSTITUTE(C69," ",""))&lt;3,C69,RIGHT(C69,LEN(C69)-FIND(" ",клиенты!$C69,1)))</f>
        <v>Сократ Юльевич Афанасьев</v>
      </c>
      <c r="K69" s="41" t="str">
        <f t="shared" si="3"/>
        <v>Сократ Юльевич Афанасьев</v>
      </c>
      <c r="L69" s="41" t="str">
        <f>LEFT(клиенты!$K69,FIND(" ",клиенты!$K69,1)-1)</f>
        <v>Сократ</v>
      </c>
      <c r="M69" s="41" t="str">
        <f>MID(K69,FIND(" ",клиенты!$K69,1)+1,(FIND(" ",клиенты!$K69,FIND(" ",клиенты!$K69,1)+1)-1)-FIND(" ",клиенты!$K69,1))</f>
        <v>Юльевич</v>
      </c>
      <c r="N69" s="41" t="str">
        <f>RIGHT(K69,LEN(K69)-FIND(" ",клиенты!$K69,FIND(" ",клиенты!$K69,1)+1))</f>
        <v>Афанасьев</v>
      </c>
    </row>
    <row r="70" spans="1:14" x14ac:dyDescent="0.25">
      <c r="A70" s="43">
        <v>449</v>
      </c>
      <c r="B70" s="44" t="s">
        <v>873</v>
      </c>
      <c r="C70" s="44" t="s">
        <v>872</v>
      </c>
      <c r="D70" s="44" t="s">
        <v>140</v>
      </c>
      <c r="E70" s="45">
        <v>44645</v>
      </c>
      <c r="F70" s="44" t="str">
        <f>LEFT(клиенты!$B70,LEN(клиенты!$B70)-13)</f>
        <v>+992</v>
      </c>
      <c r="G70" s="44" t="str">
        <f>_xlfn.XLOOKUP(клиенты!$F70,'коды стран'!$B$2:$B$7,'коды стран'!$A$2:$A$7,"не найдено",0)</f>
        <v>Таджикистан</v>
      </c>
      <c r="H70" s="45">
        <f>_xlfn.MAXIFS(Продажи[дата создания чека],Продажи[id клиента],A70)</f>
        <v>45391</v>
      </c>
      <c r="I70" s="60">
        <f t="shared" si="2"/>
        <v>24.50924024640657</v>
      </c>
      <c r="J70" s="44" t="str">
        <f>IF(LEN(C70) - LEN(SUBSTITUTE(C70," ",""))&lt;3,C70,RIGHT(C70,LEN(C70)-FIND(" ",клиенты!$C70,1)))</f>
        <v>Пестов Измаил Глебович</v>
      </c>
      <c r="K70" s="44" t="str">
        <f t="shared" si="3"/>
        <v>Измаил Глебович Пестов</v>
      </c>
      <c r="L70" s="44" t="str">
        <f>LEFT(клиенты!$K70,FIND(" ",клиенты!$K70,1)-1)</f>
        <v>Измаил</v>
      </c>
      <c r="M70" s="44" t="str">
        <f>MID(K70,FIND(" ",клиенты!$K70,1)+1,(FIND(" ",клиенты!$K70,FIND(" ",клиенты!$K70,1)+1)-1)-FIND(" ",клиенты!$K70,1))</f>
        <v>Глебович</v>
      </c>
      <c r="N70" s="44" t="str">
        <f>RIGHT(K70,LEN(K70)-FIND(" ",клиенты!$K70,FIND(" ",клиенты!$K70,1)+1))</f>
        <v>Пестов</v>
      </c>
    </row>
    <row r="71" spans="1:14" x14ac:dyDescent="0.25">
      <c r="A71" s="40">
        <v>317</v>
      </c>
      <c r="B71" s="41" t="s">
        <v>871</v>
      </c>
      <c r="C71" s="41" t="s">
        <v>870</v>
      </c>
      <c r="D71" s="41" t="s">
        <v>140</v>
      </c>
      <c r="E71" s="42">
        <v>44770</v>
      </c>
      <c r="F71" s="41" t="str">
        <f>LEFT(клиенты!$B71,LEN(клиенты!$B71)-13)</f>
        <v>+7</v>
      </c>
      <c r="G71" s="41" t="str">
        <f>_xlfn.XLOOKUP(клиенты!$F71,'коды стран'!$B$2:$B$7,'коды стран'!$A$2:$A$7,"не найдено",0)</f>
        <v>Россия</v>
      </c>
      <c r="H71" s="42">
        <f>_xlfn.MAXIFS(Продажи[дата создания чека],Продажи[id клиента],A71)</f>
        <v>45360</v>
      </c>
      <c r="I71" s="59">
        <f t="shared" si="2"/>
        <v>19.383983572895279</v>
      </c>
      <c r="J71" s="41" t="str">
        <f>IF(LEN(C71) - LEN(SUBSTITUTE(C71," ",""))&lt;3,C71,RIGHT(C71,LEN(C71)-FIND(" ",клиенты!$C71,1)))</f>
        <v>Ильина Милица Захаровна</v>
      </c>
      <c r="K71" s="41" t="str">
        <f t="shared" si="3"/>
        <v>Милица Захаровна Ильина</v>
      </c>
      <c r="L71" s="41" t="str">
        <f>LEFT(клиенты!$K71,FIND(" ",клиенты!$K71,1)-1)</f>
        <v>Милица</v>
      </c>
      <c r="M71" s="41" t="str">
        <f>MID(K71,FIND(" ",клиенты!$K71,1)+1,(FIND(" ",клиенты!$K71,FIND(" ",клиенты!$K71,1)+1)-1)-FIND(" ",клиенты!$K71,1))</f>
        <v>Захаровна</v>
      </c>
      <c r="N71" s="41" t="str">
        <f>RIGHT(K71,LEN(K71)-FIND(" ",клиенты!$K71,FIND(" ",клиенты!$K71,1)+1))</f>
        <v>Ильина</v>
      </c>
    </row>
    <row r="72" spans="1:14" x14ac:dyDescent="0.25">
      <c r="A72" s="43">
        <v>426</v>
      </c>
      <c r="B72" s="44" t="s">
        <v>869</v>
      </c>
      <c r="C72" s="44" t="s">
        <v>868</v>
      </c>
      <c r="D72" s="44" t="s">
        <v>143</v>
      </c>
      <c r="E72" s="45">
        <v>44768</v>
      </c>
      <c r="F72" s="44" t="str">
        <f>LEFT(клиенты!$B72,LEN(клиенты!$B72)-13)</f>
        <v>+992</v>
      </c>
      <c r="G72" s="44" t="str">
        <f>_xlfn.XLOOKUP(клиенты!$F72,'коды стран'!$B$2:$B$7,'коды стран'!$A$2:$A$7,"не найдено",0)</f>
        <v>Таджикистан</v>
      </c>
      <c r="H72" s="45">
        <f>_xlfn.MAXIFS(Продажи[дата создания чека],Продажи[id клиента],A72)</f>
        <v>44930</v>
      </c>
      <c r="I72" s="60">
        <f t="shared" si="2"/>
        <v>5.3223819301848048</v>
      </c>
      <c r="J72" s="44" t="str">
        <f>IF(LEN(C72) - LEN(SUBSTITUTE(C72," ",""))&lt;3,C72,RIGHT(C72,LEN(C72)-FIND(" ",клиенты!$C72,1)))</f>
        <v>Лыткина Вера Ждановна</v>
      </c>
      <c r="K72" s="44" t="str">
        <f t="shared" si="3"/>
        <v>Вера Ждановна Лыткина</v>
      </c>
      <c r="L72" s="44" t="str">
        <f>LEFT(клиенты!$K72,FIND(" ",клиенты!$K72,1)-1)</f>
        <v>Вера</v>
      </c>
      <c r="M72" s="44" t="str">
        <f>MID(K72,FIND(" ",клиенты!$K72,1)+1,(FIND(" ",клиенты!$K72,FIND(" ",клиенты!$K72,1)+1)-1)-FIND(" ",клиенты!$K72,1))</f>
        <v>Ждановна</v>
      </c>
      <c r="N72" s="44" t="str">
        <f>RIGHT(K72,LEN(K72)-FIND(" ",клиенты!$K72,FIND(" ",клиенты!$K72,1)+1))</f>
        <v>Лыткина</v>
      </c>
    </row>
    <row r="73" spans="1:14" x14ac:dyDescent="0.25">
      <c r="A73" s="40">
        <v>25</v>
      </c>
      <c r="B73" s="41" t="s">
        <v>867</v>
      </c>
      <c r="C73" s="41" t="s">
        <v>866</v>
      </c>
      <c r="D73" s="41" t="s">
        <v>143</v>
      </c>
      <c r="E73" s="42">
        <v>44582</v>
      </c>
      <c r="F73" s="41" t="str">
        <f>LEFT(клиенты!$B73,LEN(клиенты!$B73)-13)</f>
        <v>+992</v>
      </c>
      <c r="G73" s="41" t="str">
        <f>_xlfn.XLOOKUP(клиенты!$F73,'коды стран'!$B$2:$B$7,'коды стран'!$A$2:$A$7,"не найдено",0)</f>
        <v>Таджикистан</v>
      </c>
      <c r="H73" s="42">
        <f>_xlfn.MAXIFS(Продажи[дата создания чека],Продажи[id клиента],A73)</f>
        <v>45316</v>
      </c>
      <c r="I73" s="59">
        <f t="shared" si="2"/>
        <v>24.114989733059549</v>
      </c>
      <c r="J73" s="41" t="str">
        <f>IF(LEN(C73) - LEN(SUBSTITUTE(C73," ",""))&lt;3,C73,RIGHT(C73,LEN(C73)-FIND(" ",клиенты!$C73,1)))</f>
        <v>Аггей Терентьевич Волков</v>
      </c>
      <c r="K73" s="41" t="str">
        <f t="shared" si="3"/>
        <v>Аггей Терентьевич Волков</v>
      </c>
      <c r="L73" s="41" t="str">
        <f>LEFT(клиенты!$K73,FIND(" ",клиенты!$K73,1)-1)</f>
        <v>Аггей</v>
      </c>
      <c r="M73" s="41" t="str">
        <f>MID(K73,FIND(" ",клиенты!$K73,1)+1,(FIND(" ",клиенты!$K73,FIND(" ",клиенты!$K73,1)+1)-1)-FIND(" ",клиенты!$K73,1))</f>
        <v>Терентьевич</v>
      </c>
      <c r="N73" s="41" t="str">
        <f>RIGHT(K73,LEN(K73)-FIND(" ",клиенты!$K73,FIND(" ",клиенты!$K73,1)+1))</f>
        <v>Волков</v>
      </c>
    </row>
    <row r="74" spans="1:14" x14ac:dyDescent="0.25">
      <c r="A74" s="43">
        <v>462</v>
      </c>
      <c r="B74" s="44" t="s">
        <v>865</v>
      </c>
      <c r="C74" s="44" t="s">
        <v>864</v>
      </c>
      <c r="D74" s="44" t="s">
        <v>143</v>
      </c>
      <c r="E74" s="45">
        <v>44751</v>
      </c>
      <c r="F74" s="44" t="str">
        <f>LEFT(клиенты!$B74,LEN(клиенты!$B74)-13)</f>
        <v>+7</v>
      </c>
      <c r="G74" s="44" t="str">
        <f>_xlfn.XLOOKUP(клиенты!$F74,'коды стран'!$B$2:$B$7,'коды стран'!$A$2:$A$7,"не найдено",0)</f>
        <v>Россия</v>
      </c>
      <c r="H74" s="45">
        <f>_xlfn.MAXIFS(Продажи[дата создания чека],Продажи[id клиента],A74)</f>
        <v>45109</v>
      </c>
      <c r="I74" s="60">
        <f t="shared" si="2"/>
        <v>11.761806981519507</v>
      </c>
      <c r="J74" s="44" t="str">
        <f>IF(LEN(C74) - LEN(SUBSTITUTE(C74," ",""))&lt;3,C74,RIGHT(C74,LEN(C74)-FIND(" ",клиенты!$C74,1)))</f>
        <v>Владилен Иосифович Третьяков</v>
      </c>
      <c r="K74" s="44" t="str">
        <f t="shared" si="3"/>
        <v>Владилен Иосифович Третьяков</v>
      </c>
      <c r="L74" s="44" t="str">
        <f>LEFT(клиенты!$K74,FIND(" ",клиенты!$K74,1)-1)</f>
        <v>Владилен</v>
      </c>
      <c r="M74" s="44" t="str">
        <f>MID(K74,FIND(" ",клиенты!$K74,1)+1,(FIND(" ",клиенты!$K74,FIND(" ",клиенты!$K74,1)+1)-1)-FIND(" ",клиенты!$K74,1))</f>
        <v>Иосифович</v>
      </c>
      <c r="N74" s="44" t="str">
        <f>RIGHT(K74,LEN(K74)-FIND(" ",клиенты!$K74,FIND(" ",клиенты!$K74,1)+1))</f>
        <v>Третьяков</v>
      </c>
    </row>
    <row r="75" spans="1:14" x14ac:dyDescent="0.25">
      <c r="A75" s="40">
        <v>252</v>
      </c>
      <c r="B75" s="41" t="s">
        <v>863</v>
      </c>
      <c r="C75" s="41" t="s">
        <v>862</v>
      </c>
      <c r="D75" s="41" t="s">
        <v>140</v>
      </c>
      <c r="E75" s="42">
        <v>44643</v>
      </c>
      <c r="F75" s="41" t="str">
        <f>LEFT(клиенты!$B75,LEN(клиенты!$B75)-13)</f>
        <v>+7</v>
      </c>
      <c r="G75" s="41" t="str">
        <f>_xlfn.XLOOKUP(клиенты!$F75,'коды стран'!$B$2:$B$7,'коды стран'!$A$2:$A$7,"не найдено",0)</f>
        <v>Россия</v>
      </c>
      <c r="H75" s="42">
        <f>_xlfn.MAXIFS(Продажи[дата создания чека],Продажи[id клиента],A75)</f>
        <v>45364</v>
      </c>
      <c r="I75" s="59">
        <f t="shared" si="2"/>
        <v>23.687885010266939</v>
      </c>
      <c r="J75" s="41" t="str">
        <f>IF(LEN(C75) - LEN(SUBSTITUTE(C75," ",""))&lt;3,C75,RIGHT(C75,LEN(C75)-FIND(" ",клиенты!$C75,1)))</f>
        <v>Ладимир Гурьевич Егоров</v>
      </c>
      <c r="K75" s="41" t="str">
        <f t="shared" si="3"/>
        <v>Ладимир Гурьевич Егоров</v>
      </c>
      <c r="L75" s="41" t="str">
        <f>LEFT(клиенты!$K75,FIND(" ",клиенты!$K75,1)-1)</f>
        <v>Ладимир</v>
      </c>
      <c r="M75" s="41" t="str">
        <f>MID(K75,FIND(" ",клиенты!$K75,1)+1,(FIND(" ",клиенты!$K75,FIND(" ",клиенты!$K75,1)+1)-1)-FIND(" ",клиенты!$K75,1))</f>
        <v>Гурьевич</v>
      </c>
      <c r="N75" s="41" t="str">
        <f>RIGHT(K75,LEN(K75)-FIND(" ",клиенты!$K75,FIND(" ",клиенты!$K75,1)+1))</f>
        <v>Егоров</v>
      </c>
    </row>
    <row r="76" spans="1:14" x14ac:dyDescent="0.25">
      <c r="A76" s="43">
        <v>392</v>
      </c>
      <c r="B76" s="44" t="s">
        <v>861</v>
      </c>
      <c r="C76" s="44" t="s">
        <v>860</v>
      </c>
      <c r="D76" s="44" t="s">
        <v>140</v>
      </c>
      <c r="E76" s="45">
        <v>44919</v>
      </c>
      <c r="F76" s="44" t="str">
        <f>LEFT(клиенты!$B76,LEN(клиенты!$B76)-13)</f>
        <v>+7</v>
      </c>
      <c r="G76" s="44" t="str">
        <f>_xlfn.XLOOKUP(клиенты!$F76,'коды стран'!$B$2:$B$7,'коды стран'!$A$2:$A$7,"не найдено",0)</f>
        <v>Россия</v>
      </c>
      <c r="H76" s="45">
        <f>_xlfn.MAXIFS(Продажи[дата создания чека],Продажи[id клиента],A76)</f>
        <v>45164</v>
      </c>
      <c r="I76" s="60">
        <f t="shared" si="2"/>
        <v>8.0492813141683772</v>
      </c>
      <c r="J76" s="44" t="str">
        <f>IF(LEN(C76) - LEN(SUBSTITUTE(C76," ",""))&lt;3,C76,RIGHT(C76,LEN(C76)-FIND(" ",клиенты!$C76,1)))</f>
        <v>Эммануил Ааронович Кошелев</v>
      </c>
      <c r="K76" s="44" t="str">
        <f t="shared" si="3"/>
        <v>Эммануил Ааронович Кошелев</v>
      </c>
      <c r="L76" s="44" t="str">
        <f>LEFT(клиенты!$K76,FIND(" ",клиенты!$K76,1)-1)</f>
        <v>Эммануил</v>
      </c>
      <c r="M76" s="44" t="str">
        <f>MID(K76,FIND(" ",клиенты!$K76,1)+1,(FIND(" ",клиенты!$K76,FIND(" ",клиенты!$K76,1)+1)-1)-FIND(" ",клиенты!$K76,1))</f>
        <v>Ааронович</v>
      </c>
      <c r="N76" s="44" t="str">
        <f>RIGHT(K76,LEN(K76)-FIND(" ",клиенты!$K76,FIND(" ",клиенты!$K76,1)+1))</f>
        <v>Кошелев</v>
      </c>
    </row>
    <row r="77" spans="1:14" x14ac:dyDescent="0.25">
      <c r="A77" s="40">
        <v>487</v>
      </c>
      <c r="B77" s="41" t="s">
        <v>859</v>
      </c>
      <c r="C77" s="41" t="s">
        <v>858</v>
      </c>
      <c r="D77" s="41" t="s">
        <v>143</v>
      </c>
      <c r="E77" s="42">
        <v>44815</v>
      </c>
      <c r="F77" s="41" t="str">
        <f>LEFT(клиенты!$B77,LEN(клиенты!$B77)-13)</f>
        <v>+7</v>
      </c>
      <c r="G77" s="41" t="str">
        <f>_xlfn.XLOOKUP(клиенты!$F77,'коды стран'!$B$2:$B$7,'коды стран'!$A$2:$A$7,"не найдено",0)</f>
        <v>Россия</v>
      </c>
      <c r="H77" s="42">
        <f>_xlfn.MAXIFS(Продажи[дата создания чека],Продажи[id клиента],A77)</f>
        <v>45103</v>
      </c>
      <c r="I77" s="59">
        <f t="shared" si="2"/>
        <v>9.462012320328542</v>
      </c>
      <c r="J77" s="41" t="str">
        <f>IF(LEN(C77) - LEN(SUBSTITUTE(C77," ",""))&lt;3,C77,RIGHT(C77,LEN(C77)-FIND(" ",клиенты!$C77,1)))</f>
        <v>Сидор Вячеславович Зиновьев</v>
      </c>
      <c r="K77" s="41" t="str">
        <f t="shared" si="3"/>
        <v>Сидор Вячеславович Зиновьев</v>
      </c>
      <c r="L77" s="41" t="str">
        <f>LEFT(клиенты!$K77,FIND(" ",клиенты!$K77,1)-1)</f>
        <v>Сидор</v>
      </c>
      <c r="M77" s="41" t="str">
        <f>MID(K77,FIND(" ",клиенты!$K77,1)+1,(FIND(" ",клиенты!$K77,FIND(" ",клиенты!$K77,1)+1)-1)-FIND(" ",клиенты!$K77,1))</f>
        <v>Вячеславович</v>
      </c>
      <c r="N77" s="41" t="str">
        <f>RIGHT(K77,LEN(K77)-FIND(" ",клиенты!$K77,FIND(" ",клиенты!$K77,1)+1))</f>
        <v>Зиновьев</v>
      </c>
    </row>
    <row r="78" spans="1:14" x14ac:dyDescent="0.25">
      <c r="A78" s="43">
        <v>134</v>
      </c>
      <c r="B78" s="44" t="s">
        <v>857</v>
      </c>
      <c r="C78" s="44" t="s">
        <v>856</v>
      </c>
      <c r="D78" s="44" t="s">
        <v>143</v>
      </c>
      <c r="E78" s="45">
        <v>44753</v>
      </c>
      <c r="F78" s="44" t="str">
        <f>LEFT(клиенты!$B78,LEN(клиенты!$B78)-13)</f>
        <v>+7</v>
      </c>
      <c r="G78" s="44" t="str">
        <f>_xlfn.XLOOKUP(клиенты!$F78,'коды стран'!$B$2:$B$7,'коды стран'!$A$2:$A$7,"не найдено",0)</f>
        <v>Россия</v>
      </c>
      <c r="H78" s="45">
        <f>_xlfn.MAXIFS(Продажи[дата создания чека],Продажи[id клиента],A78)</f>
        <v>45372</v>
      </c>
      <c r="I78" s="60">
        <f t="shared" si="2"/>
        <v>20.336755646817249</v>
      </c>
      <c r="J78" s="44" t="str">
        <f>IF(LEN(C78) - LEN(SUBSTITUTE(C78," ",""))&lt;3,C78,RIGHT(C78,LEN(C78)-FIND(" ",клиенты!$C78,1)))</f>
        <v>Регина Кирилловна Нестерова</v>
      </c>
      <c r="K78" s="44" t="str">
        <f t="shared" si="3"/>
        <v>Регина Кирилловна Нестерова</v>
      </c>
      <c r="L78" s="44" t="str">
        <f>LEFT(клиенты!$K78,FIND(" ",клиенты!$K78,1)-1)</f>
        <v>Регина</v>
      </c>
      <c r="M78" s="44" t="str">
        <f>MID(K78,FIND(" ",клиенты!$K78,1)+1,(FIND(" ",клиенты!$K78,FIND(" ",клиенты!$K78,1)+1)-1)-FIND(" ",клиенты!$K78,1))</f>
        <v>Кирилловна</v>
      </c>
      <c r="N78" s="44" t="str">
        <f>RIGHT(K78,LEN(K78)-FIND(" ",клиенты!$K78,FIND(" ",клиенты!$K78,1)+1))</f>
        <v>Нестерова</v>
      </c>
    </row>
    <row r="79" spans="1:14" x14ac:dyDescent="0.25">
      <c r="A79" s="40">
        <v>11</v>
      </c>
      <c r="B79" s="41" t="s">
        <v>855</v>
      </c>
      <c r="C79" s="41" t="s">
        <v>854</v>
      </c>
      <c r="D79" s="41" t="s">
        <v>140</v>
      </c>
      <c r="E79" s="42">
        <v>44690</v>
      </c>
      <c r="F79" s="41" t="str">
        <f>LEFT(клиенты!$B79,LEN(клиенты!$B79)-13)</f>
        <v>+992</v>
      </c>
      <c r="G79" s="41" t="str">
        <f>_xlfn.XLOOKUP(клиенты!$F79,'коды стран'!$B$2:$B$7,'коды стран'!$A$2:$A$7,"не найдено",0)</f>
        <v>Таджикистан</v>
      </c>
      <c r="H79" s="42">
        <f>_xlfn.MAXIFS(Продажи[дата создания чека],Продажи[id клиента],A79)</f>
        <v>45361</v>
      </c>
      <c r="I79" s="59">
        <f t="shared" si="2"/>
        <v>22.04517453798768</v>
      </c>
      <c r="J79" s="41" t="str">
        <f>IF(LEN(C79) - LEN(SUBSTITUTE(C79," ",""))&lt;3,C79,RIGHT(C79,LEN(C79)-FIND(" ",клиенты!$C79,1)))</f>
        <v>Силин Антип Ильясович</v>
      </c>
      <c r="K79" s="41" t="str">
        <f t="shared" si="3"/>
        <v>Антип Ильясович Силин</v>
      </c>
      <c r="L79" s="41" t="str">
        <f>LEFT(клиенты!$K79,FIND(" ",клиенты!$K79,1)-1)</f>
        <v>Антип</v>
      </c>
      <c r="M79" s="41" t="str">
        <f>MID(K79,FIND(" ",клиенты!$K79,1)+1,(FIND(" ",клиенты!$K79,FIND(" ",клиенты!$K79,1)+1)-1)-FIND(" ",клиенты!$K79,1))</f>
        <v>Ильясович</v>
      </c>
      <c r="N79" s="41" t="str">
        <f>RIGHT(K79,LEN(K79)-FIND(" ",клиенты!$K79,FIND(" ",клиенты!$K79,1)+1))</f>
        <v>Силин</v>
      </c>
    </row>
    <row r="80" spans="1:14" x14ac:dyDescent="0.25">
      <c r="A80" s="43">
        <v>458</v>
      </c>
      <c r="B80" s="44" t="s">
        <v>853</v>
      </c>
      <c r="C80" s="44" t="s">
        <v>852</v>
      </c>
      <c r="D80" s="44" t="s">
        <v>143</v>
      </c>
      <c r="E80" s="45">
        <v>44694</v>
      </c>
      <c r="F80" s="44" t="str">
        <f>LEFT(клиенты!$B80,LEN(клиенты!$B80)-13)</f>
        <v>+7</v>
      </c>
      <c r="G80" s="44" t="str">
        <f>_xlfn.XLOOKUP(клиенты!$F80,'коды стран'!$B$2:$B$7,'коды стран'!$A$2:$A$7,"не найдено",0)</f>
        <v>Россия</v>
      </c>
      <c r="H80" s="45">
        <f>_xlfn.MAXIFS(Продажи[дата создания чека],Продажи[id клиента],A80)</f>
        <v>45272</v>
      </c>
      <c r="I80" s="60">
        <f t="shared" si="2"/>
        <v>18.989733059548254</v>
      </c>
      <c r="J80" s="44" t="str">
        <f>IF(LEN(C80) - LEN(SUBSTITUTE(C80," ",""))&lt;3,C80,RIGHT(C80,LEN(C80)-FIND(" ",клиенты!$C80,1)))</f>
        <v>Зоя Егоровна Третьякова</v>
      </c>
      <c r="K80" s="44" t="str">
        <f t="shared" si="3"/>
        <v>Зоя Егоровна Третьякова</v>
      </c>
      <c r="L80" s="44" t="str">
        <f>LEFT(клиенты!$K80,FIND(" ",клиенты!$K80,1)-1)</f>
        <v>Зоя</v>
      </c>
      <c r="M80" s="44" t="str">
        <f>MID(K80,FIND(" ",клиенты!$K80,1)+1,(FIND(" ",клиенты!$K80,FIND(" ",клиенты!$K80,1)+1)-1)-FIND(" ",клиенты!$K80,1))</f>
        <v>Егоровна</v>
      </c>
      <c r="N80" s="44" t="str">
        <f>RIGHT(K80,LEN(K80)-FIND(" ",клиенты!$K80,FIND(" ",клиенты!$K80,1)+1))</f>
        <v>Третьякова</v>
      </c>
    </row>
    <row r="81" spans="1:14" x14ac:dyDescent="0.25">
      <c r="A81" s="40">
        <v>130</v>
      </c>
      <c r="B81" s="41" t="s">
        <v>851</v>
      </c>
      <c r="C81" s="41" t="s">
        <v>850</v>
      </c>
      <c r="D81" s="41" t="s">
        <v>140</v>
      </c>
      <c r="E81" s="42">
        <v>44863</v>
      </c>
      <c r="F81" s="41" t="str">
        <f>LEFT(клиенты!$B81,LEN(клиенты!$B81)-13)</f>
        <v>+992</v>
      </c>
      <c r="G81" s="41" t="str">
        <f>_xlfn.XLOOKUP(клиенты!$F81,'коды стран'!$B$2:$B$7,'коды стран'!$A$2:$A$7,"не найдено",0)</f>
        <v>Таджикистан</v>
      </c>
      <c r="H81" s="42">
        <f>_xlfn.MAXIFS(Продажи[дата создания чека],Продажи[id клиента],A81)</f>
        <v>45192</v>
      </c>
      <c r="I81" s="59">
        <f t="shared" si="2"/>
        <v>10.809034907597535</v>
      </c>
      <c r="J81" s="41" t="str">
        <f>IF(LEN(C81) - LEN(SUBSTITUTE(C81," ",""))&lt;3,C81,RIGHT(C81,LEN(C81)-FIND(" ",клиенты!$C81,1)))</f>
        <v>Виктор Жанович Никифоров</v>
      </c>
      <c r="K81" s="41" t="str">
        <f t="shared" si="3"/>
        <v>Виктор Жанович Никифоров</v>
      </c>
      <c r="L81" s="41" t="str">
        <f>LEFT(клиенты!$K81,FIND(" ",клиенты!$K81,1)-1)</f>
        <v>Виктор</v>
      </c>
      <c r="M81" s="41" t="str">
        <f>MID(K81,FIND(" ",клиенты!$K81,1)+1,(FIND(" ",клиенты!$K81,FIND(" ",клиенты!$K81,1)+1)-1)-FIND(" ",клиенты!$K81,1))</f>
        <v>Жанович</v>
      </c>
      <c r="N81" s="41" t="str">
        <f>RIGHT(K81,LEN(K81)-FIND(" ",клиенты!$K81,FIND(" ",клиенты!$K81,1)+1))</f>
        <v>Никифоров</v>
      </c>
    </row>
    <row r="82" spans="1:14" x14ac:dyDescent="0.25">
      <c r="A82" s="43">
        <v>330</v>
      </c>
      <c r="B82" s="44" t="s">
        <v>849</v>
      </c>
      <c r="C82" s="44" t="s">
        <v>848</v>
      </c>
      <c r="D82" s="44" t="s">
        <v>140</v>
      </c>
      <c r="E82" s="45">
        <v>44815</v>
      </c>
      <c r="F82" s="44" t="str">
        <f>LEFT(клиенты!$B82,LEN(клиенты!$B82)-13)</f>
        <v>+998</v>
      </c>
      <c r="G82" s="44" t="str">
        <f>_xlfn.XLOOKUP(клиенты!$F82,'коды стран'!$B$2:$B$7,'коды стран'!$A$2:$A$7,"не найдено",0)</f>
        <v>Узбекистан</v>
      </c>
      <c r="H82" s="45">
        <f>_xlfn.MAXIFS(Продажи[дата создания чека],Продажи[id клиента],A82)</f>
        <v>45398</v>
      </c>
      <c r="I82" s="60">
        <f t="shared" si="2"/>
        <v>19.154004106776181</v>
      </c>
      <c r="J82" s="44" t="str">
        <f>IF(LEN(C82) - LEN(SUBSTITUTE(C82," ",""))&lt;3,C82,RIGHT(C82,LEN(C82)-FIND(" ",клиенты!$C82,1)))</f>
        <v>Ратибор Андреевич Маслов</v>
      </c>
      <c r="K82" s="44" t="str">
        <f t="shared" si="3"/>
        <v>Ратибор Андреевич Маслов</v>
      </c>
      <c r="L82" s="44" t="str">
        <f>LEFT(клиенты!$K82,FIND(" ",клиенты!$K82,1)-1)</f>
        <v>Ратибор</v>
      </c>
      <c r="M82" s="44" t="str">
        <f>MID(K82,FIND(" ",клиенты!$K82,1)+1,(FIND(" ",клиенты!$K82,FIND(" ",клиенты!$K82,1)+1)-1)-FIND(" ",клиенты!$K82,1))</f>
        <v>Андреевич</v>
      </c>
      <c r="N82" s="44" t="str">
        <f>RIGHT(K82,LEN(K82)-FIND(" ",клиенты!$K82,FIND(" ",клиенты!$K82,1)+1))</f>
        <v>Маслов</v>
      </c>
    </row>
    <row r="83" spans="1:14" x14ac:dyDescent="0.25">
      <c r="A83" s="40">
        <v>167</v>
      </c>
      <c r="B83" s="41" t="s">
        <v>847</v>
      </c>
      <c r="C83" s="41" t="s">
        <v>846</v>
      </c>
      <c r="D83" s="41" t="s">
        <v>143</v>
      </c>
      <c r="E83" s="42">
        <v>44563</v>
      </c>
      <c r="F83" s="41" t="str">
        <f>LEFT(клиенты!$B83,LEN(клиенты!$B83)-13)</f>
        <v>+998</v>
      </c>
      <c r="G83" s="41" t="str">
        <f>_xlfn.XLOOKUP(клиенты!$F83,'коды стран'!$B$2:$B$7,'коды стран'!$A$2:$A$7,"не найдено",0)</f>
        <v>Узбекистан</v>
      </c>
      <c r="H83" s="42">
        <f>_xlfn.MAXIFS(Продажи[дата создания чека],Продажи[id клиента],A83)</f>
        <v>45358</v>
      </c>
      <c r="I83" s="59">
        <f t="shared" si="2"/>
        <v>26.119096509240247</v>
      </c>
      <c r="J83" s="41" t="str">
        <f>IF(LEN(C83) - LEN(SUBSTITUTE(C83," ",""))&lt;3,C83,RIGHT(C83,LEN(C83)-FIND(" ",клиенты!$C83,1)))</f>
        <v>Жуков Никифор Фомич</v>
      </c>
      <c r="K83" s="41" t="str">
        <f t="shared" si="3"/>
        <v>Никифор Фомич Жуков</v>
      </c>
      <c r="L83" s="41" t="str">
        <f>LEFT(клиенты!$K83,FIND(" ",клиенты!$K83,1)-1)</f>
        <v>Никифор</v>
      </c>
      <c r="M83" s="41" t="str">
        <f>MID(K83,FIND(" ",клиенты!$K83,1)+1,(FIND(" ",клиенты!$K83,FIND(" ",клиенты!$K83,1)+1)-1)-FIND(" ",клиенты!$K83,1))</f>
        <v>Фомич</v>
      </c>
      <c r="N83" s="41" t="str">
        <f>RIGHT(K83,LEN(K83)-FIND(" ",клиенты!$K83,FIND(" ",клиенты!$K83,1)+1))</f>
        <v>Жуков</v>
      </c>
    </row>
    <row r="84" spans="1:14" x14ac:dyDescent="0.25">
      <c r="A84" s="43">
        <v>140</v>
      </c>
      <c r="B84" s="44" t="s">
        <v>845</v>
      </c>
      <c r="C84" s="44" t="s">
        <v>844</v>
      </c>
      <c r="D84" s="44" t="s">
        <v>143</v>
      </c>
      <c r="E84" s="45">
        <v>44627</v>
      </c>
      <c r="F84" s="44" t="str">
        <f>LEFT(клиенты!$B84,LEN(клиенты!$B84)-13)</f>
        <v>+7</v>
      </c>
      <c r="G84" s="44" t="str">
        <f>_xlfn.XLOOKUP(клиенты!$F84,'коды стран'!$B$2:$B$7,'коды стран'!$A$2:$A$7,"не найдено",0)</f>
        <v>Россия</v>
      </c>
      <c r="H84" s="45">
        <f>_xlfn.MAXIFS(Продажи[дата создания чека],Продажи[id клиента],A84)</f>
        <v>45362</v>
      </c>
      <c r="I84" s="60">
        <f t="shared" si="2"/>
        <v>24.147843942505133</v>
      </c>
      <c r="J84" s="44" t="str">
        <f>IF(LEN(C84) - LEN(SUBSTITUTE(C84," ",""))&lt;3,C84,RIGHT(C84,LEN(C84)-FIND(" ",клиенты!$C84,1)))</f>
        <v>Татьяна Михайловна Новикова</v>
      </c>
      <c r="K84" s="44" t="str">
        <f t="shared" si="3"/>
        <v>Татьяна Михайловна Новикова</v>
      </c>
      <c r="L84" s="44" t="str">
        <f>LEFT(клиенты!$K84,FIND(" ",клиенты!$K84,1)-1)</f>
        <v>Татьяна</v>
      </c>
      <c r="M84" s="44" t="str">
        <f>MID(K84,FIND(" ",клиенты!$K84,1)+1,(FIND(" ",клиенты!$K84,FIND(" ",клиенты!$K84,1)+1)-1)-FIND(" ",клиенты!$K84,1))</f>
        <v>Михайловна</v>
      </c>
      <c r="N84" s="44" t="str">
        <f>RIGHT(K84,LEN(K84)-FIND(" ",клиенты!$K84,FIND(" ",клиенты!$K84,1)+1))</f>
        <v>Новикова</v>
      </c>
    </row>
    <row r="85" spans="1:14" x14ac:dyDescent="0.25">
      <c r="A85" s="40">
        <v>423</v>
      </c>
      <c r="B85" s="41" t="s">
        <v>843</v>
      </c>
      <c r="C85" s="41" t="s">
        <v>842</v>
      </c>
      <c r="D85" s="41" t="s">
        <v>140</v>
      </c>
      <c r="E85" s="42">
        <v>44841</v>
      </c>
      <c r="F85" s="41" t="str">
        <f>LEFT(клиенты!$B85,LEN(клиенты!$B85)-13)</f>
        <v>+375</v>
      </c>
      <c r="G85" s="41" t="str">
        <f>_xlfn.XLOOKUP(клиенты!$F85,'коды стран'!$B$2:$B$7,'коды стран'!$A$2:$A$7,"не найдено",0)</f>
        <v>Беларусь</v>
      </c>
      <c r="H85" s="42">
        <f>_xlfn.MAXIFS(Продажи[дата создания чека],Продажи[id клиента],A85)</f>
        <v>45226</v>
      </c>
      <c r="I85" s="59">
        <f t="shared" si="2"/>
        <v>12.648870636550308</v>
      </c>
      <c r="J85" s="41" t="str">
        <f>IF(LEN(C85) - LEN(SUBSTITUTE(C85," ",""))&lt;3,C85,RIGHT(C85,LEN(C85)-FIND(" ",клиенты!$C85,1)))</f>
        <v>Виктор Марсович Игнатов</v>
      </c>
      <c r="K85" s="41" t="str">
        <f t="shared" si="3"/>
        <v>Виктор Марсович Игнатов</v>
      </c>
      <c r="L85" s="41" t="str">
        <f>LEFT(клиенты!$K85,FIND(" ",клиенты!$K85,1)-1)</f>
        <v>Виктор</v>
      </c>
      <c r="M85" s="41" t="str">
        <f>MID(K85,FIND(" ",клиенты!$K85,1)+1,(FIND(" ",клиенты!$K85,FIND(" ",клиенты!$K85,1)+1)-1)-FIND(" ",клиенты!$K85,1))</f>
        <v>Марсович</v>
      </c>
      <c r="N85" s="41" t="str">
        <f>RIGHT(K85,LEN(K85)-FIND(" ",клиенты!$K85,FIND(" ",клиенты!$K85,1)+1))</f>
        <v>Игнатов</v>
      </c>
    </row>
    <row r="86" spans="1:14" x14ac:dyDescent="0.25">
      <c r="A86" s="43">
        <v>365</v>
      </c>
      <c r="B86" s="44" t="s">
        <v>841</v>
      </c>
      <c r="C86" s="44" t="s">
        <v>840</v>
      </c>
      <c r="D86" s="44" t="s">
        <v>140</v>
      </c>
      <c r="E86" s="45">
        <v>44841</v>
      </c>
      <c r="F86" s="44" t="str">
        <f>LEFT(клиенты!$B86,LEN(клиенты!$B86)-13)</f>
        <v>+375</v>
      </c>
      <c r="G86" s="44" t="str">
        <f>_xlfn.XLOOKUP(клиенты!$F86,'коды стран'!$B$2:$B$7,'коды стран'!$A$2:$A$7,"не найдено",0)</f>
        <v>Беларусь</v>
      </c>
      <c r="H86" s="45">
        <f>_xlfn.MAXIFS(Продажи[дата создания чека],Продажи[id клиента],A86)</f>
        <v>45388</v>
      </c>
      <c r="I86" s="60">
        <f t="shared" si="2"/>
        <v>17.971252566735114</v>
      </c>
      <c r="J86" s="44" t="str">
        <f>IF(LEN(C86) - LEN(SUBSTITUTE(C86," ",""))&lt;3,C86,RIGHT(C86,LEN(C86)-FIND(" ",клиенты!$C86,1)))</f>
        <v>Абрамова Елизавета Эдуардовна</v>
      </c>
      <c r="K86" s="44" t="str">
        <f t="shared" si="3"/>
        <v>Елизавета Эдуардовна Абрамова</v>
      </c>
      <c r="L86" s="44" t="str">
        <f>LEFT(клиенты!$K86,FIND(" ",клиенты!$K86,1)-1)</f>
        <v>Елизавета</v>
      </c>
      <c r="M86" s="44" t="str">
        <f>MID(K86,FIND(" ",клиенты!$K86,1)+1,(FIND(" ",клиенты!$K86,FIND(" ",клиенты!$K86,1)+1)-1)-FIND(" ",клиенты!$K86,1))</f>
        <v>Эдуардовна</v>
      </c>
      <c r="N86" s="44" t="str">
        <f>RIGHT(K86,LEN(K86)-FIND(" ",клиенты!$K86,FIND(" ",клиенты!$K86,1)+1))</f>
        <v>Абрамова</v>
      </c>
    </row>
    <row r="87" spans="1:14" x14ac:dyDescent="0.25">
      <c r="A87" s="40">
        <v>452</v>
      </c>
      <c r="B87" s="41" t="s">
        <v>839</v>
      </c>
      <c r="C87" s="41" t="s">
        <v>838</v>
      </c>
      <c r="D87" s="41" t="s">
        <v>143</v>
      </c>
      <c r="E87" s="42">
        <v>44769</v>
      </c>
      <c r="F87" s="41" t="str">
        <f>LEFT(клиенты!$B87,LEN(клиенты!$B87)-13)</f>
        <v>+7</v>
      </c>
      <c r="G87" s="41" t="str">
        <f>_xlfn.XLOOKUP(клиенты!$F87,'коды стран'!$B$2:$B$7,'коды стран'!$A$2:$A$7,"не найдено",0)</f>
        <v>Россия</v>
      </c>
      <c r="H87" s="42">
        <f>_xlfn.MAXIFS(Продажи[дата создания чека],Продажи[id клиента],A87)</f>
        <v>45424</v>
      </c>
      <c r="I87" s="59">
        <f t="shared" si="2"/>
        <v>21.519507186858316</v>
      </c>
      <c r="J87" s="41" t="str">
        <f>IF(LEN(C87) - LEN(SUBSTITUTE(C87," ",""))&lt;3,C87,RIGHT(C87,LEN(C87)-FIND(" ",клиенты!$C87,1)))</f>
        <v>Чеслав Бориславович Мамонтов</v>
      </c>
      <c r="K87" s="41" t="str">
        <f t="shared" si="3"/>
        <v>Чеслав Бориславович Мамонтов</v>
      </c>
      <c r="L87" s="41" t="str">
        <f>LEFT(клиенты!$K87,FIND(" ",клиенты!$K87,1)-1)</f>
        <v>Чеслав</v>
      </c>
      <c r="M87" s="41" t="str">
        <f>MID(K87,FIND(" ",клиенты!$K87,1)+1,(FIND(" ",клиенты!$K87,FIND(" ",клиенты!$K87,1)+1)-1)-FIND(" ",клиенты!$K87,1))</f>
        <v>Бориславович</v>
      </c>
      <c r="N87" s="41" t="str">
        <f>RIGHT(K87,LEN(K87)-FIND(" ",клиенты!$K87,FIND(" ",клиенты!$K87,1)+1))</f>
        <v>Мамонтов</v>
      </c>
    </row>
    <row r="88" spans="1:14" x14ac:dyDescent="0.25">
      <c r="A88" s="43">
        <v>424</v>
      </c>
      <c r="B88" s="44" t="s">
        <v>837</v>
      </c>
      <c r="C88" s="44" t="s">
        <v>836</v>
      </c>
      <c r="D88" s="44" t="s">
        <v>143</v>
      </c>
      <c r="E88" s="45">
        <v>44585</v>
      </c>
      <c r="F88" s="44" t="str">
        <f>LEFT(клиенты!$B88,LEN(клиенты!$B88)-13)</f>
        <v>+7</v>
      </c>
      <c r="G88" s="44" t="str">
        <f>_xlfn.XLOOKUP(клиенты!$F88,'коды стран'!$B$2:$B$7,'коды стран'!$A$2:$A$7,"не найдено",0)</f>
        <v>Россия</v>
      </c>
      <c r="H88" s="45">
        <f>_xlfn.MAXIFS(Продажи[дата создания чека],Продажи[id клиента],A88)</f>
        <v>45213</v>
      </c>
      <c r="I88" s="60">
        <f t="shared" si="2"/>
        <v>20.632443531827516</v>
      </c>
      <c r="J88" s="44" t="str">
        <f>IF(LEN(C88) - LEN(SUBSTITUTE(C88," ",""))&lt;3,C88,RIGHT(C88,LEN(C88)-FIND(" ",клиенты!$C88,1)))</f>
        <v>Ефремов Епифан Ильич</v>
      </c>
      <c r="K88" s="44" t="str">
        <f t="shared" si="3"/>
        <v>Епифан Ильич Ефремов</v>
      </c>
      <c r="L88" s="44" t="str">
        <f>LEFT(клиенты!$K88,FIND(" ",клиенты!$K88,1)-1)</f>
        <v>Епифан</v>
      </c>
      <c r="M88" s="44" t="str">
        <f>MID(K88,FIND(" ",клиенты!$K88,1)+1,(FIND(" ",клиенты!$K88,FIND(" ",клиенты!$K88,1)+1)-1)-FIND(" ",клиенты!$K88,1))</f>
        <v>Ильич</v>
      </c>
      <c r="N88" s="44" t="str">
        <f>RIGHT(K88,LEN(K88)-FIND(" ",клиенты!$K88,FIND(" ",клиенты!$K88,1)+1))</f>
        <v>Ефремов</v>
      </c>
    </row>
    <row r="89" spans="1:14" x14ac:dyDescent="0.25">
      <c r="A89" s="40">
        <v>75</v>
      </c>
      <c r="B89" s="41" t="s">
        <v>835</v>
      </c>
      <c r="C89" s="41" t="s">
        <v>834</v>
      </c>
      <c r="D89" s="41" t="s">
        <v>140</v>
      </c>
      <c r="E89" s="42">
        <v>44796</v>
      </c>
      <c r="F89" s="41" t="str">
        <f>LEFT(клиенты!$B89,LEN(клиенты!$B89)-13)</f>
        <v>+380</v>
      </c>
      <c r="G89" s="41" t="str">
        <f>_xlfn.XLOOKUP(клиенты!$F89,'коды стран'!$B$2:$B$7,'коды стран'!$A$2:$A$7,"не найдено",0)</f>
        <v>Украина</v>
      </c>
      <c r="H89" s="42">
        <f>_xlfn.MAXIFS(Продажи[дата создания чека],Продажи[id клиента],A89)</f>
        <v>45297</v>
      </c>
      <c r="I89" s="59">
        <f t="shared" si="2"/>
        <v>16.459958932238195</v>
      </c>
      <c r="J89" s="41" t="str">
        <f>IF(LEN(C89) - LEN(SUBSTITUTE(C89," ",""))&lt;3,C89,RIGHT(C89,LEN(C89)-FIND(" ",клиенты!$C89,1)))</f>
        <v>Леонид Арсенович Давыдов</v>
      </c>
      <c r="K89" s="41" t="str">
        <f t="shared" si="3"/>
        <v>Леонид Арсенович Давыдов</v>
      </c>
      <c r="L89" s="41" t="str">
        <f>LEFT(клиенты!$K89,FIND(" ",клиенты!$K89,1)-1)</f>
        <v>Леонид</v>
      </c>
      <c r="M89" s="41" t="str">
        <f>MID(K89,FIND(" ",клиенты!$K89,1)+1,(FIND(" ",клиенты!$K89,FIND(" ",клиенты!$K89,1)+1)-1)-FIND(" ",клиенты!$K89,1))</f>
        <v>Арсенович</v>
      </c>
      <c r="N89" s="41" t="str">
        <f>RIGHT(K89,LEN(K89)-FIND(" ",клиенты!$K89,FIND(" ",клиенты!$K89,1)+1))</f>
        <v>Давыдов</v>
      </c>
    </row>
    <row r="90" spans="1:14" x14ac:dyDescent="0.25">
      <c r="A90" s="43">
        <v>71</v>
      </c>
      <c r="B90" s="44" t="s">
        <v>833</v>
      </c>
      <c r="C90" s="44" t="s">
        <v>832</v>
      </c>
      <c r="D90" s="44" t="s">
        <v>143</v>
      </c>
      <c r="E90" s="45">
        <v>44762</v>
      </c>
      <c r="F90" s="44" t="str">
        <f>LEFT(клиенты!$B90,LEN(клиенты!$B90)-13)</f>
        <v>+380</v>
      </c>
      <c r="G90" s="44" t="str">
        <f>_xlfn.XLOOKUP(клиенты!$F90,'коды стран'!$B$2:$B$7,'коды стран'!$A$2:$A$7,"не найдено",0)</f>
        <v>Украина</v>
      </c>
      <c r="H90" s="45">
        <f>_xlfn.MAXIFS(Продажи[дата создания чека],Продажи[id клиента],A90)</f>
        <v>45433</v>
      </c>
      <c r="I90" s="60">
        <f t="shared" si="2"/>
        <v>22.04517453798768</v>
      </c>
      <c r="J90" s="44" t="str">
        <f>IF(LEN(C90) - LEN(SUBSTITUTE(C90," ",""))&lt;3,C90,RIGHT(C90,LEN(C90)-FIND(" ",клиенты!$C90,1)))</f>
        <v>Медведева Алина Алексеевна</v>
      </c>
      <c r="K90" s="44" t="str">
        <f t="shared" si="3"/>
        <v>Алина Алексеевна Медведева</v>
      </c>
      <c r="L90" s="44" t="str">
        <f>LEFT(клиенты!$K90,FIND(" ",клиенты!$K90,1)-1)</f>
        <v>Алина</v>
      </c>
      <c r="M90" s="44" t="str">
        <f>MID(K90,FIND(" ",клиенты!$K90,1)+1,(FIND(" ",клиенты!$K90,FIND(" ",клиенты!$K90,1)+1)-1)-FIND(" ",клиенты!$K90,1))</f>
        <v>Алексеевна</v>
      </c>
      <c r="N90" s="44" t="str">
        <f>RIGHT(K90,LEN(K90)-FIND(" ",клиенты!$K90,FIND(" ",клиенты!$K90,1)+1))</f>
        <v>Медведева</v>
      </c>
    </row>
    <row r="91" spans="1:14" x14ac:dyDescent="0.25">
      <c r="A91" s="40">
        <v>313</v>
      </c>
      <c r="B91" s="41" t="s">
        <v>831</v>
      </c>
      <c r="C91" s="41" t="s">
        <v>830</v>
      </c>
      <c r="D91" s="41" t="s">
        <v>143</v>
      </c>
      <c r="E91" s="42">
        <v>44896</v>
      </c>
      <c r="F91" s="41" t="str">
        <f>LEFT(клиенты!$B91,LEN(клиенты!$B91)-13)</f>
        <v>+998</v>
      </c>
      <c r="G91" s="41" t="str">
        <f>_xlfn.XLOOKUP(клиенты!$F91,'коды стран'!$B$2:$B$7,'коды стран'!$A$2:$A$7,"не найдено",0)</f>
        <v>Узбекистан</v>
      </c>
      <c r="H91" s="42">
        <f>_xlfn.MAXIFS(Продажи[дата создания чека],Продажи[id клиента],A91)</f>
        <v>45197</v>
      </c>
      <c r="I91" s="59">
        <f t="shared" si="2"/>
        <v>9.8891170431211499</v>
      </c>
      <c r="J91" s="41" t="str">
        <f>IF(LEN(C91) - LEN(SUBSTITUTE(C91," ",""))&lt;3,C91,RIGHT(C91,LEN(C91)-FIND(" ",клиенты!$C91,1)))</f>
        <v>Федотова Ангелина Максимовна</v>
      </c>
      <c r="K91" s="41" t="str">
        <f t="shared" si="3"/>
        <v>Ангелина Максимовна Федотова</v>
      </c>
      <c r="L91" s="41" t="str">
        <f>LEFT(клиенты!$K91,FIND(" ",клиенты!$K91,1)-1)</f>
        <v>Ангелина</v>
      </c>
      <c r="M91" s="41" t="str">
        <f>MID(K91,FIND(" ",клиенты!$K91,1)+1,(FIND(" ",клиенты!$K91,FIND(" ",клиенты!$K91,1)+1)-1)-FIND(" ",клиенты!$K91,1))</f>
        <v>Максимовна</v>
      </c>
      <c r="N91" s="41" t="str">
        <f>RIGHT(K91,LEN(K91)-FIND(" ",клиенты!$K91,FIND(" ",клиенты!$K91,1)+1))</f>
        <v>Федотова</v>
      </c>
    </row>
    <row r="92" spans="1:14" x14ac:dyDescent="0.25">
      <c r="A92" s="43">
        <v>301</v>
      </c>
      <c r="B92" s="44" t="s">
        <v>829</v>
      </c>
      <c r="C92" s="44" t="s">
        <v>828</v>
      </c>
      <c r="D92" s="44" t="s">
        <v>143</v>
      </c>
      <c r="E92" s="45">
        <v>44714</v>
      </c>
      <c r="F92" s="44" t="str">
        <f>LEFT(клиенты!$B92,LEN(клиенты!$B92)-13)</f>
        <v>+7</v>
      </c>
      <c r="G92" s="44" t="str">
        <f>_xlfn.XLOOKUP(клиенты!$F92,'коды стран'!$B$2:$B$7,'коды стран'!$A$2:$A$7,"не найдено",0)</f>
        <v>Россия</v>
      </c>
      <c r="H92" s="45">
        <f>_xlfn.MAXIFS(Продажи[дата создания чека],Продажи[id клиента],A92)</f>
        <v>45077</v>
      </c>
      <c r="I92" s="60">
        <f t="shared" si="2"/>
        <v>11.926078028747433</v>
      </c>
      <c r="J92" s="44" t="str">
        <f>IF(LEN(C92) - LEN(SUBSTITUTE(C92," ",""))&lt;3,C92,RIGHT(C92,LEN(C92)-FIND(" ",клиенты!$C92,1)))</f>
        <v>Николаева Зинаида Ивановна</v>
      </c>
      <c r="K92" s="44" t="str">
        <f t="shared" si="3"/>
        <v>Зинаида Ивановна Николаева</v>
      </c>
      <c r="L92" s="44" t="str">
        <f>LEFT(клиенты!$K92,FIND(" ",клиенты!$K92,1)-1)</f>
        <v>Зинаида</v>
      </c>
      <c r="M92" s="44" t="str">
        <f>MID(K92,FIND(" ",клиенты!$K92,1)+1,(FIND(" ",клиенты!$K92,FIND(" ",клиенты!$K92,1)+1)-1)-FIND(" ",клиенты!$K92,1))</f>
        <v>Ивановна</v>
      </c>
      <c r="N92" s="44" t="str">
        <f>RIGHT(K92,LEN(K92)-FIND(" ",клиенты!$K92,FIND(" ",клиенты!$K92,1)+1))</f>
        <v>Николаева</v>
      </c>
    </row>
    <row r="93" spans="1:14" x14ac:dyDescent="0.25">
      <c r="A93" s="40">
        <v>359</v>
      </c>
      <c r="B93" s="41" t="s">
        <v>827</v>
      </c>
      <c r="C93" s="41" t="s">
        <v>826</v>
      </c>
      <c r="D93" s="41" t="s">
        <v>140</v>
      </c>
      <c r="E93" s="42">
        <v>44584</v>
      </c>
      <c r="F93" s="41" t="str">
        <f>LEFT(клиенты!$B93,LEN(клиенты!$B93)-13)</f>
        <v>+7</v>
      </c>
      <c r="G93" s="41" t="str">
        <f>_xlfn.XLOOKUP(клиенты!$F93,'коды стран'!$B$2:$B$7,'коды стран'!$A$2:$A$7,"не найдено",0)</f>
        <v>Россия</v>
      </c>
      <c r="H93" s="42">
        <f>_xlfn.MAXIFS(Продажи[дата создания чека],Продажи[id клиента],A93)</f>
        <v>45336</v>
      </c>
      <c r="I93" s="59">
        <f t="shared" si="2"/>
        <v>24.706365503080082</v>
      </c>
      <c r="J93" s="41" t="str">
        <f>IF(LEN(C93) - LEN(SUBSTITUTE(C93," ",""))&lt;3,C93,RIGHT(C93,LEN(C93)-FIND(" ",клиенты!$C93,1)))</f>
        <v>Дорофеев Тимур Валерьянович</v>
      </c>
      <c r="K93" s="41" t="str">
        <f t="shared" si="3"/>
        <v>Тимур Валерьянович Дорофеев</v>
      </c>
      <c r="L93" s="41" t="str">
        <f>LEFT(клиенты!$K93,FIND(" ",клиенты!$K93,1)-1)</f>
        <v>Тимур</v>
      </c>
      <c r="M93" s="41" t="str">
        <f>MID(K93,FIND(" ",клиенты!$K93,1)+1,(FIND(" ",клиенты!$K93,FIND(" ",клиенты!$K93,1)+1)-1)-FIND(" ",клиенты!$K93,1))</f>
        <v>Валерьянович</v>
      </c>
      <c r="N93" s="41" t="str">
        <f>RIGHT(K93,LEN(K93)-FIND(" ",клиенты!$K93,FIND(" ",клиенты!$K93,1)+1))</f>
        <v>Дорофеев</v>
      </c>
    </row>
    <row r="94" spans="1:14" x14ac:dyDescent="0.25">
      <c r="A94" s="43">
        <v>474</v>
      </c>
      <c r="B94" s="44" t="s">
        <v>825</v>
      </c>
      <c r="C94" s="44" t="s">
        <v>824</v>
      </c>
      <c r="D94" s="44" t="s">
        <v>140</v>
      </c>
      <c r="E94" s="45">
        <v>44605</v>
      </c>
      <c r="F94" s="44" t="str">
        <f>LEFT(клиенты!$B94,LEN(клиенты!$B94)-13)</f>
        <v>+7</v>
      </c>
      <c r="G94" s="44" t="str">
        <f>_xlfn.XLOOKUP(клиенты!$F94,'коды стран'!$B$2:$B$7,'коды стран'!$A$2:$A$7,"не найдено",0)</f>
        <v>Россия</v>
      </c>
      <c r="H94" s="45">
        <f>_xlfn.MAXIFS(Продажи[дата создания чека],Продажи[id клиента],A94)</f>
        <v>45210</v>
      </c>
      <c r="I94" s="60">
        <f t="shared" si="2"/>
        <v>19.876796714579054</v>
      </c>
      <c r="J94" s="44" t="str">
        <f>IF(LEN(C94) - LEN(SUBSTITUTE(C94," ",""))&lt;3,C94,RIGHT(C94,LEN(C94)-FIND(" ",клиенты!$C94,1)))</f>
        <v>Александра Владиславовна Беляева</v>
      </c>
      <c r="K94" s="44" t="str">
        <f t="shared" si="3"/>
        <v>Александра Владиславовна Беляева</v>
      </c>
      <c r="L94" s="44" t="str">
        <f>LEFT(клиенты!$K94,FIND(" ",клиенты!$K94,1)-1)</f>
        <v>Александра</v>
      </c>
      <c r="M94" s="44" t="str">
        <f>MID(K94,FIND(" ",клиенты!$K94,1)+1,(FIND(" ",клиенты!$K94,FIND(" ",клиенты!$K94,1)+1)-1)-FIND(" ",клиенты!$K94,1))</f>
        <v>Владиславовна</v>
      </c>
      <c r="N94" s="44" t="str">
        <f>RIGHT(K94,LEN(K94)-FIND(" ",клиенты!$K94,FIND(" ",клиенты!$K94,1)+1))</f>
        <v>Беляева</v>
      </c>
    </row>
    <row r="95" spans="1:14" x14ac:dyDescent="0.25">
      <c r="A95" s="40">
        <v>111</v>
      </c>
      <c r="B95" s="41" t="s">
        <v>823</v>
      </c>
      <c r="C95" s="41" t="s">
        <v>822</v>
      </c>
      <c r="D95" s="41" t="s">
        <v>143</v>
      </c>
      <c r="E95" s="42">
        <v>44804</v>
      </c>
      <c r="F95" s="41" t="str">
        <f>LEFT(клиенты!$B95,LEN(клиенты!$B95)-13)</f>
        <v>+998</v>
      </c>
      <c r="G95" s="41" t="str">
        <f>_xlfn.XLOOKUP(клиенты!$F95,'коды стран'!$B$2:$B$7,'коды стран'!$A$2:$A$7,"не найдено",0)</f>
        <v>Узбекистан</v>
      </c>
      <c r="H95" s="42">
        <f>_xlfn.MAXIFS(Продажи[дата создания чека],Продажи[id клиента],A95)</f>
        <v>45366</v>
      </c>
      <c r="I95" s="59">
        <f t="shared" si="2"/>
        <v>18.464065708418889</v>
      </c>
      <c r="J95" s="41" t="str">
        <f>IF(LEN(C95) - LEN(SUBSTITUTE(C95," ",""))&lt;3,C95,RIGHT(C95,LEN(C95)-FIND(" ",клиенты!$C95,1)))</f>
        <v>Эмилия Олеговна Калинина</v>
      </c>
      <c r="K95" s="41" t="str">
        <f t="shared" si="3"/>
        <v>Эмилия Олеговна Калинина</v>
      </c>
      <c r="L95" s="41" t="str">
        <f>LEFT(клиенты!$K95,FIND(" ",клиенты!$K95,1)-1)</f>
        <v>Эмилия</v>
      </c>
      <c r="M95" s="41" t="str">
        <f>MID(K95,FIND(" ",клиенты!$K95,1)+1,(FIND(" ",клиенты!$K95,FIND(" ",клиенты!$K95,1)+1)-1)-FIND(" ",клиенты!$K95,1))</f>
        <v>Олеговна</v>
      </c>
      <c r="N95" s="41" t="str">
        <f>RIGHT(K95,LEN(K95)-FIND(" ",клиенты!$K95,FIND(" ",клиенты!$K95,1)+1))</f>
        <v>Калинина</v>
      </c>
    </row>
    <row r="96" spans="1:14" x14ac:dyDescent="0.25">
      <c r="A96" s="43">
        <v>126</v>
      </c>
      <c r="B96" s="44" t="s">
        <v>821</v>
      </c>
      <c r="C96" s="44" t="s">
        <v>820</v>
      </c>
      <c r="D96" s="44" t="s">
        <v>143</v>
      </c>
      <c r="E96" s="45">
        <v>44822</v>
      </c>
      <c r="F96" s="44" t="str">
        <f>LEFT(клиенты!$B96,LEN(клиенты!$B96)-13)</f>
        <v>+998</v>
      </c>
      <c r="G96" s="44" t="str">
        <f>_xlfn.XLOOKUP(клиенты!$F96,'коды стран'!$B$2:$B$7,'коды стран'!$A$2:$A$7,"не найдено",0)</f>
        <v>Узбекистан</v>
      </c>
      <c r="H96" s="45">
        <f>_xlfn.MAXIFS(Продажи[дата создания чека],Продажи[id клиента],A96)</f>
        <v>45316</v>
      </c>
      <c r="I96" s="60">
        <f t="shared" si="2"/>
        <v>16.229979466119097</v>
      </c>
      <c r="J96" s="44" t="str">
        <f>IF(LEN(C96) - LEN(SUBSTITUTE(C96," ",""))&lt;3,C96,RIGHT(C96,LEN(C96)-FIND(" ",клиенты!$C96,1)))</f>
        <v>Копылова Жанна Архиповна</v>
      </c>
      <c r="K96" s="44" t="str">
        <f t="shared" si="3"/>
        <v>Копылова Жанна Архиповна тов.</v>
      </c>
      <c r="L96" s="44" t="str">
        <f>LEFT(клиенты!$K96,FIND(" ",клиенты!$K96,1)-1)</f>
        <v>Копылова</v>
      </c>
      <c r="M96" s="44" t="str">
        <f>MID(K96,FIND(" ",клиенты!$K96,1)+1,(FIND(" ",клиенты!$K96,FIND(" ",клиенты!$K96,1)+1)-1)-FIND(" ",клиенты!$K96,1))</f>
        <v>Жанна</v>
      </c>
      <c r="N96" s="44" t="str">
        <f>RIGHT(K96,LEN(K96)-FIND(" ",клиенты!$K96,FIND(" ",клиенты!$K96,1)+1))</f>
        <v>Архиповна тов.</v>
      </c>
    </row>
    <row r="97" spans="1:14" x14ac:dyDescent="0.25">
      <c r="A97" s="40">
        <v>356</v>
      </c>
      <c r="B97" s="41" t="s">
        <v>819</v>
      </c>
      <c r="C97" s="41" t="s">
        <v>818</v>
      </c>
      <c r="D97" s="41" t="s">
        <v>140</v>
      </c>
      <c r="E97" s="42">
        <v>44570</v>
      </c>
      <c r="F97" s="41" t="str">
        <f>LEFT(клиенты!$B97,LEN(клиенты!$B97)-13)</f>
        <v>+992</v>
      </c>
      <c r="G97" s="41" t="str">
        <f>_xlfn.XLOOKUP(клиенты!$F97,'коды стран'!$B$2:$B$7,'коды стран'!$A$2:$A$7,"не найдено",0)</f>
        <v>Таджикистан</v>
      </c>
      <c r="H97" s="42">
        <f>_xlfn.MAXIFS(Продажи[дата создания чека],Продажи[id клиента],A97)</f>
        <v>45251</v>
      </c>
      <c r="I97" s="59">
        <f t="shared" si="2"/>
        <v>22.373716632443532</v>
      </c>
      <c r="J97" s="41" t="str">
        <f>IF(LEN(C97) - LEN(SUBSTITUTE(C97," ",""))&lt;3,C97,RIGHT(C97,LEN(C97)-FIND(" ",клиенты!$C97,1)))</f>
        <v>Князева Акулина Алексеевна</v>
      </c>
      <c r="K97" s="41" t="str">
        <f t="shared" si="3"/>
        <v>Акулина Алексеевна Князева</v>
      </c>
      <c r="L97" s="41" t="str">
        <f>LEFT(клиенты!$K97,FIND(" ",клиенты!$K97,1)-1)</f>
        <v>Акулина</v>
      </c>
      <c r="M97" s="41" t="str">
        <f>MID(K97,FIND(" ",клиенты!$K97,1)+1,(FIND(" ",клиенты!$K97,FIND(" ",клиенты!$K97,1)+1)-1)-FIND(" ",клиенты!$K97,1))</f>
        <v>Алексеевна</v>
      </c>
      <c r="N97" s="41" t="str">
        <f>RIGHT(K97,LEN(K97)-FIND(" ",клиенты!$K97,FIND(" ",клиенты!$K97,1)+1))</f>
        <v>Князева</v>
      </c>
    </row>
    <row r="98" spans="1:14" x14ac:dyDescent="0.25">
      <c r="A98" s="43">
        <v>166</v>
      </c>
      <c r="B98" s="44" t="s">
        <v>817</v>
      </c>
      <c r="C98" s="44" t="s">
        <v>816</v>
      </c>
      <c r="D98" s="44" t="s">
        <v>143</v>
      </c>
      <c r="E98" s="45">
        <v>44796</v>
      </c>
      <c r="F98" s="44" t="str">
        <f>LEFT(клиенты!$B98,LEN(клиенты!$B98)-13)</f>
        <v>+998</v>
      </c>
      <c r="G98" s="44" t="str">
        <f>_xlfn.XLOOKUP(клиенты!$F98,'коды стран'!$B$2:$B$7,'коды стран'!$A$2:$A$7,"не найдено",0)</f>
        <v>Узбекистан</v>
      </c>
      <c r="H98" s="45">
        <f>_xlfn.MAXIFS(Продажи[дата создания чека],Продажи[id клиента],A98)</f>
        <v>45259</v>
      </c>
      <c r="I98" s="60">
        <f t="shared" si="2"/>
        <v>15.211498973305956</v>
      </c>
      <c r="J98" s="44" t="str">
        <f>IF(LEN(C98) - LEN(SUBSTITUTE(C98," ",""))&lt;3,C98,RIGHT(C98,LEN(C98)-FIND(" ",клиенты!$C98,1)))</f>
        <v>Евдокимов Януарий Феликсович</v>
      </c>
      <c r="K98" s="44" t="str">
        <f t="shared" si="3"/>
        <v>Януарий Феликсович Евдокимов</v>
      </c>
      <c r="L98" s="44" t="str">
        <f>LEFT(клиенты!$K98,FIND(" ",клиенты!$K98,1)-1)</f>
        <v>Януарий</v>
      </c>
      <c r="M98" s="44" t="str">
        <f>MID(K98,FIND(" ",клиенты!$K98,1)+1,(FIND(" ",клиенты!$K98,FIND(" ",клиенты!$K98,1)+1)-1)-FIND(" ",клиенты!$K98,1))</f>
        <v>Феликсович</v>
      </c>
      <c r="N98" s="44" t="str">
        <f>RIGHT(K98,LEN(K98)-FIND(" ",клиенты!$K98,FIND(" ",клиенты!$K98,1)+1))</f>
        <v>Евдокимов</v>
      </c>
    </row>
    <row r="99" spans="1:14" x14ac:dyDescent="0.25">
      <c r="A99" s="40">
        <v>162</v>
      </c>
      <c r="B99" s="41" t="s">
        <v>815</v>
      </c>
      <c r="C99" s="41" t="s">
        <v>814</v>
      </c>
      <c r="D99" s="41" t="s">
        <v>140</v>
      </c>
      <c r="E99" s="42">
        <v>44639</v>
      </c>
      <c r="F99" s="41" t="str">
        <f>LEFT(клиенты!$B99,LEN(клиенты!$B99)-13)</f>
        <v>+992</v>
      </c>
      <c r="G99" s="41" t="str">
        <f>_xlfn.XLOOKUP(клиенты!$F99,'коды стран'!$B$2:$B$7,'коды стран'!$A$2:$A$7,"не найдено",0)</f>
        <v>Таджикистан</v>
      </c>
      <c r="H99" s="42">
        <f>_xlfn.MAXIFS(Продажи[дата создания чека],Продажи[id клиента],A99)</f>
        <v>45287</v>
      </c>
      <c r="I99" s="59">
        <f t="shared" si="2"/>
        <v>21.289527720739219</v>
      </c>
      <c r="J99" s="41" t="str">
        <f>IF(LEN(C99) - LEN(SUBSTITUTE(C99," ",""))&lt;3,C99,RIGHT(C99,LEN(C99)-FIND(" ",клиенты!$C99,1)))</f>
        <v>Соловьев Родион Данилович</v>
      </c>
      <c r="K99" s="41" t="str">
        <f t="shared" si="3"/>
        <v>Родион Данилович Соловьев</v>
      </c>
      <c r="L99" s="41" t="str">
        <f>LEFT(клиенты!$K99,FIND(" ",клиенты!$K99,1)-1)</f>
        <v>Родион</v>
      </c>
      <c r="M99" s="41" t="str">
        <f>MID(K99,FIND(" ",клиенты!$K99,1)+1,(FIND(" ",клиенты!$K99,FIND(" ",клиенты!$K99,1)+1)-1)-FIND(" ",клиенты!$K99,1))</f>
        <v>Данилович</v>
      </c>
      <c r="N99" s="41" t="str">
        <f>RIGHT(K99,LEN(K99)-FIND(" ",клиенты!$K99,FIND(" ",клиенты!$K99,1)+1))</f>
        <v>Соловьев</v>
      </c>
    </row>
    <row r="100" spans="1:14" x14ac:dyDescent="0.25">
      <c r="A100" s="43">
        <v>459</v>
      </c>
      <c r="B100" s="44" t="s">
        <v>813</v>
      </c>
      <c r="C100" s="44" t="s">
        <v>812</v>
      </c>
      <c r="D100" s="44" t="s">
        <v>143</v>
      </c>
      <c r="E100" s="45">
        <v>44743</v>
      </c>
      <c r="F100" s="44" t="str">
        <f>LEFT(клиенты!$B100,LEN(клиенты!$B100)-13)</f>
        <v>+7</v>
      </c>
      <c r="G100" s="44" t="str">
        <f>_xlfn.XLOOKUP(клиенты!$F100,'коды стран'!$B$2:$B$7,'коды стран'!$A$2:$A$7,"не найдено",0)</f>
        <v>Россия</v>
      </c>
      <c r="H100" s="45">
        <f>_xlfn.MAXIFS(Продажи[дата создания чека],Продажи[id клиента],A100)</f>
        <v>45414</v>
      </c>
      <c r="I100" s="60">
        <f t="shared" si="2"/>
        <v>22.04517453798768</v>
      </c>
      <c r="J100" s="44" t="str">
        <f>IF(LEN(C100) - LEN(SUBSTITUTE(C100," ",""))&lt;3,C100,RIGHT(C100,LEN(C100)-FIND(" ",клиенты!$C100,1)))</f>
        <v>Назар Августович Назаров</v>
      </c>
      <c r="K100" s="44" t="str">
        <f t="shared" si="3"/>
        <v>Назар Августович Назаров</v>
      </c>
      <c r="L100" s="44" t="str">
        <f>LEFT(клиенты!$K100,FIND(" ",клиенты!$K100,1)-1)</f>
        <v>Назар</v>
      </c>
      <c r="M100" s="44" t="str">
        <f>MID(K100,FIND(" ",клиенты!$K100,1)+1,(FIND(" ",клиенты!$K100,FIND(" ",клиенты!$K100,1)+1)-1)-FIND(" ",клиенты!$K100,1))</f>
        <v>Августович</v>
      </c>
      <c r="N100" s="44" t="str">
        <f>RIGHT(K100,LEN(K100)-FIND(" ",клиенты!$K100,FIND(" ",клиенты!$K100,1)+1))</f>
        <v>Назаров</v>
      </c>
    </row>
    <row r="101" spans="1:14" x14ac:dyDescent="0.25">
      <c r="A101" s="40">
        <v>211</v>
      </c>
      <c r="B101" s="41" t="s">
        <v>811</v>
      </c>
      <c r="C101" s="41" t="s">
        <v>810</v>
      </c>
      <c r="D101" s="41" t="s">
        <v>140</v>
      </c>
      <c r="E101" s="42">
        <v>44621</v>
      </c>
      <c r="F101" s="41" t="str">
        <f>LEFT(клиенты!$B101,LEN(клиенты!$B101)-13)</f>
        <v>+380</v>
      </c>
      <c r="G101" s="41" t="str">
        <f>_xlfn.XLOOKUP(клиенты!$F101,'коды стран'!$B$2:$B$7,'коды стран'!$A$2:$A$7,"не найдено",0)</f>
        <v>Украина</v>
      </c>
      <c r="H101" s="42">
        <f>_xlfn.MAXIFS(Продажи[дата создания чека],Продажи[id клиента],A101)</f>
        <v>45033</v>
      </c>
      <c r="I101" s="59">
        <f t="shared" si="2"/>
        <v>13.535934291581109</v>
      </c>
      <c r="J101" s="41" t="str">
        <f>IF(LEN(C101) - LEN(SUBSTITUTE(C101," ",""))&lt;3,C101,RIGHT(C101,LEN(C101)-FIND(" ",клиенты!$C101,1)))</f>
        <v>Кудряшова Василиса Болеславовна</v>
      </c>
      <c r="K101" s="41" t="str">
        <f t="shared" si="3"/>
        <v>Василиса Болеславовна Кудряшова</v>
      </c>
      <c r="L101" s="41" t="str">
        <f>LEFT(клиенты!$K101,FIND(" ",клиенты!$K101,1)-1)</f>
        <v>Василиса</v>
      </c>
      <c r="M101" s="41" t="str">
        <f>MID(K101,FIND(" ",клиенты!$K101,1)+1,(FIND(" ",клиенты!$K101,FIND(" ",клиенты!$K101,1)+1)-1)-FIND(" ",клиенты!$K101,1))</f>
        <v>Болеславовна</v>
      </c>
      <c r="N101" s="41" t="str">
        <f>RIGHT(K101,LEN(K101)-FIND(" ",клиенты!$K101,FIND(" ",клиенты!$K101,1)+1))</f>
        <v>Кудряшова</v>
      </c>
    </row>
    <row r="102" spans="1:14" x14ac:dyDescent="0.25">
      <c r="A102" s="43">
        <v>132</v>
      </c>
      <c r="B102" s="44" t="s">
        <v>809</v>
      </c>
      <c r="C102" s="44" t="s">
        <v>808</v>
      </c>
      <c r="D102" s="44" t="s">
        <v>143</v>
      </c>
      <c r="E102" s="45">
        <v>44601</v>
      </c>
      <c r="F102" s="44" t="str">
        <f>LEFT(клиенты!$B102,LEN(клиенты!$B102)-13)</f>
        <v>+380</v>
      </c>
      <c r="G102" s="44" t="str">
        <f>_xlfn.XLOOKUP(клиенты!$F102,'коды стран'!$B$2:$B$7,'коды стран'!$A$2:$A$7,"не найдено",0)</f>
        <v>Украина</v>
      </c>
      <c r="H102" s="45">
        <f>_xlfn.MAXIFS(Продажи[дата создания чека],Продажи[id клиента],A102)</f>
        <v>45285</v>
      </c>
      <c r="I102" s="60">
        <f t="shared" si="2"/>
        <v>22.472279260780287</v>
      </c>
      <c r="J102" s="44" t="str">
        <f>IF(LEN(C102) - LEN(SUBSTITUTE(C102," ",""))&lt;3,C102,RIGHT(C102,LEN(C102)-FIND(" ",клиенты!$C102,1)))</f>
        <v>Лазарев Софон Якубович</v>
      </c>
      <c r="K102" s="44" t="str">
        <f t="shared" si="3"/>
        <v>Софон Якубович Лазарев</v>
      </c>
      <c r="L102" s="44" t="str">
        <f>LEFT(клиенты!$K102,FIND(" ",клиенты!$K102,1)-1)</f>
        <v>Софон</v>
      </c>
      <c r="M102" s="44" t="str">
        <f>MID(K102,FIND(" ",клиенты!$K102,1)+1,(FIND(" ",клиенты!$K102,FIND(" ",клиенты!$K102,1)+1)-1)-FIND(" ",клиенты!$K102,1))</f>
        <v>Якубович</v>
      </c>
      <c r="N102" s="44" t="str">
        <f>RIGHT(K102,LEN(K102)-FIND(" ",клиенты!$K102,FIND(" ",клиенты!$K102,1)+1))</f>
        <v>Лазарев</v>
      </c>
    </row>
    <row r="103" spans="1:14" x14ac:dyDescent="0.25">
      <c r="A103" s="40">
        <v>333</v>
      </c>
      <c r="B103" s="41" t="s">
        <v>807</v>
      </c>
      <c r="C103" s="41" t="s">
        <v>806</v>
      </c>
      <c r="D103" s="41" t="s">
        <v>143</v>
      </c>
      <c r="E103" s="42">
        <v>44857</v>
      </c>
      <c r="F103" s="41" t="str">
        <f>LEFT(клиенты!$B103,LEN(клиенты!$B103)-13)</f>
        <v>+7</v>
      </c>
      <c r="G103" s="41" t="str">
        <f>_xlfn.XLOOKUP(клиенты!$F103,'коды стран'!$B$2:$B$7,'коды стран'!$A$2:$A$7,"не найдено",0)</f>
        <v>Россия</v>
      </c>
      <c r="H103" s="42">
        <f>_xlfn.MAXIFS(Продажи[дата создания чека],Продажи[id клиента],A103)</f>
        <v>45265</v>
      </c>
      <c r="I103" s="59">
        <f t="shared" si="2"/>
        <v>13.404517453798768</v>
      </c>
      <c r="J103" s="41" t="str">
        <f>IF(LEN(C103) - LEN(SUBSTITUTE(C103," ",""))&lt;3,C103,RIGHT(C103,LEN(C103)-FIND(" ",клиенты!$C103,1)))</f>
        <v>Бобылев Никодим Виленович</v>
      </c>
      <c r="K103" s="41" t="str">
        <f t="shared" si="3"/>
        <v>Никодим Виленович Бобылев</v>
      </c>
      <c r="L103" s="41" t="str">
        <f>LEFT(клиенты!$K103,FIND(" ",клиенты!$K103,1)-1)</f>
        <v>Никодим</v>
      </c>
      <c r="M103" s="41" t="str">
        <f>MID(K103,FIND(" ",клиенты!$K103,1)+1,(FIND(" ",клиенты!$K103,FIND(" ",клиенты!$K103,1)+1)-1)-FIND(" ",клиенты!$K103,1))</f>
        <v>Виленович</v>
      </c>
      <c r="N103" s="41" t="str">
        <f>RIGHT(K103,LEN(K103)-FIND(" ",клиенты!$K103,FIND(" ",клиенты!$K103,1)+1))</f>
        <v>Бобылев</v>
      </c>
    </row>
    <row r="104" spans="1:14" x14ac:dyDescent="0.25">
      <c r="A104" s="43">
        <v>298</v>
      </c>
      <c r="B104" s="44" t="s">
        <v>805</v>
      </c>
      <c r="C104" s="44" t="s">
        <v>804</v>
      </c>
      <c r="D104" s="44" t="s">
        <v>143</v>
      </c>
      <c r="E104" s="45">
        <v>44821</v>
      </c>
      <c r="F104" s="44" t="str">
        <f>LEFT(клиенты!$B104,LEN(клиенты!$B104)-13)</f>
        <v>+380</v>
      </c>
      <c r="G104" s="44" t="str">
        <f>_xlfn.XLOOKUP(клиенты!$F104,'коды стран'!$B$2:$B$7,'коды стран'!$A$2:$A$7,"не найдено",0)</f>
        <v>Украина</v>
      </c>
      <c r="H104" s="45">
        <f>_xlfn.MAXIFS(Продажи[дата создания чека],Продажи[id клиента],A104)</f>
        <v>45346</v>
      </c>
      <c r="I104" s="60">
        <f t="shared" si="2"/>
        <v>17.248459958932237</v>
      </c>
      <c r="J104" s="44" t="str">
        <f>IF(LEN(C104) - LEN(SUBSTITUTE(C104," ",""))&lt;3,C104,RIGHT(C104,LEN(C104)-FIND(" ",клиенты!$C104,1)))</f>
        <v>Трофимова Василиса Матвеевна</v>
      </c>
      <c r="K104" s="44" t="str">
        <f t="shared" si="3"/>
        <v>Василиса Матвеевна Трофимова</v>
      </c>
      <c r="L104" s="44" t="str">
        <f>LEFT(клиенты!$K104,FIND(" ",клиенты!$K104,1)-1)</f>
        <v>Василиса</v>
      </c>
      <c r="M104" s="44" t="str">
        <f>MID(K104,FIND(" ",клиенты!$K104,1)+1,(FIND(" ",клиенты!$K104,FIND(" ",клиенты!$K104,1)+1)-1)-FIND(" ",клиенты!$K104,1))</f>
        <v>Матвеевна</v>
      </c>
      <c r="N104" s="44" t="str">
        <f>RIGHT(K104,LEN(K104)-FIND(" ",клиенты!$K104,FIND(" ",клиенты!$K104,1)+1))</f>
        <v>Трофимова</v>
      </c>
    </row>
    <row r="105" spans="1:14" x14ac:dyDescent="0.25">
      <c r="A105" s="40">
        <v>273</v>
      </c>
      <c r="B105" s="41" t="s">
        <v>803</v>
      </c>
      <c r="C105" s="41" t="s">
        <v>802</v>
      </c>
      <c r="D105" s="41" t="s">
        <v>140</v>
      </c>
      <c r="E105" s="42">
        <v>44599</v>
      </c>
      <c r="F105" s="41" t="str">
        <f>LEFT(клиенты!$B105,LEN(клиенты!$B105)-13)</f>
        <v>+998</v>
      </c>
      <c r="G105" s="41" t="str">
        <f>_xlfn.XLOOKUP(клиенты!$F105,'коды стран'!$B$2:$B$7,'коды стран'!$A$2:$A$7,"не найдено",0)</f>
        <v>Узбекистан</v>
      </c>
      <c r="H105" s="42">
        <f>_xlfn.MAXIFS(Продажи[дата создания чека],Продажи[id клиента],A105)</f>
        <v>45292</v>
      </c>
      <c r="I105" s="59">
        <f t="shared" si="2"/>
        <v>22.767967145790553</v>
      </c>
      <c r="J105" s="41" t="str">
        <f>IF(LEN(C105) - LEN(SUBSTITUTE(C105," ",""))&lt;3,C105,RIGHT(C105,LEN(C105)-FIND(" ",клиенты!$C105,1)))</f>
        <v>Горбунова Наина Филипповна</v>
      </c>
      <c r="K105" s="41" t="str">
        <f t="shared" si="3"/>
        <v>Наина Филипповна Горбунова</v>
      </c>
      <c r="L105" s="41" t="str">
        <f>LEFT(клиенты!$K105,FIND(" ",клиенты!$K105,1)-1)</f>
        <v>Наина</v>
      </c>
      <c r="M105" s="41" t="str">
        <f>MID(K105,FIND(" ",клиенты!$K105,1)+1,(FIND(" ",клиенты!$K105,FIND(" ",клиенты!$K105,1)+1)-1)-FIND(" ",клиенты!$K105,1))</f>
        <v>Филипповна</v>
      </c>
      <c r="N105" s="41" t="str">
        <f>RIGHT(K105,LEN(K105)-FIND(" ",клиенты!$K105,FIND(" ",клиенты!$K105,1)+1))</f>
        <v>Горбунова</v>
      </c>
    </row>
    <row r="106" spans="1:14" x14ac:dyDescent="0.25">
      <c r="A106" s="43">
        <v>321</v>
      </c>
      <c r="B106" s="44" t="s">
        <v>801</v>
      </c>
      <c r="C106" s="44" t="s">
        <v>800</v>
      </c>
      <c r="D106" s="44" t="s">
        <v>140</v>
      </c>
      <c r="E106" s="45">
        <v>44756</v>
      </c>
      <c r="F106" s="44" t="str">
        <f>LEFT(клиенты!$B106,LEN(клиенты!$B106)-13)</f>
        <v>+992</v>
      </c>
      <c r="G106" s="44" t="str">
        <f>_xlfn.XLOOKUP(клиенты!$F106,'коды стран'!$B$2:$B$7,'коды стран'!$A$2:$A$7,"не найдено",0)</f>
        <v>Таджикистан</v>
      </c>
      <c r="H106" s="45">
        <f>_xlfn.MAXIFS(Продажи[дата создания чека],Продажи[id клиента],A106)</f>
        <v>45272</v>
      </c>
      <c r="I106" s="60">
        <f t="shared" si="2"/>
        <v>16.95277207392197</v>
      </c>
      <c r="J106" s="44" t="str">
        <f>IF(LEN(C106) - LEN(SUBSTITUTE(C106," ",""))&lt;3,C106,RIGHT(C106,LEN(C106)-FIND(" ",клиенты!$C106,1)))</f>
        <v>Блинов Натан Всеволодович</v>
      </c>
      <c r="K106" s="44" t="str">
        <f t="shared" si="3"/>
        <v>Натан Всеволодович Блинов</v>
      </c>
      <c r="L106" s="44" t="str">
        <f>LEFT(клиенты!$K106,FIND(" ",клиенты!$K106,1)-1)</f>
        <v>Натан</v>
      </c>
      <c r="M106" s="44" t="str">
        <f>MID(K106,FIND(" ",клиенты!$K106,1)+1,(FIND(" ",клиенты!$K106,FIND(" ",клиенты!$K106,1)+1)-1)-FIND(" ",клиенты!$K106,1))</f>
        <v>Всеволодович</v>
      </c>
      <c r="N106" s="44" t="str">
        <f>RIGHT(K106,LEN(K106)-FIND(" ",клиенты!$K106,FIND(" ",клиенты!$K106,1)+1))</f>
        <v>Блинов</v>
      </c>
    </row>
    <row r="107" spans="1:14" x14ac:dyDescent="0.25">
      <c r="A107" s="40">
        <v>119</v>
      </c>
      <c r="B107" s="41" t="s">
        <v>799</v>
      </c>
      <c r="C107" s="41" t="s">
        <v>798</v>
      </c>
      <c r="D107" s="41" t="s">
        <v>140</v>
      </c>
      <c r="E107" s="42">
        <v>44690</v>
      </c>
      <c r="F107" s="41" t="str">
        <f>LEFT(клиенты!$B107,LEN(клиенты!$B107)-13)</f>
        <v>+7</v>
      </c>
      <c r="G107" s="41" t="str">
        <f>_xlfn.XLOOKUP(клиенты!$F107,'коды стран'!$B$2:$B$7,'коды стран'!$A$2:$A$7,"не найдено",0)</f>
        <v>Россия</v>
      </c>
      <c r="H107" s="42">
        <f>_xlfn.MAXIFS(Продажи[дата создания чека],Продажи[id клиента],A107)</f>
        <v>44948</v>
      </c>
      <c r="I107" s="59">
        <f t="shared" si="2"/>
        <v>8.4763860369609851</v>
      </c>
      <c r="J107" s="41" t="str">
        <f>IF(LEN(C107) - LEN(SUBSTITUTE(C107," ",""))&lt;3,C107,RIGHT(C107,LEN(C107)-FIND(" ",клиенты!$C107,1)))</f>
        <v>Никитин Светозар Харлампьевич</v>
      </c>
      <c r="K107" s="41" t="str">
        <f t="shared" si="3"/>
        <v>Светозар Харлампьевич Никитин</v>
      </c>
      <c r="L107" s="41" t="str">
        <f>LEFT(клиенты!$K107,FIND(" ",клиенты!$K107,1)-1)</f>
        <v>Светозар</v>
      </c>
      <c r="M107" s="41" t="str">
        <f>MID(K107,FIND(" ",клиенты!$K107,1)+1,(FIND(" ",клиенты!$K107,FIND(" ",клиенты!$K107,1)+1)-1)-FIND(" ",клиенты!$K107,1))</f>
        <v>Харлампьевич</v>
      </c>
      <c r="N107" s="41" t="str">
        <f>RIGHT(K107,LEN(K107)-FIND(" ",клиенты!$K107,FIND(" ",клиенты!$K107,1)+1))</f>
        <v>Никитин</v>
      </c>
    </row>
    <row r="108" spans="1:14" x14ac:dyDescent="0.25">
      <c r="A108" s="43">
        <v>472</v>
      </c>
      <c r="B108" s="44" t="s">
        <v>797</v>
      </c>
      <c r="C108" s="44" t="s">
        <v>796</v>
      </c>
      <c r="D108" s="44" t="s">
        <v>140</v>
      </c>
      <c r="E108" s="45">
        <v>44901</v>
      </c>
      <c r="F108" s="44" t="str">
        <f>LEFT(клиенты!$B108,LEN(клиенты!$B108)-13)</f>
        <v>+380</v>
      </c>
      <c r="G108" s="44" t="str">
        <f>_xlfn.XLOOKUP(клиенты!$F108,'коды стран'!$B$2:$B$7,'коды стран'!$A$2:$A$7,"не найдено",0)</f>
        <v>Украина</v>
      </c>
      <c r="H108" s="45">
        <f>_xlfn.MAXIFS(Продажи[дата создания чека],Продажи[id клиента],A108)</f>
        <v>44959</v>
      </c>
      <c r="I108" s="60">
        <f t="shared" si="2"/>
        <v>1.9055441478439425</v>
      </c>
      <c r="J108" s="44" t="str">
        <f>IF(LEN(C108) - LEN(SUBSTITUTE(C108," ",""))&lt;3,C108,RIGHT(C108,LEN(C108)-FIND(" ",клиенты!$C108,1)))</f>
        <v>Фрол Авдеевич Фадеев</v>
      </c>
      <c r="K108" s="44" t="str">
        <f t="shared" si="3"/>
        <v>Фрол Авдеевич Фадеев</v>
      </c>
      <c r="L108" s="44" t="str">
        <f>LEFT(клиенты!$K108,FIND(" ",клиенты!$K108,1)-1)</f>
        <v>Фрол</v>
      </c>
      <c r="M108" s="44" t="str">
        <f>MID(K108,FIND(" ",клиенты!$K108,1)+1,(FIND(" ",клиенты!$K108,FIND(" ",клиенты!$K108,1)+1)-1)-FIND(" ",клиенты!$K108,1))</f>
        <v>Авдеевич</v>
      </c>
      <c r="N108" s="44" t="str">
        <f>RIGHT(K108,LEN(K108)-FIND(" ",клиенты!$K108,FIND(" ",клиенты!$K108,1)+1))</f>
        <v>Фадеев</v>
      </c>
    </row>
    <row r="109" spans="1:14" x14ac:dyDescent="0.25">
      <c r="A109" s="40">
        <v>396</v>
      </c>
      <c r="B109" s="41" t="s">
        <v>795</v>
      </c>
      <c r="C109" s="41" t="s">
        <v>794</v>
      </c>
      <c r="D109" s="41" t="s">
        <v>140</v>
      </c>
      <c r="E109" s="42">
        <v>44871</v>
      </c>
      <c r="F109" s="41" t="str">
        <f>LEFT(клиенты!$B109,LEN(клиенты!$B109)-13)</f>
        <v>+380</v>
      </c>
      <c r="G109" s="41" t="str">
        <f>_xlfn.XLOOKUP(клиенты!$F109,'коды стран'!$B$2:$B$7,'коды стран'!$A$2:$A$7,"не найдено",0)</f>
        <v>Украина</v>
      </c>
      <c r="H109" s="42">
        <f>_xlfn.MAXIFS(Продажи[дата создания чека],Продажи[id клиента],A109)</f>
        <v>45241</v>
      </c>
      <c r="I109" s="59">
        <f t="shared" si="2"/>
        <v>12.156057494866531</v>
      </c>
      <c r="J109" s="41" t="str">
        <f>IF(LEN(C109) - LEN(SUBSTITUTE(C109," ",""))&lt;3,C109,RIGHT(C109,LEN(C109)-FIND(" ",клиенты!$C109,1)))</f>
        <v>Ермаков Вадим Юлианович</v>
      </c>
      <c r="K109" s="41" t="str">
        <f t="shared" si="3"/>
        <v>Вадим Юлианович Ермаков</v>
      </c>
      <c r="L109" s="41" t="str">
        <f>LEFT(клиенты!$K109,FIND(" ",клиенты!$K109,1)-1)</f>
        <v>Вадим</v>
      </c>
      <c r="M109" s="41" t="str">
        <f>MID(K109,FIND(" ",клиенты!$K109,1)+1,(FIND(" ",клиенты!$K109,FIND(" ",клиенты!$K109,1)+1)-1)-FIND(" ",клиенты!$K109,1))</f>
        <v>Юлианович</v>
      </c>
      <c r="N109" s="41" t="str">
        <f>RIGHT(K109,LEN(K109)-FIND(" ",клиенты!$K109,FIND(" ",клиенты!$K109,1)+1))</f>
        <v>Ермаков</v>
      </c>
    </row>
    <row r="110" spans="1:14" x14ac:dyDescent="0.25">
      <c r="A110" s="43">
        <v>269</v>
      </c>
      <c r="B110" s="44" t="s">
        <v>793</v>
      </c>
      <c r="C110" s="44" t="s">
        <v>792</v>
      </c>
      <c r="D110" s="44" t="s">
        <v>140</v>
      </c>
      <c r="E110" s="45">
        <v>44720</v>
      </c>
      <c r="F110" s="44" t="str">
        <f>LEFT(клиенты!$B110,LEN(клиенты!$B110)-13)</f>
        <v>+7</v>
      </c>
      <c r="G110" s="44" t="str">
        <f>_xlfn.XLOOKUP(клиенты!$F110,'коды стран'!$B$2:$B$7,'коды стран'!$A$2:$A$7,"не найдено",0)</f>
        <v>Россия</v>
      </c>
      <c r="H110" s="45">
        <f>_xlfn.MAXIFS(Продажи[дата создания чека],Продажи[id клиента],A110)</f>
        <v>45338</v>
      </c>
      <c r="I110" s="60">
        <f t="shared" si="2"/>
        <v>20.303901437371664</v>
      </c>
      <c r="J110" s="44" t="str">
        <f>IF(LEN(C110) - LEN(SUBSTITUTE(C110," ",""))&lt;3,C110,RIGHT(C110,LEN(C110)-FIND(" ",клиенты!$C110,1)))</f>
        <v>Анжела Филипповна Новикова</v>
      </c>
      <c r="K110" s="44" t="str">
        <f t="shared" si="3"/>
        <v>Анжела Филипповна Новикова</v>
      </c>
      <c r="L110" s="44" t="str">
        <f>LEFT(клиенты!$K110,FIND(" ",клиенты!$K110,1)-1)</f>
        <v>Анжела</v>
      </c>
      <c r="M110" s="44" t="str">
        <f>MID(K110,FIND(" ",клиенты!$K110,1)+1,(FIND(" ",клиенты!$K110,FIND(" ",клиенты!$K110,1)+1)-1)-FIND(" ",клиенты!$K110,1))</f>
        <v>Филипповна</v>
      </c>
      <c r="N110" s="44" t="str">
        <f>RIGHT(K110,LEN(K110)-FIND(" ",клиенты!$K110,FIND(" ",клиенты!$K110,1)+1))</f>
        <v>Новикова</v>
      </c>
    </row>
    <row r="111" spans="1:14" x14ac:dyDescent="0.25">
      <c r="A111" s="40">
        <v>16</v>
      </c>
      <c r="B111" s="41" t="s">
        <v>791</v>
      </c>
      <c r="C111" s="41" t="s">
        <v>790</v>
      </c>
      <c r="D111" s="41" t="s">
        <v>140</v>
      </c>
      <c r="E111" s="42">
        <v>44713</v>
      </c>
      <c r="F111" s="41" t="str">
        <f>LEFT(клиенты!$B111,LEN(клиенты!$B111)-13)</f>
        <v>+380</v>
      </c>
      <c r="G111" s="41" t="str">
        <f>_xlfn.XLOOKUP(клиенты!$F111,'коды стран'!$B$2:$B$7,'коды стран'!$A$2:$A$7,"не найдено",0)</f>
        <v>Украина</v>
      </c>
      <c r="H111" s="42">
        <f>_xlfn.MAXIFS(Продажи[дата создания чека],Продажи[id клиента],A111)</f>
        <v>45388</v>
      </c>
      <c r="I111" s="59">
        <f t="shared" si="2"/>
        <v>22.17659137577002</v>
      </c>
      <c r="J111" s="41" t="str">
        <f>IF(LEN(C111) - LEN(SUBSTITUTE(C111," ",""))&lt;3,C111,RIGHT(C111,LEN(C111)-FIND(" ",клиенты!$C111,1)))</f>
        <v>Белозеров Лука Харлампьевич</v>
      </c>
      <c r="K111" s="41" t="str">
        <f t="shared" si="3"/>
        <v>Лука Харлампьевич Белозеров</v>
      </c>
      <c r="L111" s="41" t="str">
        <f>LEFT(клиенты!$K111,FIND(" ",клиенты!$K111,1)-1)</f>
        <v>Лука</v>
      </c>
      <c r="M111" s="41" t="str">
        <f>MID(K111,FIND(" ",клиенты!$K111,1)+1,(FIND(" ",клиенты!$K111,FIND(" ",клиенты!$K111,1)+1)-1)-FIND(" ",клиенты!$K111,1))</f>
        <v>Харлампьевич</v>
      </c>
      <c r="N111" s="41" t="str">
        <f>RIGHT(K111,LEN(K111)-FIND(" ",клиенты!$K111,FIND(" ",клиенты!$K111,1)+1))</f>
        <v>Белозеров</v>
      </c>
    </row>
    <row r="112" spans="1:14" x14ac:dyDescent="0.25">
      <c r="A112" s="43">
        <v>281</v>
      </c>
      <c r="B112" s="44" t="s">
        <v>789</v>
      </c>
      <c r="C112" s="44" t="s">
        <v>788</v>
      </c>
      <c r="D112" s="44" t="s">
        <v>140</v>
      </c>
      <c r="E112" s="45">
        <v>44711</v>
      </c>
      <c r="F112" s="44" t="str">
        <f>LEFT(клиенты!$B112,LEN(клиенты!$B112)-13)</f>
        <v>+998</v>
      </c>
      <c r="G112" s="44" t="str">
        <f>_xlfn.XLOOKUP(клиенты!$F112,'коды стран'!$B$2:$B$7,'коды стран'!$A$2:$A$7,"не найдено",0)</f>
        <v>Узбекистан</v>
      </c>
      <c r="H112" s="45">
        <f>_xlfn.MAXIFS(Продажи[дата создания чека],Продажи[id клиента],A112)</f>
        <v>45244</v>
      </c>
      <c r="I112" s="60">
        <f t="shared" si="2"/>
        <v>17.511293634496919</v>
      </c>
      <c r="J112" s="44" t="str">
        <f>IF(LEN(C112) - LEN(SUBSTITUTE(C112," ",""))&lt;3,C112,RIGHT(C112,LEN(C112)-FIND(" ",клиенты!$C112,1)))</f>
        <v>Гурьев Евсей Гертрудович</v>
      </c>
      <c r="K112" s="44" t="str">
        <f t="shared" si="3"/>
        <v>Евсей Гертрудович Гурьев</v>
      </c>
      <c r="L112" s="44" t="str">
        <f>LEFT(клиенты!$K112,FIND(" ",клиенты!$K112,1)-1)</f>
        <v>Евсей</v>
      </c>
      <c r="M112" s="44" t="str">
        <f>MID(K112,FIND(" ",клиенты!$K112,1)+1,(FIND(" ",клиенты!$K112,FIND(" ",клиенты!$K112,1)+1)-1)-FIND(" ",клиенты!$K112,1))</f>
        <v>Гертрудович</v>
      </c>
      <c r="N112" s="44" t="str">
        <f>RIGHT(K112,LEN(K112)-FIND(" ",клиенты!$K112,FIND(" ",клиенты!$K112,1)+1))</f>
        <v>Гурьев</v>
      </c>
    </row>
    <row r="113" spans="1:14" x14ac:dyDescent="0.25">
      <c r="A113" s="40">
        <v>149</v>
      </c>
      <c r="B113" s="41" t="s">
        <v>787</v>
      </c>
      <c r="C113" s="41" t="s">
        <v>786</v>
      </c>
      <c r="D113" s="41" t="s">
        <v>143</v>
      </c>
      <c r="E113" s="42">
        <v>44882</v>
      </c>
      <c r="F113" s="41" t="str">
        <f>LEFT(клиенты!$B113,LEN(клиенты!$B113)-13)</f>
        <v>+992</v>
      </c>
      <c r="G113" s="41" t="str">
        <f>_xlfn.XLOOKUP(клиенты!$F113,'коды стран'!$B$2:$B$7,'коды стран'!$A$2:$A$7,"не найдено",0)</f>
        <v>Таджикистан</v>
      </c>
      <c r="H113" s="42">
        <f>_xlfn.MAXIFS(Продажи[дата создания чека],Продажи[id клиента],A113)</f>
        <v>45207</v>
      </c>
      <c r="I113" s="59">
        <f t="shared" si="2"/>
        <v>10.677618069815194</v>
      </c>
      <c r="J113" s="41" t="str">
        <f>IF(LEN(C113) - LEN(SUBSTITUTE(C113," ",""))&lt;3,C113,RIGHT(C113,LEN(C113)-FIND(" ",клиенты!$C113,1)))</f>
        <v>Королев Феофан Бориславович</v>
      </c>
      <c r="K113" s="41" t="str">
        <f t="shared" si="3"/>
        <v>Феофан Бориславович Королев</v>
      </c>
      <c r="L113" s="41" t="str">
        <f>LEFT(клиенты!$K113,FIND(" ",клиенты!$K113,1)-1)</f>
        <v>Феофан</v>
      </c>
      <c r="M113" s="41" t="str">
        <f>MID(K113,FIND(" ",клиенты!$K113,1)+1,(FIND(" ",клиенты!$K113,FIND(" ",клиенты!$K113,1)+1)-1)-FIND(" ",клиенты!$K113,1))</f>
        <v>Бориславович</v>
      </c>
      <c r="N113" s="41" t="str">
        <f>RIGHT(K113,LEN(K113)-FIND(" ",клиенты!$K113,FIND(" ",клиенты!$K113,1)+1))</f>
        <v>Королев</v>
      </c>
    </row>
    <row r="114" spans="1:14" x14ac:dyDescent="0.25">
      <c r="A114" s="43">
        <v>380</v>
      </c>
      <c r="B114" s="44" t="s">
        <v>785</v>
      </c>
      <c r="C114" s="44" t="s">
        <v>784</v>
      </c>
      <c r="D114" s="44" t="s">
        <v>143</v>
      </c>
      <c r="E114" s="45">
        <v>44563</v>
      </c>
      <c r="F114" s="44" t="str">
        <f>LEFT(клиенты!$B114,LEN(клиенты!$B114)-13)</f>
        <v>+7</v>
      </c>
      <c r="G114" s="44" t="str">
        <f>_xlfn.XLOOKUP(клиенты!$F114,'коды стран'!$B$2:$B$7,'коды стран'!$A$2:$A$7,"не найдено",0)</f>
        <v>Россия</v>
      </c>
      <c r="H114" s="45">
        <f>_xlfn.MAXIFS(Продажи[дата создания чека],Продажи[id клиента],A114)</f>
        <v>45349</v>
      </c>
      <c r="I114" s="60">
        <f t="shared" si="2"/>
        <v>25.82340862422998</v>
      </c>
      <c r="J114" s="44" t="str">
        <f>IF(LEN(C114) - LEN(SUBSTITUTE(C114," ",""))&lt;3,C114,RIGHT(C114,LEN(C114)-FIND(" ",клиенты!$C114,1)))</f>
        <v>Бурова Марфа Игоревна</v>
      </c>
      <c r="K114" s="44" t="str">
        <f t="shared" si="3"/>
        <v>Марфа Игоревна Бурова</v>
      </c>
      <c r="L114" s="44" t="str">
        <f>LEFT(клиенты!$K114,FIND(" ",клиенты!$K114,1)-1)</f>
        <v>Марфа</v>
      </c>
      <c r="M114" s="44" t="str">
        <f>MID(K114,FIND(" ",клиенты!$K114,1)+1,(FIND(" ",клиенты!$K114,FIND(" ",клиенты!$K114,1)+1)-1)-FIND(" ",клиенты!$K114,1))</f>
        <v>Игоревна</v>
      </c>
      <c r="N114" s="44" t="str">
        <f>RIGHT(K114,LEN(K114)-FIND(" ",клиенты!$K114,FIND(" ",клиенты!$K114,1)+1))</f>
        <v>Бурова</v>
      </c>
    </row>
    <row r="115" spans="1:14" x14ac:dyDescent="0.25">
      <c r="A115" s="40">
        <v>114</v>
      </c>
      <c r="B115" s="41" t="s">
        <v>783</v>
      </c>
      <c r="C115" s="41" t="s">
        <v>782</v>
      </c>
      <c r="D115" s="41" t="s">
        <v>143</v>
      </c>
      <c r="E115" s="42">
        <v>44889</v>
      </c>
      <c r="F115" s="41" t="str">
        <f>LEFT(клиенты!$B115,LEN(клиенты!$B115)-13)</f>
        <v>+7</v>
      </c>
      <c r="G115" s="41" t="str">
        <f>_xlfn.XLOOKUP(клиенты!$F115,'коды стран'!$B$2:$B$7,'коды стран'!$A$2:$A$7,"не найдено",0)</f>
        <v>Россия</v>
      </c>
      <c r="H115" s="42">
        <f>_xlfn.MAXIFS(Продажи[дата создания чека],Продажи[id клиента],A115)</f>
        <v>45025</v>
      </c>
      <c r="I115" s="59">
        <f t="shared" si="2"/>
        <v>4.4681724845995889</v>
      </c>
      <c r="J115" s="41" t="str">
        <f>IF(LEN(C115) - LEN(SUBSTITUTE(C115," ",""))&lt;3,C115,RIGHT(C115,LEN(C115)-FIND(" ",клиенты!$C115,1)))</f>
        <v>Прокл Тимурович Александров</v>
      </c>
      <c r="K115" s="41" t="str">
        <f t="shared" si="3"/>
        <v>Прокл Тимурович Александров</v>
      </c>
      <c r="L115" s="41" t="str">
        <f>LEFT(клиенты!$K115,FIND(" ",клиенты!$K115,1)-1)</f>
        <v>Прокл</v>
      </c>
      <c r="M115" s="41" t="str">
        <f>MID(K115,FIND(" ",клиенты!$K115,1)+1,(FIND(" ",клиенты!$K115,FIND(" ",клиенты!$K115,1)+1)-1)-FIND(" ",клиенты!$K115,1))</f>
        <v>Тимурович</v>
      </c>
      <c r="N115" s="41" t="str">
        <f>RIGHT(K115,LEN(K115)-FIND(" ",клиенты!$K115,FIND(" ",клиенты!$K115,1)+1))</f>
        <v>Александров</v>
      </c>
    </row>
    <row r="116" spans="1:14" x14ac:dyDescent="0.25">
      <c r="A116" s="43">
        <v>381</v>
      </c>
      <c r="B116" s="44" t="s">
        <v>781</v>
      </c>
      <c r="C116" s="44" t="s">
        <v>780</v>
      </c>
      <c r="D116" s="44" t="s">
        <v>140</v>
      </c>
      <c r="E116" s="45">
        <v>44714</v>
      </c>
      <c r="F116" s="44" t="str">
        <f>LEFT(клиенты!$B116,LEN(клиенты!$B116)-13)</f>
        <v>+998</v>
      </c>
      <c r="G116" s="44" t="str">
        <f>_xlfn.XLOOKUP(клиенты!$F116,'коды стран'!$B$2:$B$7,'коды стран'!$A$2:$A$7,"не найдено",0)</f>
        <v>Узбекистан</v>
      </c>
      <c r="H116" s="45">
        <f>_xlfn.MAXIFS(Продажи[дата создания чека],Продажи[id клиента],A116)</f>
        <v>45379</v>
      </c>
      <c r="I116" s="60">
        <f t="shared" si="2"/>
        <v>21.848049281314168</v>
      </c>
      <c r="J116" s="44" t="str">
        <f>IF(LEN(C116) - LEN(SUBSTITUTE(C116," ",""))&lt;3,C116,RIGHT(C116,LEN(C116)-FIND(" ",клиенты!$C116,1)))</f>
        <v>Раиса Станиславовна Чернова</v>
      </c>
      <c r="K116" s="44" t="str">
        <f t="shared" si="3"/>
        <v>Раиса Станиславовна Чернова</v>
      </c>
      <c r="L116" s="44" t="str">
        <f>LEFT(клиенты!$K116,FIND(" ",клиенты!$K116,1)-1)</f>
        <v>Раиса</v>
      </c>
      <c r="M116" s="44" t="str">
        <f>MID(K116,FIND(" ",клиенты!$K116,1)+1,(FIND(" ",клиенты!$K116,FIND(" ",клиенты!$K116,1)+1)-1)-FIND(" ",клиенты!$K116,1))</f>
        <v>Станиславовна</v>
      </c>
      <c r="N116" s="44" t="str">
        <f>RIGHT(K116,LEN(K116)-FIND(" ",клиенты!$K116,FIND(" ",клиенты!$K116,1)+1))</f>
        <v>Чернова</v>
      </c>
    </row>
    <row r="117" spans="1:14" x14ac:dyDescent="0.25">
      <c r="A117" s="40">
        <v>342</v>
      </c>
      <c r="B117" s="41" t="s">
        <v>779</v>
      </c>
      <c r="C117" s="41" t="s">
        <v>778</v>
      </c>
      <c r="D117" s="41" t="s">
        <v>143</v>
      </c>
      <c r="E117" s="42">
        <v>44570</v>
      </c>
      <c r="F117" s="41" t="str">
        <f>LEFT(клиенты!$B117,LEN(клиенты!$B117)-13)</f>
        <v>+992</v>
      </c>
      <c r="G117" s="41" t="str">
        <f>_xlfn.XLOOKUP(клиенты!$F117,'коды стран'!$B$2:$B$7,'коды стран'!$A$2:$A$7,"не найдено",0)</f>
        <v>Таджикистан</v>
      </c>
      <c r="H117" s="42">
        <f>_xlfn.MAXIFS(Продажи[дата создания чека],Продажи[id клиента],A117)</f>
        <v>45404</v>
      </c>
      <c r="I117" s="59">
        <f t="shared" si="2"/>
        <v>27.400410677618069</v>
      </c>
      <c r="J117" s="41" t="str">
        <f>IF(LEN(C117) - LEN(SUBSTITUTE(C117," ",""))&lt;3,C117,RIGHT(C117,LEN(C117)-FIND(" ",клиенты!$C117,1)))</f>
        <v>Фёкла Феликсовна Харитонова</v>
      </c>
      <c r="K117" s="41" t="str">
        <f t="shared" si="3"/>
        <v>Фёкла Феликсовна Харитонова</v>
      </c>
      <c r="L117" s="41" t="str">
        <f>LEFT(клиенты!$K117,FIND(" ",клиенты!$K117,1)-1)</f>
        <v>Фёкла</v>
      </c>
      <c r="M117" s="41" t="str">
        <f>MID(K117,FIND(" ",клиенты!$K117,1)+1,(FIND(" ",клиенты!$K117,FIND(" ",клиенты!$K117,1)+1)-1)-FIND(" ",клиенты!$K117,1))</f>
        <v>Феликсовна</v>
      </c>
      <c r="N117" s="41" t="str">
        <f>RIGHT(K117,LEN(K117)-FIND(" ",клиенты!$K117,FIND(" ",клиенты!$K117,1)+1))</f>
        <v>Харитонова</v>
      </c>
    </row>
    <row r="118" spans="1:14" x14ac:dyDescent="0.25">
      <c r="A118" s="43">
        <v>276</v>
      </c>
      <c r="B118" s="44" t="s">
        <v>777</v>
      </c>
      <c r="C118" s="44" t="s">
        <v>776</v>
      </c>
      <c r="D118" s="44" t="s">
        <v>140</v>
      </c>
      <c r="E118" s="45">
        <v>44632</v>
      </c>
      <c r="F118" s="44" t="str">
        <f>LEFT(клиенты!$B118,LEN(клиенты!$B118)-13)</f>
        <v>+992</v>
      </c>
      <c r="G118" s="44" t="str">
        <f>_xlfn.XLOOKUP(клиенты!$F118,'коды стран'!$B$2:$B$7,'коды стран'!$A$2:$A$7,"не найдено",0)</f>
        <v>Таджикистан</v>
      </c>
      <c r="H118" s="45">
        <f>_xlfn.MAXIFS(Продажи[дата создания чека],Продажи[id клиента],A118)</f>
        <v>45260</v>
      </c>
      <c r="I118" s="60">
        <f t="shared" si="2"/>
        <v>20.632443531827516</v>
      </c>
      <c r="J118" s="44" t="str">
        <f>IF(LEN(C118) - LEN(SUBSTITUTE(C118," ",""))&lt;3,C118,RIGHT(C118,LEN(C118)-FIND(" ",клиенты!$C118,1)))</f>
        <v>Лазарев Арефий Анатольевич</v>
      </c>
      <c r="K118" s="44" t="str">
        <f t="shared" si="3"/>
        <v>Арефий Анатольевич Лазарев</v>
      </c>
      <c r="L118" s="44" t="str">
        <f>LEFT(клиенты!$K118,FIND(" ",клиенты!$K118,1)-1)</f>
        <v>Арефий</v>
      </c>
      <c r="M118" s="44" t="str">
        <f>MID(K118,FIND(" ",клиенты!$K118,1)+1,(FIND(" ",клиенты!$K118,FIND(" ",клиенты!$K118,1)+1)-1)-FIND(" ",клиенты!$K118,1))</f>
        <v>Анатольевич</v>
      </c>
      <c r="N118" s="44" t="str">
        <f>RIGHT(K118,LEN(K118)-FIND(" ",клиенты!$K118,FIND(" ",клиенты!$K118,1)+1))</f>
        <v>Лазарев</v>
      </c>
    </row>
    <row r="119" spans="1:14" x14ac:dyDescent="0.25">
      <c r="A119" s="40">
        <v>293</v>
      </c>
      <c r="B119" s="41" t="s">
        <v>775</v>
      </c>
      <c r="C119" s="41" t="s">
        <v>774</v>
      </c>
      <c r="D119" s="41" t="s">
        <v>143</v>
      </c>
      <c r="E119" s="42">
        <v>44573</v>
      </c>
      <c r="F119" s="41" t="str">
        <f>LEFT(клиенты!$B119,LEN(клиенты!$B119)-13)</f>
        <v>+375</v>
      </c>
      <c r="G119" s="41" t="str">
        <f>_xlfn.XLOOKUP(клиенты!$F119,'коды стран'!$B$2:$B$7,'коды стран'!$A$2:$A$7,"не найдено",0)</f>
        <v>Беларусь</v>
      </c>
      <c r="H119" s="42">
        <f>_xlfn.MAXIFS(Продажи[дата создания чека],Продажи[id клиента],A119)</f>
        <v>45429</v>
      </c>
      <c r="I119" s="59">
        <f t="shared" si="2"/>
        <v>28.123203285420946</v>
      </c>
      <c r="J119" s="41" t="str">
        <f>IF(LEN(C119) - LEN(SUBSTITUTE(C119," ",""))&lt;3,C119,RIGHT(C119,LEN(C119)-FIND(" ",клиенты!$C119,1)))</f>
        <v>Брагин Любомир Гертрудович</v>
      </c>
      <c r="K119" s="41" t="str">
        <f t="shared" si="3"/>
        <v>Любомир Гертрудович Брагин</v>
      </c>
      <c r="L119" s="41" t="str">
        <f>LEFT(клиенты!$K119,FIND(" ",клиенты!$K119,1)-1)</f>
        <v>Любомир</v>
      </c>
      <c r="M119" s="41" t="str">
        <f>MID(K119,FIND(" ",клиенты!$K119,1)+1,(FIND(" ",клиенты!$K119,FIND(" ",клиенты!$K119,1)+1)-1)-FIND(" ",клиенты!$K119,1))</f>
        <v>Гертрудович</v>
      </c>
      <c r="N119" s="41" t="str">
        <f>RIGHT(K119,LEN(K119)-FIND(" ",клиенты!$K119,FIND(" ",клиенты!$K119,1)+1))</f>
        <v>Брагин</v>
      </c>
    </row>
    <row r="120" spans="1:14" x14ac:dyDescent="0.25">
      <c r="A120" s="43">
        <v>386</v>
      </c>
      <c r="B120" s="44" t="s">
        <v>773</v>
      </c>
      <c r="C120" s="44" t="s">
        <v>772</v>
      </c>
      <c r="D120" s="44" t="s">
        <v>143</v>
      </c>
      <c r="E120" s="45">
        <v>44734</v>
      </c>
      <c r="F120" s="44" t="str">
        <f>LEFT(клиенты!$B120,LEN(клиенты!$B120)-13)</f>
        <v>+998</v>
      </c>
      <c r="G120" s="44" t="str">
        <f>_xlfn.XLOOKUP(клиенты!$F120,'коды стран'!$B$2:$B$7,'коды стран'!$A$2:$A$7,"не найдено",0)</f>
        <v>Узбекистан</v>
      </c>
      <c r="H120" s="45">
        <f>_xlfn.MAXIFS(Продажи[дата создания чека],Продажи[id клиента],A120)</f>
        <v>45349</v>
      </c>
      <c r="I120" s="60">
        <f t="shared" si="2"/>
        <v>20.205338809034906</v>
      </c>
      <c r="J120" s="44" t="str">
        <f>IF(LEN(C120) - LEN(SUBSTITUTE(C120," ",""))&lt;3,C120,RIGHT(C120,LEN(C120)-FIND(" ",клиенты!$C120,1)))</f>
        <v>Маргарита Ждановна Зуева</v>
      </c>
      <c r="K120" s="44" t="str">
        <f t="shared" si="3"/>
        <v>Маргарита Ждановна Зуева</v>
      </c>
      <c r="L120" s="44" t="str">
        <f>LEFT(клиенты!$K120,FIND(" ",клиенты!$K120,1)-1)</f>
        <v>Маргарита</v>
      </c>
      <c r="M120" s="44" t="str">
        <f>MID(K120,FIND(" ",клиенты!$K120,1)+1,(FIND(" ",клиенты!$K120,FIND(" ",клиенты!$K120,1)+1)-1)-FIND(" ",клиенты!$K120,1))</f>
        <v>Ждановна</v>
      </c>
      <c r="N120" s="44" t="str">
        <f>RIGHT(K120,LEN(K120)-FIND(" ",клиенты!$K120,FIND(" ",клиенты!$K120,1)+1))</f>
        <v>Зуева</v>
      </c>
    </row>
    <row r="121" spans="1:14" x14ac:dyDescent="0.25">
      <c r="A121" s="40">
        <v>362</v>
      </c>
      <c r="B121" s="41" t="s">
        <v>771</v>
      </c>
      <c r="C121" s="41" t="s">
        <v>770</v>
      </c>
      <c r="D121" s="41" t="s">
        <v>140</v>
      </c>
      <c r="E121" s="42">
        <v>44916</v>
      </c>
      <c r="F121" s="41" t="str">
        <f>LEFT(клиенты!$B121,LEN(клиенты!$B121)-13)</f>
        <v>+7</v>
      </c>
      <c r="G121" s="41" t="str">
        <f>_xlfn.XLOOKUP(клиенты!$F121,'коды стран'!$B$2:$B$7,'коды стран'!$A$2:$A$7,"не найдено",0)</f>
        <v>Россия</v>
      </c>
      <c r="H121" s="42">
        <f>_xlfn.MAXIFS(Продажи[дата создания чека],Продажи[id клиента],A121)</f>
        <v>45408</v>
      </c>
      <c r="I121" s="59">
        <f t="shared" si="2"/>
        <v>16.164271047227928</v>
      </c>
      <c r="J121" s="41" t="str">
        <f>IF(LEN(C121) - LEN(SUBSTITUTE(C121," ",""))&lt;3,C121,RIGHT(C121,LEN(C121)-FIND(" ",клиенты!$C121,1)))</f>
        <v>Авдей Брониславович Владимиров</v>
      </c>
      <c r="K121" s="41" t="str">
        <f t="shared" si="3"/>
        <v>Авдей Брониславович Владимиров</v>
      </c>
      <c r="L121" s="41" t="str">
        <f>LEFT(клиенты!$K121,FIND(" ",клиенты!$K121,1)-1)</f>
        <v>Авдей</v>
      </c>
      <c r="M121" s="41" t="str">
        <f>MID(K121,FIND(" ",клиенты!$K121,1)+1,(FIND(" ",клиенты!$K121,FIND(" ",клиенты!$K121,1)+1)-1)-FIND(" ",клиенты!$K121,1))</f>
        <v>Брониславович</v>
      </c>
      <c r="N121" s="41" t="str">
        <f>RIGHT(K121,LEN(K121)-FIND(" ",клиенты!$K121,FIND(" ",клиенты!$K121,1)+1))</f>
        <v>Владимиров</v>
      </c>
    </row>
    <row r="122" spans="1:14" x14ac:dyDescent="0.25">
      <c r="A122" s="43">
        <v>283</v>
      </c>
      <c r="B122" s="44" t="s">
        <v>769</v>
      </c>
      <c r="C122" s="44" t="s">
        <v>768</v>
      </c>
      <c r="D122" s="44" t="s">
        <v>140</v>
      </c>
      <c r="E122" s="45">
        <v>44889</v>
      </c>
      <c r="F122" s="44" t="str">
        <f>LEFT(клиенты!$B122,LEN(клиенты!$B122)-13)</f>
        <v>+992</v>
      </c>
      <c r="G122" s="44" t="str">
        <f>_xlfn.XLOOKUP(клиенты!$F122,'коды стран'!$B$2:$B$7,'коды стран'!$A$2:$A$7,"не найдено",0)</f>
        <v>Таджикистан</v>
      </c>
      <c r="H122" s="45">
        <f>_xlfn.MAXIFS(Продажи[дата создания чека],Продажи[id клиента],A122)</f>
        <v>45368</v>
      </c>
      <c r="I122" s="60">
        <f t="shared" si="2"/>
        <v>15.737166324435318</v>
      </c>
      <c r="J122" s="44" t="str">
        <f>IF(LEN(C122) - LEN(SUBSTITUTE(C122," ",""))&lt;3,C122,RIGHT(C122,LEN(C122)-FIND(" ",клиенты!$C122,1)))</f>
        <v>Кириллов Валерьян Иосипович</v>
      </c>
      <c r="K122" s="44" t="str">
        <f t="shared" si="3"/>
        <v>Валерьян Иосипович Кириллов</v>
      </c>
      <c r="L122" s="44" t="str">
        <f>LEFT(клиенты!$K122,FIND(" ",клиенты!$K122,1)-1)</f>
        <v>Валерьян</v>
      </c>
      <c r="M122" s="44" t="str">
        <f>MID(K122,FIND(" ",клиенты!$K122,1)+1,(FIND(" ",клиенты!$K122,FIND(" ",клиенты!$K122,1)+1)-1)-FIND(" ",клиенты!$K122,1))</f>
        <v>Иосипович</v>
      </c>
      <c r="N122" s="44" t="str">
        <f>RIGHT(K122,LEN(K122)-FIND(" ",клиенты!$K122,FIND(" ",клиенты!$K122,1)+1))</f>
        <v>Кириллов</v>
      </c>
    </row>
    <row r="123" spans="1:14" x14ac:dyDescent="0.25">
      <c r="A123" s="40">
        <v>388</v>
      </c>
      <c r="B123" s="41" t="s">
        <v>767</v>
      </c>
      <c r="C123" s="41" t="s">
        <v>766</v>
      </c>
      <c r="D123" s="41" t="s">
        <v>143</v>
      </c>
      <c r="E123" s="42">
        <v>44581</v>
      </c>
      <c r="F123" s="41" t="str">
        <f>LEFT(клиенты!$B123,LEN(клиенты!$B123)-13)</f>
        <v>+7</v>
      </c>
      <c r="G123" s="41" t="str">
        <f>_xlfn.XLOOKUP(клиенты!$F123,'коды стран'!$B$2:$B$7,'коды стран'!$A$2:$A$7,"не найдено",0)</f>
        <v>Россия</v>
      </c>
      <c r="H123" s="42">
        <f>_xlfn.MAXIFS(Продажи[дата создания чека],Продажи[id клиента],A123)</f>
        <v>45314</v>
      </c>
      <c r="I123" s="59">
        <f t="shared" si="2"/>
        <v>24.082135523613964</v>
      </c>
      <c r="J123" s="41" t="str">
        <f>IF(LEN(C123) - LEN(SUBSTITUTE(C123," ",""))&lt;3,C123,RIGHT(C123,LEN(C123)-FIND(" ",клиенты!$C123,1)))</f>
        <v>Тимофеева Анастасия Натановна</v>
      </c>
      <c r="K123" s="41" t="str">
        <f t="shared" si="3"/>
        <v>Анастасия Натановна Тимофеева</v>
      </c>
      <c r="L123" s="41" t="str">
        <f>LEFT(клиенты!$K123,FIND(" ",клиенты!$K123,1)-1)</f>
        <v>Анастасия</v>
      </c>
      <c r="M123" s="41" t="str">
        <f>MID(K123,FIND(" ",клиенты!$K123,1)+1,(FIND(" ",клиенты!$K123,FIND(" ",клиенты!$K123,1)+1)-1)-FIND(" ",клиенты!$K123,1))</f>
        <v>Натановна</v>
      </c>
      <c r="N123" s="41" t="str">
        <f>RIGHT(K123,LEN(K123)-FIND(" ",клиенты!$K123,FIND(" ",клиенты!$K123,1)+1))</f>
        <v>Тимофеева</v>
      </c>
    </row>
    <row r="124" spans="1:14" x14ac:dyDescent="0.25">
      <c r="A124" s="43">
        <v>437</v>
      </c>
      <c r="B124" s="44" t="s">
        <v>765</v>
      </c>
      <c r="C124" s="44" t="s">
        <v>764</v>
      </c>
      <c r="D124" s="44" t="s">
        <v>140</v>
      </c>
      <c r="E124" s="45">
        <v>44576</v>
      </c>
      <c r="F124" s="44" t="str">
        <f>LEFT(клиенты!$B124,LEN(клиенты!$B124)-13)</f>
        <v>+998</v>
      </c>
      <c r="G124" s="44" t="str">
        <f>_xlfn.XLOOKUP(клиенты!$F124,'коды стран'!$B$2:$B$7,'коды стран'!$A$2:$A$7,"не найдено",0)</f>
        <v>Узбекистан</v>
      </c>
      <c r="H124" s="45">
        <f>_xlfn.MAXIFS(Продажи[дата создания чека],Продажи[id клиента],A124)</f>
        <v>45434</v>
      </c>
      <c r="I124" s="60">
        <f t="shared" si="2"/>
        <v>28.188911704312115</v>
      </c>
      <c r="J124" s="44" t="str">
        <f>IF(LEN(C124) - LEN(SUBSTITUTE(C124," ",""))&lt;3,C124,RIGHT(C124,LEN(C124)-FIND(" ",клиенты!$C124,1)))</f>
        <v>Мария Кузьминична Борисова</v>
      </c>
      <c r="K124" s="44" t="str">
        <f t="shared" si="3"/>
        <v>Мария Кузьминична Борисова</v>
      </c>
      <c r="L124" s="44" t="str">
        <f>LEFT(клиенты!$K124,FIND(" ",клиенты!$K124,1)-1)</f>
        <v>Мария</v>
      </c>
      <c r="M124" s="44" t="str">
        <f>MID(K124,FIND(" ",клиенты!$K124,1)+1,(FIND(" ",клиенты!$K124,FIND(" ",клиенты!$K124,1)+1)-1)-FIND(" ",клиенты!$K124,1))</f>
        <v>Кузьминична</v>
      </c>
      <c r="N124" s="44" t="str">
        <f>RIGHT(K124,LEN(K124)-FIND(" ",клиенты!$K124,FIND(" ",клиенты!$K124,1)+1))</f>
        <v>Борисова</v>
      </c>
    </row>
    <row r="125" spans="1:14" x14ac:dyDescent="0.25">
      <c r="A125" s="40">
        <v>450</v>
      </c>
      <c r="B125" s="41" t="s">
        <v>763</v>
      </c>
      <c r="C125" s="41" t="s">
        <v>762</v>
      </c>
      <c r="D125" s="41" t="s">
        <v>143</v>
      </c>
      <c r="E125" s="42">
        <v>44619</v>
      </c>
      <c r="F125" s="41" t="str">
        <f>LEFT(клиенты!$B125,LEN(клиенты!$B125)-13)</f>
        <v>+7</v>
      </c>
      <c r="G125" s="41" t="str">
        <f>_xlfn.XLOOKUP(клиенты!$F125,'коды стран'!$B$2:$B$7,'коды стран'!$A$2:$A$7,"не найдено",0)</f>
        <v>Россия</v>
      </c>
      <c r="H125" s="42">
        <f>_xlfn.MAXIFS(Продажи[дата создания чека],Продажи[id клиента],A125)</f>
        <v>45247</v>
      </c>
      <c r="I125" s="59">
        <f t="shared" si="2"/>
        <v>20.632443531827516</v>
      </c>
      <c r="J125" s="41" t="str">
        <f>IF(LEN(C125) - LEN(SUBSTITUTE(C125," ",""))&lt;3,C125,RIGHT(C125,LEN(C125)-FIND(" ",клиенты!$C125,1)))</f>
        <v>Самуил Зиновьевич Фокин</v>
      </c>
      <c r="K125" s="41" t="str">
        <f t="shared" si="3"/>
        <v>Самуил Зиновьевич Фокин</v>
      </c>
      <c r="L125" s="41" t="str">
        <f>LEFT(клиенты!$K125,FIND(" ",клиенты!$K125,1)-1)</f>
        <v>Самуил</v>
      </c>
      <c r="M125" s="41" t="str">
        <f>MID(K125,FIND(" ",клиенты!$K125,1)+1,(FIND(" ",клиенты!$K125,FIND(" ",клиенты!$K125,1)+1)-1)-FIND(" ",клиенты!$K125,1))</f>
        <v>Зиновьевич</v>
      </c>
      <c r="N125" s="41" t="str">
        <f>RIGHT(K125,LEN(K125)-FIND(" ",клиенты!$K125,FIND(" ",клиенты!$K125,1)+1))</f>
        <v>Фокин</v>
      </c>
    </row>
    <row r="126" spans="1:14" x14ac:dyDescent="0.25">
      <c r="A126" s="43">
        <v>136</v>
      </c>
      <c r="B126" s="44" t="s">
        <v>761</v>
      </c>
      <c r="C126" s="44" t="s">
        <v>760</v>
      </c>
      <c r="D126" s="44" t="s">
        <v>143</v>
      </c>
      <c r="E126" s="45">
        <v>44860</v>
      </c>
      <c r="F126" s="44" t="str">
        <f>LEFT(клиенты!$B126,LEN(клиенты!$B126)-13)</f>
        <v>+380</v>
      </c>
      <c r="G126" s="44" t="str">
        <f>_xlfn.XLOOKUP(клиенты!$F126,'коды стран'!$B$2:$B$7,'коды стран'!$A$2:$A$7,"не найдено",0)</f>
        <v>Украина</v>
      </c>
      <c r="H126" s="45">
        <f>_xlfn.MAXIFS(Продажи[дата создания чека],Продажи[id клиента],A126)</f>
        <v>45385</v>
      </c>
      <c r="I126" s="60">
        <f t="shared" si="2"/>
        <v>17.248459958932237</v>
      </c>
      <c r="J126" s="44" t="str">
        <f>IF(LEN(C126) - LEN(SUBSTITUTE(C126," ",""))&lt;3,C126,RIGHT(C126,LEN(C126)-FIND(" ",клиенты!$C126,1)))</f>
        <v>Зайцев Ефрем Даниилович</v>
      </c>
      <c r="K126" s="44" t="str">
        <f t="shared" si="3"/>
        <v>Ефрем Даниилович Зайцев</v>
      </c>
      <c r="L126" s="44" t="str">
        <f>LEFT(клиенты!$K126,FIND(" ",клиенты!$K126,1)-1)</f>
        <v>Ефрем</v>
      </c>
      <c r="M126" s="44" t="str">
        <f>MID(K126,FIND(" ",клиенты!$K126,1)+1,(FIND(" ",клиенты!$K126,FIND(" ",клиенты!$K126,1)+1)-1)-FIND(" ",клиенты!$K126,1))</f>
        <v>Даниилович</v>
      </c>
      <c r="N126" s="44" t="str">
        <f>RIGHT(K126,LEN(K126)-FIND(" ",клиенты!$K126,FIND(" ",клиенты!$K126,1)+1))</f>
        <v>Зайцев</v>
      </c>
    </row>
    <row r="127" spans="1:14" x14ac:dyDescent="0.25">
      <c r="A127" s="40">
        <v>61</v>
      </c>
      <c r="B127" s="41" t="s">
        <v>759</v>
      </c>
      <c r="C127" s="41" t="s">
        <v>758</v>
      </c>
      <c r="D127" s="41" t="s">
        <v>140</v>
      </c>
      <c r="E127" s="42">
        <v>44769</v>
      </c>
      <c r="F127" s="41" t="str">
        <f>LEFT(клиенты!$B127,LEN(клиенты!$B127)-13)</f>
        <v>+992</v>
      </c>
      <c r="G127" s="41" t="str">
        <f>_xlfn.XLOOKUP(клиенты!$F127,'коды стран'!$B$2:$B$7,'коды стран'!$A$2:$A$7,"не найдено",0)</f>
        <v>Таджикистан</v>
      </c>
      <c r="H127" s="42">
        <f>_xlfn.MAXIFS(Продажи[дата создания чека],Продажи[id клиента],A127)</f>
        <v>45121</v>
      </c>
      <c r="I127" s="59">
        <f t="shared" si="2"/>
        <v>11.564681724845997</v>
      </c>
      <c r="J127" s="41" t="str">
        <f>IF(LEN(C127) - LEN(SUBSTITUTE(C127," ",""))&lt;3,C127,RIGHT(C127,LEN(C127)-FIND(" ",клиенты!$C127,1)))</f>
        <v>Арсений Вилорович Лобанов</v>
      </c>
      <c r="K127" s="41" t="str">
        <f t="shared" si="3"/>
        <v>Арсений Вилорович Лобанов</v>
      </c>
      <c r="L127" s="41" t="str">
        <f>LEFT(клиенты!$K127,FIND(" ",клиенты!$K127,1)-1)</f>
        <v>Арсений</v>
      </c>
      <c r="M127" s="41" t="str">
        <f>MID(K127,FIND(" ",клиенты!$K127,1)+1,(FIND(" ",клиенты!$K127,FIND(" ",клиенты!$K127,1)+1)-1)-FIND(" ",клиенты!$K127,1))</f>
        <v>Вилорович</v>
      </c>
      <c r="N127" s="41" t="str">
        <f>RIGHT(K127,LEN(K127)-FIND(" ",клиенты!$K127,FIND(" ",клиенты!$K127,1)+1))</f>
        <v>Лобанов</v>
      </c>
    </row>
    <row r="128" spans="1:14" x14ac:dyDescent="0.25">
      <c r="A128" s="43">
        <v>364</v>
      </c>
      <c r="B128" s="44" t="s">
        <v>757</v>
      </c>
      <c r="C128" s="44" t="s">
        <v>756</v>
      </c>
      <c r="D128" s="44" t="s">
        <v>143</v>
      </c>
      <c r="E128" s="45">
        <v>44883</v>
      </c>
      <c r="F128" s="44" t="str">
        <f>LEFT(клиенты!$B128,LEN(клиенты!$B128)-13)</f>
        <v>+7</v>
      </c>
      <c r="G128" s="44" t="str">
        <f>_xlfn.XLOOKUP(клиенты!$F128,'коды стран'!$B$2:$B$7,'коды стран'!$A$2:$A$7,"не найдено",0)</f>
        <v>Россия</v>
      </c>
      <c r="H128" s="45">
        <f>_xlfn.MAXIFS(Продажи[дата создания чека],Продажи[id клиента],A128)</f>
        <v>45344</v>
      </c>
      <c r="I128" s="60">
        <f t="shared" si="2"/>
        <v>15.145790554414784</v>
      </c>
      <c r="J128" s="44" t="str">
        <f>IF(LEN(C128) - LEN(SUBSTITUTE(C128," ",""))&lt;3,C128,RIGHT(C128,LEN(C128)-FIND(" ",клиенты!$C128,1)))</f>
        <v>Родионова Евпраксия Олеговна</v>
      </c>
      <c r="K128" s="44" t="str">
        <f t="shared" si="3"/>
        <v>Евпраксия Олеговна Родионова</v>
      </c>
      <c r="L128" s="44" t="str">
        <f>LEFT(клиенты!$K128,FIND(" ",клиенты!$K128,1)-1)</f>
        <v>Евпраксия</v>
      </c>
      <c r="M128" s="44" t="str">
        <f>MID(K128,FIND(" ",клиенты!$K128,1)+1,(FIND(" ",клиенты!$K128,FIND(" ",клиенты!$K128,1)+1)-1)-FIND(" ",клиенты!$K128,1))</f>
        <v>Олеговна</v>
      </c>
      <c r="N128" s="44" t="str">
        <f>RIGHT(K128,LEN(K128)-FIND(" ",клиенты!$K128,FIND(" ",клиенты!$K128,1)+1))</f>
        <v>Родионова</v>
      </c>
    </row>
    <row r="129" spans="1:14" x14ac:dyDescent="0.25">
      <c r="A129" s="40">
        <v>496</v>
      </c>
      <c r="B129" s="41" t="s">
        <v>755</v>
      </c>
      <c r="C129" s="41" t="s">
        <v>754</v>
      </c>
      <c r="D129" s="41" t="s">
        <v>143</v>
      </c>
      <c r="E129" s="42">
        <v>44867</v>
      </c>
      <c r="F129" s="41" t="str">
        <f>LEFT(клиенты!$B129,LEN(клиенты!$B129)-13)</f>
        <v>+380</v>
      </c>
      <c r="G129" s="41" t="str">
        <f>_xlfn.XLOOKUP(клиенты!$F129,'коды стран'!$B$2:$B$7,'коды стран'!$A$2:$A$7,"не найдено",0)</f>
        <v>Украина</v>
      </c>
      <c r="H129" s="42">
        <f>_xlfn.MAXIFS(Продажи[дата создания чека],Продажи[id клиента],A129)</f>
        <v>45378</v>
      </c>
      <c r="I129" s="59">
        <f t="shared" si="2"/>
        <v>16.788501026694046</v>
      </c>
      <c r="J129" s="41" t="str">
        <f>IF(LEN(C129) - LEN(SUBSTITUTE(C129," ",""))&lt;3,C129,RIGHT(C129,LEN(C129)-FIND(" ",клиенты!$C129,1)))</f>
        <v>Вишняков Фома Викентьевич</v>
      </c>
      <c r="K129" s="41" t="str">
        <f t="shared" si="3"/>
        <v>Фома Викентьевич Вишняков</v>
      </c>
      <c r="L129" s="41" t="str">
        <f>LEFT(клиенты!$K129,FIND(" ",клиенты!$K129,1)-1)</f>
        <v>Фома</v>
      </c>
      <c r="M129" s="41" t="str">
        <f>MID(K129,FIND(" ",клиенты!$K129,1)+1,(FIND(" ",клиенты!$K129,FIND(" ",клиенты!$K129,1)+1)-1)-FIND(" ",клиенты!$K129,1))</f>
        <v>Викентьевич</v>
      </c>
      <c r="N129" s="41" t="str">
        <f>RIGHT(K129,LEN(K129)-FIND(" ",клиенты!$K129,FIND(" ",клиенты!$K129,1)+1))</f>
        <v>Вишняков</v>
      </c>
    </row>
    <row r="130" spans="1:14" x14ac:dyDescent="0.25">
      <c r="A130" s="43">
        <v>464</v>
      </c>
      <c r="B130" s="44" t="s">
        <v>753</v>
      </c>
      <c r="C130" s="44" t="s">
        <v>752</v>
      </c>
      <c r="D130" s="44" t="s">
        <v>140</v>
      </c>
      <c r="E130" s="45">
        <v>44827</v>
      </c>
      <c r="F130" s="44" t="str">
        <f>LEFT(клиенты!$B130,LEN(клиенты!$B130)-13)</f>
        <v>+7</v>
      </c>
      <c r="G130" s="44" t="str">
        <f>_xlfn.XLOOKUP(клиенты!$F130,'коды стран'!$B$2:$B$7,'коды стран'!$A$2:$A$7,"не найдено",0)</f>
        <v>Россия</v>
      </c>
      <c r="H130" s="45">
        <f>_xlfn.MAXIFS(Продажи[дата создания чека],Продажи[id клиента],A130)</f>
        <v>45372</v>
      </c>
      <c r="I130" s="60">
        <f t="shared" si="2"/>
        <v>17.905544147843944</v>
      </c>
      <c r="J130" s="44" t="str">
        <f>IF(LEN(C130) - LEN(SUBSTITUTE(C130," ",""))&lt;3,C130,RIGHT(C130,LEN(C130)-FIND(" ",клиенты!$C130,1)))</f>
        <v>Носкова Ольга Ждановна</v>
      </c>
      <c r="K130" s="44" t="str">
        <f t="shared" si="3"/>
        <v>Ольга Ждановна Носкова</v>
      </c>
      <c r="L130" s="44" t="str">
        <f>LEFT(клиенты!$K130,FIND(" ",клиенты!$K130,1)-1)</f>
        <v>Ольга</v>
      </c>
      <c r="M130" s="44" t="str">
        <f>MID(K130,FIND(" ",клиенты!$K130,1)+1,(FIND(" ",клиенты!$K130,FIND(" ",клиенты!$K130,1)+1)-1)-FIND(" ",клиенты!$K130,1))</f>
        <v>Ждановна</v>
      </c>
      <c r="N130" s="44" t="str">
        <f>RIGHT(K130,LEN(K130)-FIND(" ",клиенты!$K130,FIND(" ",клиенты!$K130,1)+1))</f>
        <v>Носкова</v>
      </c>
    </row>
    <row r="131" spans="1:14" x14ac:dyDescent="0.25">
      <c r="A131" s="40">
        <v>419</v>
      </c>
      <c r="B131" s="41" t="s">
        <v>751</v>
      </c>
      <c r="C131" s="41" t="s">
        <v>750</v>
      </c>
      <c r="D131" s="41" t="s">
        <v>143</v>
      </c>
      <c r="E131" s="42">
        <v>44869</v>
      </c>
      <c r="F131" s="41" t="str">
        <f>LEFT(клиенты!$B131,LEN(клиенты!$B131)-13)</f>
        <v>+992</v>
      </c>
      <c r="G131" s="41" t="str">
        <f>_xlfn.XLOOKUP(клиенты!$F131,'коды стран'!$B$2:$B$7,'коды стран'!$A$2:$A$7,"не найдено",0)</f>
        <v>Таджикистан</v>
      </c>
      <c r="H131" s="42">
        <f>_xlfn.MAXIFS(Продажи[дата создания чека],Продажи[id клиента],A131)</f>
        <v>45401</v>
      </c>
      <c r="I131" s="59">
        <f t="shared" ref="I131:I194" si="4">IFERROR((H131-E131)/30.4375,0)</f>
        <v>17.478439425051334</v>
      </c>
      <c r="J131" s="41" t="str">
        <f>IF(LEN(C131) - LEN(SUBSTITUTE(C131," ",""))&lt;3,C131,RIGHT(C131,LEN(C131)-FIND(" ",клиенты!$C131,1)))</f>
        <v>Жданов Аверьян Валерьевич</v>
      </c>
      <c r="K131" s="41" t="str">
        <f t="shared" ref="K131:K194" si="5">IF(OR(
    RIGHT(MID(C131,FIND(" ",C131)+1,FIND(" ",C131,FIND(" ",C131)+1)-FIND(" ",C131)-1),2)="ич",
    RIGHT(MID(C131,FIND(" ",C131)+1,FIND(" ",C131,FIND(" ",C131)+1)-FIND(" ",C131)-1),3)="вна",
    RIGHT(MID(C131,FIND(" ",C131)+1,FIND(" ",C131,FIND(" ",C131)+1)-FIND(" ",C131)-1),3)="чна"
),
C131,
MID(C131,FIND(" ",C131)+1,FIND(" ",C131,FIND(" ",C131)+1)-FIND(" ",C131)-1)&amp;" "&amp;
RIGHT(C131,LEN(C131)-FIND("☐",SUBSTITUTE(C131," ","☐",2)))&amp;" "&amp;
LEFT(C131,FIND(" ",C131)-1)
)</f>
        <v>Аверьян Валерьевич Жданов</v>
      </c>
      <c r="L131" s="41" t="str">
        <f>LEFT(клиенты!$K131,FIND(" ",клиенты!$K131,1)-1)</f>
        <v>Аверьян</v>
      </c>
      <c r="M131" s="41" t="str">
        <f>MID(K131,FIND(" ",клиенты!$K131,1)+1,(FIND(" ",клиенты!$K131,FIND(" ",клиенты!$K131,1)+1)-1)-FIND(" ",клиенты!$K131,1))</f>
        <v>Валерьевич</v>
      </c>
      <c r="N131" s="41" t="str">
        <f>RIGHT(K131,LEN(K131)-FIND(" ",клиенты!$K131,FIND(" ",клиенты!$K131,1)+1))</f>
        <v>Жданов</v>
      </c>
    </row>
    <row r="132" spans="1:14" x14ac:dyDescent="0.25">
      <c r="A132" s="43">
        <v>247</v>
      </c>
      <c r="B132" s="44" t="s">
        <v>749</v>
      </c>
      <c r="C132" s="44" t="s">
        <v>748</v>
      </c>
      <c r="D132" s="44" t="s">
        <v>143</v>
      </c>
      <c r="E132" s="45">
        <v>44762</v>
      </c>
      <c r="F132" s="44" t="str">
        <f>LEFT(клиенты!$B132,LEN(клиенты!$B132)-13)</f>
        <v>+998</v>
      </c>
      <c r="G132" s="44" t="str">
        <f>_xlfn.XLOOKUP(клиенты!$F132,'коды стран'!$B$2:$B$7,'коды стран'!$A$2:$A$7,"не найдено",0)</f>
        <v>Узбекистан</v>
      </c>
      <c r="H132" s="45">
        <f>_xlfn.MAXIFS(Продажи[дата создания чека],Продажи[id клиента],A132)</f>
        <v>45356</v>
      </c>
      <c r="I132" s="60">
        <f t="shared" si="4"/>
        <v>19.515400410677618</v>
      </c>
      <c r="J132" s="44" t="str">
        <f>IF(LEN(C132) - LEN(SUBSTITUTE(C132," ",""))&lt;3,C132,RIGHT(C132,LEN(C132)-FIND(" ",клиенты!$C132,1)))</f>
        <v>Филиппов Павел Игнатович</v>
      </c>
      <c r="K132" s="44" t="str">
        <f t="shared" si="5"/>
        <v>Павел Игнатович Филиппов</v>
      </c>
      <c r="L132" s="44" t="str">
        <f>LEFT(клиенты!$K132,FIND(" ",клиенты!$K132,1)-1)</f>
        <v>Павел</v>
      </c>
      <c r="M132" s="44" t="str">
        <f>MID(K132,FIND(" ",клиенты!$K132,1)+1,(FIND(" ",клиенты!$K132,FIND(" ",клиенты!$K132,1)+1)-1)-FIND(" ",клиенты!$K132,1))</f>
        <v>Игнатович</v>
      </c>
      <c r="N132" s="44" t="str">
        <f>RIGHT(K132,LEN(K132)-FIND(" ",клиенты!$K132,FIND(" ",клиенты!$K132,1)+1))</f>
        <v>Филиппов</v>
      </c>
    </row>
    <row r="133" spans="1:14" x14ac:dyDescent="0.25">
      <c r="A133" s="40">
        <v>73</v>
      </c>
      <c r="B133" s="41" t="s">
        <v>747</v>
      </c>
      <c r="C133" s="41" t="s">
        <v>746</v>
      </c>
      <c r="D133" s="41" t="s">
        <v>143</v>
      </c>
      <c r="E133" s="42">
        <v>44665</v>
      </c>
      <c r="F133" s="41" t="str">
        <f>LEFT(клиенты!$B133,LEN(клиенты!$B133)-13)</f>
        <v>+380</v>
      </c>
      <c r="G133" s="41" t="str">
        <f>_xlfn.XLOOKUP(клиенты!$F133,'коды стран'!$B$2:$B$7,'коды стран'!$A$2:$A$7,"не найдено",0)</f>
        <v>Украина</v>
      </c>
      <c r="H133" s="42">
        <f>_xlfn.MAXIFS(Продажи[дата создания чека],Продажи[id клиента],A133)</f>
        <v>45326</v>
      </c>
      <c r="I133" s="59">
        <f t="shared" si="4"/>
        <v>21.716632443531829</v>
      </c>
      <c r="J133" s="41" t="str">
        <f>IF(LEN(C133) - LEN(SUBSTITUTE(C133," ",""))&lt;3,C133,RIGHT(C133,LEN(C133)-FIND(" ",клиенты!$C133,1)))</f>
        <v>Лапин Эрнест Антипович</v>
      </c>
      <c r="K133" s="41" t="str">
        <f t="shared" si="5"/>
        <v>Эрнест Антипович Лапин</v>
      </c>
      <c r="L133" s="41" t="str">
        <f>LEFT(клиенты!$K133,FIND(" ",клиенты!$K133,1)-1)</f>
        <v>Эрнест</v>
      </c>
      <c r="M133" s="41" t="str">
        <f>MID(K133,FIND(" ",клиенты!$K133,1)+1,(FIND(" ",клиенты!$K133,FIND(" ",клиенты!$K133,1)+1)-1)-FIND(" ",клиенты!$K133,1))</f>
        <v>Антипович</v>
      </c>
      <c r="N133" s="41" t="str">
        <f>RIGHT(K133,LEN(K133)-FIND(" ",клиенты!$K133,FIND(" ",клиенты!$K133,1)+1))</f>
        <v>Лапин</v>
      </c>
    </row>
    <row r="134" spans="1:14" x14ac:dyDescent="0.25">
      <c r="A134" s="43">
        <v>139</v>
      </c>
      <c r="B134" s="44" t="s">
        <v>745</v>
      </c>
      <c r="C134" s="44" t="s">
        <v>744</v>
      </c>
      <c r="D134" s="44" t="s">
        <v>143</v>
      </c>
      <c r="E134" s="45">
        <v>44648</v>
      </c>
      <c r="F134" s="44" t="str">
        <f>LEFT(клиенты!$B134,LEN(клиенты!$B134)-13)</f>
        <v>+375</v>
      </c>
      <c r="G134" s="44" t="str">
        <f>_xlfn.XLOOKUP(клиенты!$F134,'коды стран'!$B$2:$B$7,'коды стран'!$A$2:$A$7,"не найдено",0)</f>
        <v>Беларусь</v>
      </c>
      <c r="H134" s="45">
        <f>_xlfn.MAXIFS(Продажи[дата создания чека],Продажи[id клиента],A134)</f>
        <v>45264</v>
      </c>
      <c r="I134" s="60">
        <f t="shared" si="4"/>
        <v>20.238193018480494</v>
      </c>
      <c r="J134" s="44" t="str">
        <f>IF(LEN(C134) - LEN(SUBSTITUTE(C134," ",""))&lt;3,C134,RIGHT(C134,LEN(C134)-FIND(" ",клиенты!$C134,1)))</f>
        <v>Зыкова Таисия Леонидовна</v>
      </c>
      <c r="K134" s="44" t="str">
        <f t="shared" si="5"/>
        <v>Таисия Леонидовна Зыкова</v>
      </c>
      <c r="L134" s="44" t="str">
        <f>LEFT(клиенты!$K134,FIND(" ",клиенты!$K134,1)-1)</f>
        <v>Таисия</v>
      </c>
      <c r="M134" s="44" t="str">
        <f>MID(K134,FIND(" ",клиенты!$K134,1)+1,(FIND(" ",клиенты!$K134,FIND(" ",клиенты!$K134,1)+1)-1)-FIND(" ",клиенты!$K134,1))</f>
        <v>Леонидовна</v>
      </c>
      <c r="N134" s="44" t="str">
        <f>RIGHT(K134,LEN(K134)-FIND(" ",клиенты!$K134,FIND(" ",клиенты!$K134,1)+1))</f>
        <v>Зыкова</v>
      </c>
    </row>
    <row r="135" spans="1:14" x14ac:dyDescent="0.25">
      <c r="A135" s="40">
        <v>258</v>
      </c>
      <c r="B135" s="41" t="s">
        <v>743</v>
      </c>
      <c r="C135" s="41" t="s">
        <v>742</v>
      </c>
      <c r="D135" s="41" t="s">
        <v>143</v>
      </c>
      <c r="E135" s="42">
        <v>44717</v>
      </c>
      <c r="F135" s="41" t="str">
        <f>LEFT(клиенты!$B135,LEN(клиенты!$B135)-13)</f>
        <v>+380</v>
      </c>
      <c r="G135" s="41" t="str">
        <f>_xlfn.XLOOKUP(клиенты!$F135,'коды стран'!$B$2:$B$7,'коды стран'!$A$2:$A$7,"не найдено",0)</f>
        <v>Украина</v>
      </c>
      <c r="H135" s="42">
        <f>_xlfn.MAXIFS(Продажи[дата создания чека],Продажи[id клиента],A135)</f>
        <v>45413</v>
      </c>
      <c r="I135" s="59">
        <f t="shared" si="4"/>
        <v>22.866529774127311</v>
      </c>
      <c r="J135" s="41" t="str">
        <f>IF(LEN(C135) - LEN(SUBSTITUTE(C135," ",""))&lt;3,C135,RIGHT(C135,LEN(C135)-FIND(" ",клиенты!$C135,1)))</f>
        <v>Василиса Леоновна Назарова</v>
      </c>
      <c r="K135" s="41" t="str">
        <f t="shared" si="5"/>
        <v>Василиса Леоновна Назарова</v>
      </c>
      <c r="L135" s="41" t="str">
        <f>LEFT(клиенты!$K135,FIND(" ",клиенты!$K135,1)-1)</f>
        <v>Василиса</v>
      </c>
      <c r="M135" s="41" t="str">
        <f>MID(K135,FIND(" ",клиенты!$K135,1)+1,(FIND(" ",клиенты!$K135,FIND(" ",клиенты!$K135,1)+1)-1)-FIND(" ",клиенты!$K135,1))</f>
        <v>Леоновна</v>
      </c>
      <c r="N135" s="41" t="str">
        <f>RIGHT(K135,LEN(K135)-FIND(" ",клиенты!$K135,FIND(" ",клиенты!$K135,1)+1))</f>
        <v>Назарова</v>
      </c>
    </row>
    <row r="136" spans="1:14" x14ac:dyDescent="0.25">
      <c r="A136" s="43">
        <v>349</v>
      </c>
      <c r="B136" s="44" t="s">
        <v>741</v>
      </c>
      <c r="C136" s="44" t="s">
        <v>740</v>
      </c>
      <c r="D136" s="44" t="s">
        <v>140</v>
      </c>
      <c r="E136" s="45">
        <v>44673</v>
      </c>
      <c r="F136" s="44" t="str">
        <f>LEFT(клиенты!$B136,LEN(клиенты!$B136)-13)</f>
        <v>+7</v>
      </c>
      <c r="G136" s="44" t="str">
        <f>_xlfn.XLOOKUP(клиенты!$F136,'коды стран'!$B$2:$B$7,'коды стран'!$A$2:$A$7,"не найдено",0)</f>
        <v>Россия</v>
      </c>
      <c r="H136" s="45">
        <f>_xlfn.MAXIFS(Продажи[дата создания чека],Продажи[id клиента],A136)</f>
        <v>44990</v>
      </c>
      <c r="I136" s="60">
        <f t="shared" si="4"/>
        <v>10.414784394250514</v>
      </c>
      <c r="J136" s="44" t="str">
        <f>IF(LEN(C136) - LEN(SUBSTITUTE(C136," ",""))&lt;3,C136,RIGHT(C136,LEN(C136)-FIND(" ",клиенты!$C136,1)))</f>
        <v>Авдеев Филипп Елисеевич</v>
      </c>
      <c r="K136" s="44" t="str">
        <f t="shared" si="5"/>
        <v>Филипп Елисеевич Авдеев</v>
      </c>
      <c r="L136" s="44" t="str">
        <f>LEFT(клиенты!$K136,FIND(" ",клиенты!$K136,1)-1)</f>
        <v>Филипп</v>
      </c>
      <c r="M136" s="44" t="str">
        <f>MID(K136,FIND(" ",клиенты!$K136,1)+1,(FIND(" ",клиенты!$K136,FIND(" ",клиенты!$K136,1)+1)-1)-FIND(" ",клиенты!$K136,1))</f>
        <v>Елисеевич</v>
      </c>
      <c r="N136" s="44" t="str">
        <f>RIGHT(K136,LEN(K136)-FIND(" ",клиенты!$K136,FIND(" ",клиенты!$K136,1)+1))</f>
        <v>Авдеев</v>
      </c>
    </row>
    <row r="137" spans="1:14" x14ac:dyDescent="0.25">
      <c r="A137" s="40">
        <v>325</v>
      </c>
      <c r="B137" s="41" t="s">
        <v>739</v>
      </c>
      <c r="C137" s="41" t="s">
        <v>738</v>
      </c>
      <c r="D137" s="41" t="s">
        <v>140</v>
      </c>
      <c r="E137" s="42">
        <v>44875</v>
      </c>
      <c r="F137" s="41" t="str">
        <f>LEFT(клиенты!$B137,LEN(клиенты!$B137)-13)</f>
        <v>+992</v>
      </c>
      <c r="G137" s="41" t="str">
        <f>_xlfn.XLOOKUP(клиенты!$F137,'коды стран'!$B$2:$B$7,'коды стран'!$A$2:$A$7,"не найдено",0)</f>
        <v>Таджикистан</v>
      </c>
      <c r="H137" s="42">
        <f>_xlfn.MAXIFS(Продажи[дата создания чека],Продажи[id клиента],A137)</f>
        <v>45421</v>
      </c>
      <c r="I137" s="59">
        <f t="shared" si="4"/>
        <v>17.938398357289529</v>
      </c>
      <c r="J137" s="41" t="str">
        <f>IF(LEN(C137) - LEN(SUBSTITUTE(C137," ",""))&lt;3,C137,RIGHT(C137,LEN(C137)-FIND(" ",клиенты!$C137,1)))</f>
        <v>Васильев Милован Георгиевич</v>
      </c>
      <c r="K137" s="41" t="str">
        <f t="shared" si="5"/>
        <v>Милован Георгиевич Васильев</v>
      </c>
      <c r="L137" s="41" t="str">
        <f>LEFT(клиенты!$K137,FIND(" ",клиенты!$K137,1)-1)</f>
        <v>Милован</v>
      </c>
      <c r="M137" s="41" t="str">
        <f>MID(K137,FIND(" ",клиенты!$K137,1)+1,(FIND(" ",клиенты!$K137,FIND(" ",клиенты!$K137,1)+1)-1)-FIND(" ",клиенты!$K137,1))</f>
        <v>Георгиевич</v>
      </c>
      <c r="N137" s="41" t="str">
        <f>RIGHT(K137,LEN(K137)-FIND(" ",клиенты!$K137,FIND(" ",клиенты!$K137,1)+1))</f>
        <v>Васильев</v>
      </c>
    </row>
    <row r="138" spans="1:14" x14ac:dyDescent="0.25">
      <c r="A138" s="43">
        <v>250</v>
      </c>
      <c r="B138" s="44" t="s">
        <v>737</v>
      </c>
      <c r="C138" s="44" t="s">
        <v>736</v>
      </c>
      <c r="D138" s="44" t="s">
        <v>143</v>
      </c>
      <c r="E138" s="45">
        <v>44856</v>
      </c>
      <c r="F138" s="44" t="str">
        <f>LEFT(клиенты!$B138,LEN(клиенты!$B138)-13)</f>
        <v>+7</v>
      </c>
      <c r="G138" s="44" t="str">
        <f>_xlfn.XLOOKUP(клиенты!$F138,'коды стран'!$B$2:$B$7,'коды стран'!$A$2:$A$7,"не найдено",0)</f>
        <v>Россия</v>
      </c>
      <c r="H138" s="45">
        <f>_xlfn.MAXIFS(Продажи[дата создания чека],Продажи[id клиента],A138)</f>
        <v>45202</v>
      </c>
      <c r="I138" s="60">
        <f t="shared" si="4"/>
        <v>11.367556468172484</v>
      </c>
      <c r="J138" s="44" t="str">
        <f>IF(LEN(C138) - LEN(SUBSTITUTE(C138," ",""))&lt;3,C138,RIGHT(C138,LEN(C138)-FIND(" ",клиенты!$C138,1)))</f>
        <v>Копылов Лаврентий Артемьевич</v>
      </c>
      <c r="K138" s="44" t="str">
        <f t="shared" si="5"/>
        <v>Копылов Лаврентий Артемьевич г-н</v>
      </c>
      <c r="L138" s="44" t="str">
        <f>LEFT(клиенты!$K138,FIND(" ",клиенты!$K138,1)-1)</f>
        <v>Копылов</v>
      </c>
      <c r="M138" s="44" t="str">
        <f>MID(K138,FIND(" ",клиенты!$K138,1)+1,(FIND(" ",клиенты!$K138,FIND(" ",клиенты!$K138,1)+1)-1)-FIND(" ",клиенты!$K138,1))</f>
        <v>Лаврентий</v>
      </c>
      <c r="N138" s="44" t="str">
        <f>RIGHT(K138,LEN(K138)-FIND(" ",клиенты!$K138,FIND(" ",клиенты!$K138,1)+1))</f>
        <v>Артемьевич г-н</v>
      </c>
    </row>
    <row r="139" spans="1:14" x14ac:dyDescent="0.25">
      <c r="A139" s="40">
        <v>153</v>
      </c>
      <c r="B139" s="41" t="s">
        <v>735</v>
      </c>
      <c r="C139" s="41" t="s">
        <v>734</v>
      </c>
      <c r="D139" s="41" t="s">
        <v>140</v>
      </c>
      <c r="E139" s="42">
        <v>44802</v>
      </c>
      <c r="F139" s="41" t="str">
        <f>LEFT(клиенты!$B139,LEN(клиенты!$B139)-13)</f>
        <v>+7</v>
      </c>
      <c r="G139" s="41" t="str">
        <f>_xlfn.XLOOKUP(клиенты!$F139,'коды стран'!$B$2:$B$7,'коды стран'!$A$2:$A$7,"не найдено",0)</f>
        <v>Россия</v>
      </c>
      <c r="H139" s="42">
        <f>_xlfn.MAXIFS(Продажи[дата создания чека],Продажи[id клиента],A139)</f>
        <v>45349</v>
      </c>
      <c r="I139" s="59">
        <f t="shared" si="4"/>
        <v>17.971252566735114</v>
      </c>
      <c r="J139" s="41" t="str">
        <f>IF(LEN(C139) - LEN(SUBSTITUTE(C139," ",""))&lt;3,C139,RIGHT(C139,LEN(C139)-FIND(" ",клиенты!$C139,1)))</f>
        <v>Маслов Сократ Анатольевич</v>
      </c>
      <c r="K139" s="41" t="str">
        <f t="shared" si="5"/>
        <v>Сократ Анатольевич Маслов</v>
      </c>
      <c r="L139" s="41" t="str">
        <f>LEFT(клиенты!$K139,FIND(" ",клиенты!$K139,1)-1)</f>
        <v>Сократ</v>
      </c>
      <c r="M139" s="41" t="str">
        <f>MID(K139,FIND(" ",клиенты!$K139,1)+1,(FIND(" ",клиенты!$K139,FIND(" ",клиенты!$K139,1)+1)-1)-FIND(" ",клиенты!$K139,1))</f>
        <v>Анатольевич</v>
      </c>
      <c r="N139" s="41" t="str">
        <f>RIGHT(K139,LEN(K139)-FIND(" ",клиенты!$K139,FIND(" ",клиенты!$K139,1)+1))</f>
        <v>Маслов</v>
      </c>
    </row>
    <row r="140" spans="1:14" x14ac:dyDescent="0.25">
      <c r="A140" s="43">
        <v>286</v>
      </c>
      <c r="B140" s="44" t="s">
        <v>733</v>
      </c>
      <c r="C140" s="44" t="s">
        <v>732</v>
      </c>
      <c r="D140" s="44" t="s">
        <v>140</v>
      </c>
      <c r="E140" s="45">
        <v>44563</v>
      </c>
      <c r="F140" s="44" t="str">
        <f>LEFT(клиенты!$B140,LEN(клиенты!$B140)-13)</f>
        <v>+992</v>
      </c>
      <c r="G140" s="44" t="str">
        <f>_xlfn.XLOOKUP(клиенты!$F140,'коды стран'!$B$2:$B$7,'коды стран'!$A$2:$A$7,"не найдено",0)</f>
        <v>Таджикистан</v>
      </c>
      <c r="H140" s="45">
        <f>_xlfn.MAXIFS(Продажи[дата создания чека],Продажи[id клиента],A140)</f>
        <v>45429</v>
      </c>
      <c r="I140" s="60">
        <f t="shared" si="4"/>
        <v>28.451745379876797</v>
      </c>
      <c r="J140" s="44" t="str">
        <f>IF(LEN(C140) - LEN(SUBSTITUTE(C140," ",""))&lt;3,C140,RIGHT(C140,LEN(C140)-FIND(" ",клиенты!$C140,1)))</f>
        <v>Савельев Федосий Феоктистович</v>
      </c>
      <c r="K140" s="44" t="str">
        <f t="shared" si="5"/>
        <v>Савельев Федосий Феоктистович г-н</v>
      </c>
      <c r="L140" s="44" t="str">
        <f>LEFT(клиенты!$K140,FIND(" ",клиенты!$K140,1)-1)</f>
        <v>Савельев</v>
      </c>
      <c r="M140" s="44" t="str">
        <f>MID(K140,FIND(" ",клиенты!$K140,1)+1,(FIND(" ",клиенты!$K140,FIND(" ",клиенты!$K140,1)+1)-1)-FIND(" ",клиенты!$K140,1))</f>
        <v>Федосий</v>
      </c>
      <c r="N140" s="44" t="str">
        <f>RIGHT(K140,LEN(K140)-FIND(" ",клиенты!$K140,FIND(" ",клиенты!$K140,1)+1))</f>
        <v>Феоктистович г-н</v>
      </c>
    </row>
    <row r="141" spans="1:14" x14ac:dyDescent="0.25">
      <c r="A141" s="40">
        <v>32</v>
      </c>
      <c r="B141" s="41" t="s">
        <v>731</v>
      </c>
      <c r="C141" s="41" t="s">
        <v>730</v>
      </c>
      <c r="D141" s="41" t="s">
        <v>143</v>
      </c>
      <c r="E141" s="42">
        <v>44922</v>
      </c>
      <c r="F141" s="41" t="str">
        <f>LEFT(клиенты!$B141,LEN(клиенты!$B141)-13)</f>
        <v>+998</v>
      </c>
      <c r="G141" s="41" t="str">
        <f>_xlfn.XLOOKUP(клиенты!$F141,'коды стран'!$B$2:$B$7,'коды стран'!$A$2:$A$7,"не найдено",0)</f>
        <v>Узбекистан</v>
      </c>
      <c r="H141" s="42">
        <f>_xlfn.MAXIFS(Продажи[дата создания чека],Продажи[id клиента],A141)</f>
        <v>45183</v>
      </c>
      <c r="I141" s="59">
        <f t="shared" si="4"/>
        <v>8.5749486652977414</v>
      </c>
      <c r="J141" s="41" t="str">
        <f>IF(LEN(C141) - LEN(SUBSTITUTE(C141," ",""))&lt;3,C141,RIGHT(C141,LEN(C141)-FIND(" ",клиенты!$C141,1)))</f>
        <v>Гущин Ипполит Яковлевич</v>
      </c>
      <c r="K141" s="41" t="str">
        <f t="shared" si="5"/>
        <v>Ипполит Яковлевич Гущин</v>
      </c>
      <c r="L141" s="41" t="str">
        <f>LEFT(клиенты!$K141,FIND(" ",клиенты!$K141,1)-1)</f>
        <v>Ипполит</v>
      </c>
      <c r="M141" s="41" t="str">
        <f>MID(K141,FIND(" ",клиенты!$K141,1)+1,(FIND(" ",клиенты!$K141,FIND(" ",клиенты!$K141,1)+1)-1)-FIND(" ",клиенты!$K141,1))</f>
        <v>Яковлевич</v>
      </c>
      <c r="N141" s="41" t="str">
        <f>RIGHT(K141,LEN(K141)-FIND(" ",клиенты!$K141,FIND(" ",клиенты!$K141,1)+1))</f>
        <v>Гущин</v>
      </c>
    </row>
    <row r="142" spans="1:14" x14ac:dyDescent="0.25">
      <c r="A142" s="43">
        <v>49</v>
      </c>
      <c r="B142" s="44" t="s">
        <v>729</v>
      </c>
      <c r="C142" s="44" t="s">
        <v>728</v>
      </c>
      <c r="D142" s="44" t="s">
        <v>143</v>
      </c>
      <c r="E142" s="45">
        <v>44672</v>
      </c>
      <c r="F142" s="44" t="str">
        <f>LEFT(клиенты!$B142,LEN(клиенты!$B142)-13)</f>
        <v>+992</v>
      </c>
      <c r="G142" s="44" t="str">
        <f>_xlfn.XLOOKUP(клиенты!$F142,'коды стран'!$B$2:$B$7,'коды стран'!$A$2:$A$7,"не найдено",0)</f>
        <v>Таджикистан</v>
      </c>
      <c r="H142" s="45">
        <f>_xlfn.MAXIFS(Продажи[дата создания чека],Продажи[id клиента],A142)</f>
        <v>45283</v>
      </c>
      <c r="I142" s="60">
        <f t="shared" si="4"/>
        <v>20.073921971252567</v>
      </c>
      <c r="J142" s="44" t="str">
        <f>IF(LEN(C142) - LEN(SUBSTITUTE(C142," ",""))&lt;3,C142,RIGHT(C142,LEN(C142)-FIND(" ",клиенты!$C142,1)))</f>
        <v>Спиридон Чеславович Абрамов</v>
      </c>
      <c r="K142" s="44" t="str">
        <f t="shared" si="5"/>
        <v>Спиридон Чеславович Абрамов</v>
      </c>
      <c r="L142" s="44" t="str">
        <f>LEFT(клиенты!$K142,FIND(" ",клиенты!$K142,1)-1)</f>
        <v>Спиридон</v>
      </c>
      <c r="M142" s="44" t="str">
        <f>MID(K142,FIND(" ",клиенты!$K142,1)+1,(FIND(" ",клиенты!$K142,FIND(" ",клиенты!$K142,1)+1)-1)-FIND(" ",клиенты!$K142,1))</f>
        <v>Чеславович</v>
      </c>
      <c r="N142" s="44" t="str">
        <f>RIGHT(K142,LEN(K142)-FIND(" ",клиенты!$K142,FIND(" ",клиенты!$K142,1)+1))</f>
        <v>Абрамов</v>
      </c>
    </row>
    <row r="143" spans="1:14" x14ac:dyDescent="0.25">
      <c r="A143" s="40">
        <v>420</v>
      </c>
      <c r="B143" s="41" t="s">
        <v>727</v>
      </c>
      <c r="C143" s="41" t="s">
        <v>726</v>
      </c>
      <c r="D143" s="41" t="s">
        <v>140</v>
      </c>
      <c r="E143" s="42">
        <v>44698</v>
      </c>
      <c r="F143" s="41" t="str">
        <f>LEFT(клиенты!$B143,LEN(клиенты!$B143)-13)</f>
        <v>+380</v>
      </c>
      <c r="G143" s="41" t="str">
        <f>_xlfn.XLOOKUP(клиенты!$F143,'коды стран'!$B$2:$B$7,'коды стран'!$A$2:$A$7,"не найдено",0)</f>
        <v>Украина</v>
      </c>
      <c r="H143" s="42">
        <f>_xlfn.MAXIFS(Продажи[дата создания чека],Продажи[id клиента],A143)</f>
        <v>45202</v>
      </c>
      <c r="I143" s="59">
        <f t="shared" si="4"/>
        <v>16.558521560574949</v>
      </c>
      <c r="J143" s="41" t="str">
        <f>IF(LEN(C143) - LEN(SUBSTITUTE(C143," ",""))&lt;3,C143,RIGHT(C143,LEN(C143)-FIND(" ",клиенты!$C143,1)))</f>
        <v>Тихонова Евфросиния Феликсовна</v>
      </c>
      <c r="K143" s="41" t="str">
        <f t="shared" si="5"/>
        <v>Евфросиния Феликсовна Тихонова</v>
      </c>
      <c r="L143" s="41" t="str">
        <f>LEFT(клиенты!$K143,FIND(" ",клиенты!$K143,1)-1)</f>
        <v>Евфросиния</v>
      </c>
      <c r="M143" s="41" t="str">
        <f>MID(K143,FIND(" ",клиенты!$K143,1)+1,(FIND(" ",клиенты!$K143,FIND(" ",клиенты!$K143,1)+1)-1)-FIND(" ",клиенты!$K143,1))</f>
        <v>Феликсовна</v>
      </c>
      <c r="N143" s="41" t="str">
        <f>RIGHT(K143,LEN(K143)-FIND(" ",клиенты!$K143,FIND(" ",клиенты!$K143,1)+1))</f>
        <v>Тихонова</v>
      </c>
    </row>
    <row r="144" spans="1:14" x14ac:dyDescent="0.25">
      <c r="A144" s="43">
        <v>202</v>
      </c>
      <c r="B144" s="44" t="s">
        <v>725</v>
      </c>
      <c r="C144" s="44" t="s">
        <v>724</v>
      </c>
      <c r="D144" s="44" t="s">
        <v>140</v>
      </c>
      <c r="E144" s="45">
        <v>44766</v>
      </c>
      <c r="F144" s="44" t="str">
        <f>LEFT(клиенты!$B144,LEN(клиенты!$B144)-13)</f>
        <v>+375</v>
      </c>
      <c r="G144" s="44" t="str">
        <f>_xlfn.XLOOKUP(клиенты!$F144,'коды стран'!$B$2:$B$7,'коды стран'!$A$2:$A$7,"не найдено",0)</f>
        <v>Беларусь</v>
      </c>
      <c r="H144" s="45">
        <f>_xlfn.MAXIFS(Продажи[дата создания чека],Продажи[id клиента],A144)</f>
        <v>45356</v>
      </c>
      <c r="I144" s="60">
        <f t="shared" si="4"/>
        <v>19.383983572895279</v>
      </c>
      <c r="J144" s="44" t="str">
        <f>IF(LEN(C144) - LEN(SUBSTITUTE(C144," ",""))&lt;3,C144,RIGHT(C144,LEN(C144)-FIND(" ",клиенты!$C144,1)))</f>
        <v>Сазонова Оксана Александровна</v>
      </c>
      <c r="K144" s="44" t="str">
        <f t="shared" si="5"/>
        <v>Оксана Александровна Сазонова</v>
      </c>
      <c r="L144" s="44" t="str">
        <f>LEFT(клиенты!$K144,FIND(" ",клиенты!$K144,1)-1)</f>
        <v>Оксана</v>
      </c>
      <c r="M144" s="44" t="str">
        <f>MID(K144,FIND(" ",клиенты!$K144,1)+1,(FIND(" ",клиенты!$K144,FIND(" ",клиенты!$K144,1)+1)-1)-FIND(" ",клиенты!$K144,1))</f>
        <v>Александровна</v>
      </c>
      <c r="N144" s="44" t="str">
        <f>RIGHT(K144,LEN(K144)-FIND(" ",клиенты!$K144,FIND(" ",клиенты!$K144,1)+1))</f>
        <v>Сазонова</v>
      </c>
    </row>
    <row r="145" spans="1:14" x14ac:dyDescent="0.25">
      <c r="A145" s="40">
        <v>37</v>
      </c>
      <c r="B145" s="41" t="s">
        <v>723</v>
      </c>
      <c r="C145" s="41" t="s">
        <v>722</v>
      </c>
      <c r="D145" s="41" t="s">
        <v>143</v>
      </c>
      <c r="E145" s="42">
        <v>44728</v>
      </c>
      <c r="F145" s="41" t="str">
        <f>LEFT(клиенты!$B145,LEN(клиенты!$B145)-13)</f>
        <v>+380</v>
      </c>
      <c r="G145" s="41" t="str">
        <f>_xlfn.XLOOKUP(клиенты!$F145,'коды стран'!$B$2:$B$7,'коды стран'!$A$2:$A$7,"не найдено",0)</f>
        <v>Украина</v>
      </c>
      <c r="H145" s="42">
        <f>_xlfn.MAXIFS(Продажи[дата создания чека],Продажи[id клиента],A145)</f>
        <v>45094</v>
      </c>
      <c r="I145" s="59">
        <f t="shared" si="4"/>
        <v>12.024640657084189</v>
      </c>
      <c r="J145" s="41" t="str">
        <f>IF(LEN(C145) - LEN(SUBSTITUTE(C145," ",""))&lt;3,C145,RIGHT(C145,LEN(C145)-FIND(" ",клиенты!$C145,1)))</f>
        <v>Кулакова Нина Семеновна</v>
      </c>
      <c r="K145" s="41" t="str">
        <f t="shared" si="5"/>
        <v>Нина Семеновна Кулакова</v>
      </c>
      <c r="L145" s="41" t="str">
        <f>LEFT(клиенты!$K145,FIND(" ",клиенты!$K145,1)-1)</f>
        <v>Нина</v>
      </c>
      <c r="M145" s="41" t="str">
        <f>MID(K145,FIND(" ",клиенты!$K145,1)+1,(FIND(" ",клиенты!$K145,FIND(" ",клиенты!$K145,1)+1)-1)-FIND(" ",клиенты!$K145,1))</f>
        <v>Семеновна</v>
      </c>
      <c r="N145" s="41" t="str">
        <f>RIGHT(K145,LEN(K145)-FIND(" ",клиенты!$K145,FIND(" ",клиенты!$K145,1)+1))</f>
        <v>Кулакова</v>
      </c>
    </row>
    <row r="146" spans="1:14" x14ac:dyDescent="0.25">
      <c r="A146" s="43">
        <v>366</v>
      </c>
      <c r="B146" s="44" t="s">
        <v>721</v>
      </c>
      <c r="C146" s="44" t="s">
        <v>720</v>
      </c>
      <c r="D146" s="44" t="s">
        <v>140</v>
      </c>
      <c r="E146" s="45">
        <v>44827</v>
      </c>
      <c r="F146" s="44" t="str">
        <f>LEFT(клиенты!$B146,LEN(клиенты!$B146)-13)</f>
        <v>+998</v>
      </c>
      <c r="G146" s="44" t="str">
        <f>_xlfn.XLOOKUP(клиенты!$F146,'коды стран'!$B$2:$B$7,'коды стран'!$A$2:$A$7,"не найдено",0)</f>
        <v>Узбекистан</v>
      </c>
      <c r="H146" s="45">
        <f>_xlfn.MAXIFS(Продажи[дата создания чека],Продажи[id клиента],A146)</f>
        <v>45289</v>
      </c>
      <c r="I146" s="60">
        <f t="shared" si="4"/>
        <v>15.178644763860369</v>
      </c>
      <c r="J146" s="44" t="str">
        <f>IF(LEN(C146) - LEN(SUBSTITUTE(C146," ",""))&lt;3,C146,RIGHT(C146,LEN(C146)-FIND(" ",клиенты!$C146,1)))</f>
        <v>Анна Альбертовна Никифорова</v>
      </c>
      <c r="K146" s="44" t="str">
        <f t="shared" si="5"/>
        <v>Анна Альбертовна Никифорова</v>
      </c>
      <c r="L146" s="44" t="str">
        <f>LEFT(клиенты!$K146,FIND(" ",клиенты!$K146,1)-1)</f>
        <v>Анна</v>
      </c>
      <c r="M146" s="44" t="str">
        <f>MID(K146,FIND(" ",клиенты!$K146,1)+1,(FIND(" ",клиенты!$K146,FIND(" ",клиенты!$K146,1)+1)-1)-FIND(" ",клиенты!$K146,1))</f>
        <v>Альбертовна</v>
      </c>
      <c r="N146" s="44" t="str">
        <f>RIGHT(K146,LEN(K146)-FIND(" ",клиенты!$K146,FIND(" ",клиенты!$K146,1)+1))</f>
        <v>Никифорова</v>
      </c>
    </row>
    <row r="147" spans="1:14" x14ac:dyDescent="0.25">
      <c r="A147" s="40">
        <v>434</v>
      </c>
      <c r="B147" s="41" t="s">
        <v>719</v>
      </c>
      <c r="C147" s="41" t="s">
        <v>718</v>
      </c>
      <c r="D147" s="41" t="s">
        <v>140</v>
      </c>
      <c r="E147" s="42">
        <v>44730</v>
      </c>
      <c r="F147" s="41" t="str">
        <f>LEFT(клиенты!$B147,LEN(клиенты!$B147)-13)</f>
        <v>+380</v>
      </c>
      <c r="G147" s="41" t="str">
        <f>_xlfn.XLOOKUP(клиенты!$F147,'коды стран'!$B$2:$B$7,'коды стран'!$A$2:$A$7,"не найдено",0)</f>
        <v>Украина</v>
      </c>
      <c r="H147" s="42">
        <f>_xlfn.MAXIFS(Продажи[дата создания чека],Продажи[id клиента],A147)</f>
        <v>45412</v>
      </c>
      <c r="I147" s="59">
        <f t="shared" si="4"/>
        <v>22.406570841889117</v>
      </c>
      <c r="J147" s="41" t="str">
        <f>IF(LEN(C147) - LEN(SUBSTITUTE(C147," ",""))&lt;3,C147,RIGHT(C147,LEN(C147)-FIND(" ",клиенты!$C147,1)))</f>
        <v>Христофор Авдеевич Щукин</v>
      </c>
      <c r="K147" s="41" t="str">
        <f t="shared" si="5"/>
        <v>Христофор Авдеевич Щукин</v>
      </c>
      <c r="L147" s="41" t="str">
        <f>LEFT(клиенты!$K147,FIND(" ",клиенты!$K147,1)-1)</f>
        <v>Христофор</v>
      </c>
      <c r="M147" s="41" t="str">
        <f>MID(K147,FIND(" ",клиенты!$K147,1)+1,(FIND(" ",клиенты!$K147,FIND(" ",клиенты!$K147,1)+1)-1)-FIND(" ",клиенты!$K147,1))</f>
        <v>Авдеевич</v>
      </c>
      <c r="N147" s="41" t="str">
        <f>RIGHT(K147,LEN(K147)-FIND(" ",клиенты!$K147,FIND(" ",клиенты!$K147,1)+1))</f>
        <v>Щукин</v>
      </c>
    </row>
    <row r="148" spans="1:14" x14ac:dyDescent="0.25">
      <c r="A148" s="43">
        <v>172</v>
      </c>
      <c r="B148" s="44" t="s">
        <v>717</v>
      </c>
      <c r="C148" s="44" t="s">
        <v>716</v>
      </c>
      <c r="D148" s="44" t="s">
        <v>140</v>
      </c>
      <c r="E148" s="45">
        <v>44737</v>
      </c>
      <c r="F148" s="44" t="str">
        <f>LEFT(клиенты!$B148,LEN(клиенты!$B148)-13)</f>
        <v>+7</v>
      </c>
      <c r="G148" s="44" t="str">
        <f>_xlfn.XLOOKUP(клиенты!$F148,'коды стран'!$B$2:$B$7,'коды стран'!$A$2:$A$7,"не найдено",0)</f>
        <v>Россия</v>
      </c>
      <c r="H148" s="45">
        <f>_xlfn.MAXIFS(Продажи[дата создания чека],Продажи[id клиента],A148)</f>
        <v>45413</v>
      </c>
      <c r="I148" s="60">
        <f t="shared" si="4"/>
        <v>22.209445585215605</v>
      </c>
      <c r="J148" s="44" t="str">
        <f>IF(LEN(C148) - LEN(SUBSTITUTE(C148," ",""))&lt;3,C148,RIGHT(C148,LEN(C148)-FIND(" ",клиенты!$C148,1)))</f>
        <v>Русаков Лев Тимурович</v>
      </c>
      <c r="K148" s="44" t="str">
        <f t="shared" si="5"/>
        <v>Лев Тимурович Русаков</v>
      </c>
      <c r="L148" s="44" t="str">
        <f>LEFT(клиенты!$K148,FIND(" ",клиенты!$K148,1)-1)</f>
        <v>Лев</v>
      </c>
      <c r="M148" s="44" t="str">
        <f>MID(K148,FIND(" ",клиенты!$K148,1)+1,(FIND(" ",клиенты!$K148,FIND(" ",клиенты!$K148,1)+1)-1)-FIND(" ",клиенты!$K148,1))</f>
        <v>Тимурович</v>
      </c>
      <c r="N148" s="44" t="str">
        <f>RIGHT(K148,LEN(K148)-FIND(" ",клиенты!$K148,FIND(" ",клиенты!$K148,1)+1))</f>
        <v>Русаков</v>
      </c>
    </row>
    <row r="149" spans="1:14" x14ac:dyDescent="0.25">
      <c r="A149" s="40">
        <v>52</v>
      </c>
      <c r="B149" s="41" t="s">
        <v>715</v>
      </c>
      <c r="C149" s="41" t="s">
        <v>714</v>
      </c>
      <c r="D149" s="41" t="s">
        <v>143</v>
      </c>
      <c r="E149" s="42">
        <v>44917</v>
      </c>
      <c r="F149" s="41" t="str">
        <f>LEFT(клиенты!$B149,LEN(клиенты!$B149)-13)</f>
        <v>+7</v>
      </c>
      <c r="G149" s="41" t="str">
        <f>_xlfn.XLOOKUP(клиенты!$F149,'коды стран'!$B$2:$B$7,'коды стран'!$A$2:$A$7,"не найдено",0)</f>
        <v>Россия</v>
      </c>
      <c r="H149" s="42">
        <f>_xlfn.MAXIFS(Продажи[дата создания чека],Продажи[id клиента],A149)</f>
        <v>45341</v>
      </c>
      <c r="I149" s="59">
        <f t="shared" si="4"/>
        <v>13.930184804928132</v>
      </c>
      <c r="J149" s="41" t="str">
        <f>IF(LEN(C149) - LEN(SUBSTITUTE(C149," ",""))&lt;3,C149,RIGHT(C149,LEN(C149)-FIND(" ",клиенты!$C149,1)))</f>
        <v>Глафира Николаевна Мельникова</v>
      </c>
      <c r="K149" s="41" t="str">
        <f t="shared" si="5"/>
        <v>Глафира Николаевна Мельникова</v>
      </c>
      <c r="L149" s="41" t="str">
        <f>LEFT(клиенты!$K149,FIND(" ",клиенты!$K149,1)-1)</f>
        <v>Глафира</v>
      </c>
      <c r="M149" s="41" t="str">
        <f>MID(K149,FIND(" ",клиенты!$K149,1)+1,(FIND(" ",клиенты!$K149,FIND(" ",клиенты!$K149,1)+1)-1)-FIND(" ",клиенты!$K149,1))</f>
        <v>Николаевна</v>
      </c>
      <c r="N149" s="41" t="str">
        <f>RIGHT(K149,LEN(K149)-FIND(" ",клиенты!$K149,FIND(" ",клиенты!$K149,1)+1))</f>
        <v>Мельникова</v>
      </c>
    </row>
    <row r="150" spans="1:14" x14ac:dyDescent="0.25">
      <c r="A150" s="43">
        <v>395</v>
      </c>
      <c r="B150" s="44" t="s">
        <v>713</v>
      </c>
      <c r="C150" s="44" t="s">
        <v>712</v>
      </c>
      <c r="D150" s="44" t="s">
        <v>140</v>
      </c>
      <c r="E150" s="45">
        <v>44890</v>
      </c>
      <c r="F150" s="44" t="str">
        <f>LEFT(клиенты!$B150,LEN(клиенты!$B150)-13)</f>
        <v>+998</v>
      </c>
      <c r="G150" s="44" t="str">
        <f>_xlfn.XLOOKUP(клиенты!$F150,'коды стран'!$B$2:$B$7,'коды стран'!$A$2:$A$7,"не найдено",0)</f>
        <v>Узбекистан</v>
      </c>
      <c r="H150" s="45">
        <f>_xlfn.MAXIFS(Продажи[дата создания чека],Продажи[id клиента],A150)</f>
        <v>45289</v>
      </c>
      <c r="I150" s="60">
        <f t="shared" si="4"/>
        <v>13.108829568788501</v>
      </c>
      <c r="J150" s="44" t="str">
        <f>IF(LEN(C150) - LEN(SUBSTITUTE(C150," ",""))&lt;3,C150,RIGHT(C150,LEN(C150)-FIND(" ",клиенты!$C150,1)))</f>
        <v>Якушев Мина Гавриилович</v>
      </c>
      <c r="K150" s="44" t="str">
        <f t="shared" si="5"/>
        <v>Мина Гавриилович Якушев</v>
      </c>
      <c r="L150" s="44" t="str">
        <f>LEFT(клиенты!$K150,FIND(" ",клиенты!$K150,1)-1)</f>
        <v>Мина</v>
      </c>
      <c r="M150" s="44" t="str">
        <f>MID(K150,FIND(" ",клиенты!$K150,1)+1,(FIND(" ",клиенты!$K150,FIND(" ",клиенты!$K150,1)+1)-1)-FIND(" ",клиенты!$K150,1))</f>
        <v>Гавриилович</v>
      </c>
      <c r="N150" s="44" t="str">
        <f>RIGHT(K150,LEN(K150)-FIND(" ",клиенты!$K150,FIND(" ",клиенты!$K150,1)+1))</f>
        <v>Якушев</v>
      </c>
    </row>
    <row r="151" spans="1:14" x14ac:dyDescent="0.25">
      <c r="A151" s="40">
        <v>46</v>
      </c>
      <c r="B151" s="41" t="s">
        <v>711</v>
      </c>
      <c r="C151" s="41" t="s">
        <v>710</v>
      </c>
      <c r="D151" s="41" t="s">
        <v>143</v>
      </c>
      <c r="E151" s="42">
        <v>44636</v>
      </c>
      <c r="F151" s="41" t="str">
        <f>LEFT(клиенты!$B151,LEN(клиенты!$B151)-13)</f>
        <v>+992</v>
      </c>
      <c r="G151" s="41" t="str">
        <f>_xlfn.XLOOKUP(клиенты!$F151,'коды стран'!$B$2:$B$7,'коды стран'!$A$2:$A$7,"не найдено",0)</f>
        <v>Таджикистан</v>
      </c>
      <c r="H151" s="42">
        <f>_xlfn.MAXIFS(Продажи[дата создания чека],Продажи[id клиента],A151)</f>
        <v>45175</v>
      </c>
      <c r="I151" s="59">
        <f t="shared" si="4"/>
        <v>17.708418891170432</v>
      </c>
      <c r="J151" s="41" t="str">
        <f>IF(LEN(C151) - LEN(SUBSTITUTE(C151," ",""))&lt;3,C151,RIGHT(C151,LEN(C151)-FIND(" ",клиенты!$C151,1)))</f>
        <v>Степанова Синклитикия Александровна</v>
      </c>
      <c r="K151" s="41" t="str">
        <f t="shared" si="5"/>
        <v>Степанова Синклитикия Александровна тов.</v>
      </c>
      <c r="L151" s="41" t="str">
        <f>LEFT(клиенты!$K151,FIND(" ",клиенты!$K151,1)-1)</f>
        <v>Степанова</v>
      </c>
      <c r="M151" s="41" t="str">
        <f>MID(K151,FIND(" ",клиенты!$K151,1)+1,(FIND(" ",клиенты!$K151,FIND(" ",клиенты!$K151,1)+1)-1)-FIND(" ",клиенты!$K151,1))</f>
        <v>Синклитикия</v>
      </c>
      <c r="N151" s="41" t="str">
        <f>RIGHT(K151,LEN(K151)-FIND(" ",клиенты!$K151,FIND(" ",клиенты!$K151,1)+1))</f>
        <v>Александровна тов.</v>
      </c>
    </row>
    <row r="152" spans="1:14" x14ac:dyDescent="0.25">
      <c r="A152" s="43">
        <v>361</v>
      </c>
      <c r="B152" s="44" t="s">
        <v>709</v>
      </c>
      <c r="C152" s="44" t="s">
        <v>708</v>
      </c>
      <c r="D152" s="44" t="s">
        <v>143</v>
      </c>
      <c r="E152" s="45">
        <v>44831</v>
      </c>
      <c r="F152" s="44" t="str">
        <f>LEFT(клиенты!$B152,LEN(клиенты!$B152)-13)</f>
        <v>+998</v>
      </c>
      <c r="G152" s="44" t="str">
        <f>_xlfn.XLOOKUP(клиенты!$F152,'коды стран'!$B$2:$B$7,'коды стран'!$A$2:$A$7,"не найдено",0)</f>
        <v>Узбекистан</v>
      </c>
      <c r="H152" s="45">
        <f>_xlfn.MAXIFS(Продажи[дата создания чека],Продажи[id клиента],A152)</f>
        <v>45369</v>
      </c>
      <c r="I152" s="60">
        <f t="shared" si="4"/>
        <v>17.675564681724847</v>
      </c>
      <c r="J152" s="44" t="str">
        <f>IF(LEN(C152) - LEN(SUBSTITUTE(C152," ",""))&lt;3,C152,RIGHT(C152,LEN(C152)-FIND(" ",клиенты!$C152,1)))</f>
        <v>Федорова Жанна Вадимовна</v>
      </c>
      <c r="K152" s="44" t="str">
        <f t="shared" si="5"/>
        <v>Жанна Вадимовна Федорова</v>
      </c>
      <c r="L152" s="44" t="str">
        <f>LEFT(клиенты!$K152,FIND(" ",клиенты!$K152,1)-1)</f>
        <v>Жанна</v>
      </c>
      <c r="M152" s="44" t="str">
        <f>MID(K152,FIND(" ",клиенты!$K152,1)+1,(FIND(" ",клиенты!$K152,FIND(" ",клиенты!$K152,1)+1)-1)-FIND(" ",клиенты!$K152,1))</f>
        <v>Вадимовна</v>
      </c>
      <c r="N152" s="44" t="str">
        <f>RIGHT(K152,LEN(K152)-FIND(" ",клиенты!$K152,FIND(" ",клиенты!$K152,1)+1))</f>
        <v>Федорова</v>
      </c>
    </row>
    <row r="153" spans="1:14" x14ac:dyDescent="0.25">
      <c r="A153" s="40">
        <v>358</v>
      </c>
      <c r="B153" s="41" t="s">
        <v>707</v>
      </c>
      <c r="C153" s="41" t="s">
        <v>706</v>
      </c>
      <c r="D153" s="41" t="s">
        <v>143</v>
      </c>
      <c r="E153" s="42">
        <v>44771</v>
      </c>
      <c r="F153" s="41" t="str">
        <f>LEFT(клиенты!$B153,LEN(клиенты!$B153)-13)</f>
        <v>+380</v>
      </c>
      <c r="G153" s="41" t="str">
        <f>_xlfn.XLOOKUP(клиенты!$F153,'коды стран'!$B$2:$B$7,'коды стран'!$A$2:$A$7,"не найдено",0)</f>
        <v>Украина</v>
      </c>
      <c r="H153" s="42">
        <f>_xlfn.MAXIFS(Продажи[дата создания чека],Продажи[id клиента],A153)</f>
        <v>45405</v>
      </c>
      <c r="I153" s="59">
        <f t="shared" si="4"/>
        <v>20.829568788501028</v>
      </c>
      <c r="J153" s="41" t="str">
        <f>IF(LEN(C153) - LEN(SUBSTITUTE(C153," ",""))&lt;3,C153,RIGHT(C153,LEN(C153)-FIND(" ",клиенты!$C153,1)))</f>
        <v>Евфросиния Петровна Чернова</v>
      </c>
      <c r="K153" s="41" t="str">
        <f t="shared" si="5"/>
        <v>Евфросиния Петровна Чернова</v>
      </c>
      <c r="L153" s="41" t="str">
        <f>LEFT(клиенты!$K153,FIND(" ",клиенты!$K153,1)-1)</f>
        <v>Евфросиния</v>
      </c>
      <c r="M153" s="41" t="str">
        <f>MID(K153,FIND(" ",клиенты!$K153,1)+1,(FIND(" ",клиенты!$K153,FIND(" ",клиенты!$K153,1)+1)-1)-FIND(" ",клиенты!$K153,1))</f>
        <v>Петровна</v>
      </c>
      <c r="N153" s="41" t="str">
        <f>RIGHT(K153,LEN(K153)-FIND(" ",клиенты!$K153,FIND(" ",клиенты!$K153,1)+1))</f>
        <v>Чернова</v>
      </c>
    </row>
    <row r="154" spans="1:14" x14ac:dyDescent="0.25">
      <c r="A154" s="43">
        <v>44</v>
      </c>
      <c r="B154" s="44" t="s">
        <v>705</v>
      </c>
      <c r="C154" s="44" t="s">
        <v>704</v>
      </c>
      <c r="D154" s="44" t="s">
        <v>140</v>
      </c>
      <c r="E154" s="45">
        <v>44701</v>
      </c>
      <c r="F154" s="44" t="str">
        <f>LEFT(клиенты!$B154,LEN(клиенты!$B154)-13)</f>
        <v>+375</v>
      </c>
      <c r="G154" s="44" t="str">
        <f>_xlfn.XLOOKUP(клиенты!$F154,'коды стран'!$B$2:$B$7,'коды стран'!$A$2:$A$7,"не найдено",0)</f>
        <v>Беларусь</v>
      </c>
      <c r="H154" s="45">
        <f>_xlfn.MAXIFS(Продажи[дата создания чека],Продажи[id клиента],A154)</f>
        <v>45413</v>
      </c>
      <c r="I154" s="60">
        <f t="shared" si="4"/>
        <v>23.392197125256672</v>
      </c>
      <c r="J154" s="44" t="str">
        <f>IF(LEN(C154) - LEN(SUBSTITUTE(C154," ",""))&lt;3,C154,RIGHT(C154,LEN(C154)-FIND(" ",клиенты!$C154,1)))</f>
        <v>Кир Васильевич Горбунов</v>
      </c>
      <c r="K154" s="44" t="str">
        <f t="shared" si="5"/>
        <v>Кир Васильевич Горбунов</v>
      </c>
      <c r="L154" s="44" t="str">
        <f>LEFT(клиенты!$K154,FIND(" ",клиенты!$K154,1)-1)</f>
        <v>Кир</v>
      </c>
      <c r="M154" s="44" t="str">
        <f>MID(K154,FIND(" ",клиенты!$K154,1)+1,(FIND(" ",клиенты!$K154,FIND(" ",клиенты!$K154,1)+1)-1)-FIND(" ",клиенты!$K154,1))</f>
        <v>Васильевич</v>
      </c>
      <c r="N154" s="44" t="str">
        <f>RIGHT(K154,LEN(K154)-FIND(" ",клиенты!$K154,FIND(" ",клиенты!$K154,1)+1))</f>
        <v>Горбунов</v>
      </c>
    </row>
    <row r="155" spans="1:14" x14ac:dyDescent="0.25">
      <c r="A155" s="40">
        <v>416</v>
      </c>
      <c r="B155" s="41" t="s">
        <v>703</v>
      </c>
      <c r="C155" s="41" t="s">
        <v>702</v>
      </c>
      <c r="D155" s="41" t="s">
        <v>140</v>
      </c>
      <c r="E155" s="42">
        <v>44703</v>
      </c>
      <c r="F155" s="41" t="str">
        <f>LEFT(клиенты!$B155,LEN(клиенты!$B155)-13)</f>
        <v>+992</v>
      </c>
      <c r="G155" s="41" t="str">
        <f>_xlfn.XLOOKUP(клиенты!$F155,'коды стран'!$B$2:$B$7,'коды стран'!$A$2:$A$7,"не найдено",0)</f>
        <v>Таджикистан</v>
      </c>
      <c r="H155" s="42">
        <f>_xlfn.MAXIFS(Продажи[дата создания чека],Продажи[id клиента],A155)</f>
        <v>45276</v>
      </c>
      <c r="I155" s="59">
        <f t="shared" si="4"/>
        <v>18.82546201232033</v>
      </c>
      <c r="J155" s="41" t="str">
        <f>IF(LEN(C155) - LEN(SUBSTITUTE(C155," ",""))&lt;3,C155,RIGHT(C155,LEN(C155)-FIND(" ",клиенты!$C155,1)))</f>
        <v>Зуев Гостомысл Игоревич</v>
      </c>
      <c r="K155" s="41" t="str">
        <f t="shared" si="5"/>
        <v>Гостомысл Игоревич Зуев</v>
      </c>
      <c r="L155" s="41" t="str">
        <f>LEFT(клиенты!$K155,FIND(" ",клиенты!$K155,1)-1)</f>
        <v>Гостомысл</v>
      </c>
      <c r="M155" s="41" t="str">
        <f>MID(K155,FIND(" ",клиенты!$K155,1)+1,(FIND(" ",клиенты!$K155,FIND(" ",клиенты!$K155,1)+1)-1)-FIND(" ",клиенты!$K155,1))</f>
        <v>Игоревич</v>
      </c>
      <c r="N155" s="41" t="str">
        <f>RIGHT(K155,LEN(K155)-FIND(" ",клиенты!$K155,FIND(" ",клиенты!$K155,1)+1))</f>
        <v>Зуев</v>
      </c>
    </row>
    <row r="156" spans="1:14" x14ac:dyDescent="0.25">
      <c r="A156" s="43">
        <v>74</v>
      </c>
      <c r="B156" s="44" t="s">
        <v>701</v>
      </c>
      <c r="C156" s="44" t="s">
        <v>700</v>
      </c>
      <c r="D156" s="44" t="s">
        <v>140</v>
      </c>
      <c r="E156" s="45">
        <v>44857</v>
      </c>
      <c r="F156" s="44" t="str">
        <f>LEFT(клиенты!$B156,LEN(клиенты!$B156)-13)</f>
        <v>+7</v>
      </c>
      <c r="G156" s="44" t="str">
        <f>_xlfn.XLOOKUP(клиенты!$F156,'коды стран'!$B$2:$B$7,'коды стран'!$A$2:$A$7,"не найдено",0)</f>
        <v>Россия</v>
      </c>
      <c r="H156" s="45">
        <f>_xlfn.MAXIFS(Продажи[дата создания чека],Продажи[id клиента],A156)</f>
        <v>45212</v>
      </c>
      <c r="I156" s="60">
        <f t="shared" si="4"/>
        <v>11.663244353182751</v>
      </c>
      <c r="J156" s="44" t="str">
        <f>IF(LEN(C156) - LEN(SUBSTITUTE(C156," ",""))&lt;3,C156,RIGHT(C156,LEN(C156)-FIND(" ",клиенты!$C156,1)))</f>
        <v>Любовь Романовна Данилова</v>
      </c>
      <c r="K156" s="44" t="str">
        <f t="shared" si="5"/>
        <v>Любовь Романовна Данилова</v>
      </c>
      <c r="L156" s="44" t="str">
        <f>LEFT(клиенты!$K156,FIND(" ",клиенты!$K156,1)-1)</f>
        <v>Любовь</v>
      </c>
      <c r="M156" s="44" t="str">
        <f>MID(K156,FIND(" ",клиенты!$K156,1)+1,(FIND(" ",клиенты!$K156,FIND(" ",клиенты!$K156,1)+1)-1)-FIND(" ",клиенты!$K156,1))</f>
        <v>Романовна</v>
      </c>
      <c r="N156" s="44" t="str">
        <f>RIGHT(K156,LEN(K156)-FIND(" ",клиенты!$K156,FIND(" ",клиенты!$K156,1)+1))</f>
        <v>Данилова</v>
      </c>
    </row>
    <row r="157" spans="1:14" x14ac:dyDescent="0.25">
      <c r="A157" s="40">
        <v>180</v>
      </c>
      <c r="B157" s="41" t="s">
        <v>699</v>
      </c>
      <c r="C157" s="41" t="s">
        <v>698</v>
      </c>
      <c r="D157" s="41" t="s">
        <v>140</v>
      </c>
      <c r="E157" s="42">
        <v>44616</v>
      </c>
      <c r="F157" s="41" t="str">
        <f>LEFT(клиенты!$B157,LEN(клиенты!$B157)-13)</f>
        <v>+375</v>
      </c>
      <c r="G157" s="41" t="str">
        <f>_xlfn.XLOOKUP(клиенты!$F157,'коды стран'!$B$2:$B$7,'коды стран'!$A$2:$A$7,"не найдено",0)</f>
        <v>Беларусь</v>
      </c>
      <c r="H157" s="42">
        <f>_xlfn.MAXIFS(Продажи[дата создания чека],Продажи[id клиента],A157)</f>
        <v>45244</v>
      </c>
      <c r="I157" s="59">
        <f t="shared" si="4"/>
        <v>20.632443531827516</v>
      </c>
      <c r="J157" s="41" t="str">
        <f>IF(LEN(C157) - LEN(SUBSTITUTE(C157," ",""))&lt;3,C157,RIGHT(C157,LEN(C157)-FIND(" ",клиенты!$C157,1)))</f>
        <v>Калинин Лев Феодосьевич</v>
      </c>
      <c r="K157" s="41" t="str">
        <f t="shared" si="5"/>
        <v>Лев Феодосьевич Калинин</v>
      </c>
      <c r="L157" s="41" t="str">
        <f>LEFT(клиенты!$K157,FIND(" ",клиенты!$K157,1)-1)</f>
        <v>Лев</v>
      </c>
      <c r="M157" s="41" t="str">
        <f>MID(K157,FIND(" ",клиенты!$K157,1)+1,(FIND(" ",клиенты!$K157,FIND(" ",клиенты!$K157,1)+1)-1)-FIND(" ",клиенты!$K157,1))</f>
        <v>Феодосьевич</v>
      </c>
      <c r="N157" s="41" t="str">
        <f>RIGHT(K157,LEN(K157)-FIND(" ",клиенты!$K157,FIND(" ",клиенты!$K157,1)+1))</f>
        <v>Калинин</v>
      </c>
    </row>
    <row r="158" spans="1:14" x14ac:dyDescent="0.25">
      <c r="A158" s="43">
        <v>159</v>
      </c>
      <c r="B158" s="44" t="s">
        <v>697</v>
      </c>
      <c r="C158" s="44" t="s">
        <v>696</v>
      </c>
      <c r="D158" s="44" t="s">
        <v>140</v>
      </c>
      <c r="E158" s="45">
        <v>44686</v>
      </c>
      <c r="F158" s="44" t="str">
        <f>LEFT(клиенты!$B158,LEN(клиенты!$B158)-13)</f>
        <v>+998</v>
      </c>
      <c r="G158" s="44" t="str">
        <f>_xlfn.XLOOKUP(клиенты!$F158,'коды стран'!$B$2:$B$7,'коды стран'!$A$2:$A$7,"не найдено",0)</f>
        <v>Узбекистан</v>
      </c>
      <c r="H158" s="45">
        <f>_xlfn.MAXIFS(Продажи[дата создания чека],Продажи[id клиента],A158)</f>
        <v>45371</v>
      </c>
      <c r="I158" s="60">
        <f t="shared" si="4"/>
        <v>22.505133470225871</v>
      </c>
      <c r="J158" s="44" t="str">
        <f>IF(LEN(C158) - LEN(SUBSTITUTE(C158," ",""))&lt;3,C158,RIGHT(C158,LEN(C158)-FIND(" ",клиенты!$C158,1)))</f>
        <v>Марк Яковлевич Корнилов</v>
      </c>
      <c r="K158" s="44" t="str">
        <f t="shared" si="5"/>
        <v>Марк Яковлевич Корнилов</v>
      </c>
      <c r="L158" s="44" t="str">
        <f>LEFT(клиенты!$K158,FIND(" ",клиенты!$K158,1)-1)</f>
        <v>Марк</v>
      </c>
      <c r="M158" s="44" t="str">
        <f>MID(K158,FIND(" ",клиенты!$K158,1)+1,(FIND(" ",клиенты!$K158,FIND(" ",клиенты!$K158,1)+1)-1)-FIND(" ",клиенты!$K158,1))</f>
        <v>Яковлевич</v>
      </c>
      <c r="N158" s="44" t="str">
        <f>RIGHT(K158,LEN(K158)-FIND(" ",клиенты!$K158,FIND(" ",клиенты!$K158,1)+1))</f>
        <v>Корнилов</v>
      </c>
    </row>
    <row r="159" spans="1:14" x14ac:dyDescent="0.25">
      <c r="A159" s="40">
        <v>106</v>
      </c>
      <c r="B159" s="41" t="s">
        <v>695</v>
      </c>
      <c r="C159" s="41" t="s">
        <v>694</v>
      </c>
      <c r="D159" s="41" t="s">
        <v>143</v>
      </c>
      <c r="E159" s="42">
        <v>44858</v>
      </c>
      <c r="F159" s="41" t="str">
        <f>LEFT(клиенты!$B159,LEN(клиенты!$B159)-13)</f>
        <v>+380</v>
      </c>
      <c r="G159" s="41" t="str">
        <f>_xlfn.XLOOKUP(клиенты!$F159,'коды стран'!$B$2:$B$7,'коды стран'!$A$2:$A$7,"не найдено",0)</f>
        <v>Украина</v>
      </c>
      <c r="H159" s="42">
        <f>_xlfn.MAXIFS(Продажи[дата создания чека],Продажи[id клиента],A159)</f>
        <v>45411</v>
      </c>
      <c r="I159" s="59">
        <f t="shared" si="4"/>
        <v>18.168377823408623</v>
      </c>
      <c r="J159" s="41" t="str">
        <f>IF(LEN(C159) - LEN(SUBSTITUTE(C159," ",""))&lt;3,C159,RIGHT(C159,LEN(C159)-FIND(" ",клиенты!$C159,1)))</f>
        <v>Таисия Богдановна Якушева</v>
      </c>
      <c r="K159" s="41" t="str">
        <f t="shared" si="5"/>
        <v>Таисия Богдановна Якушева</v>
      </c>
      <c r="L159" s="41" t="str">
        <f>LEFT(клиенты!$K159,FIND(" ",клиенты!$K159,1)-1)</f>
        <v>Таисия</v>
      </c>
      <c r="M159" s="41" t="str">
        <f>MID(K159,FIND(" ",клиенты!$K159,1)+1,(FIND(" ",клиенты!$K159,FIND(" ",клиенты!$K159,1)+1)-1)-FIND(" ",клиенты!$K159,1))</f>
        <v>Богдановна</v>
      </c>
      <c r="N159" s="41" t="str">
        <f>RIGHT(K159,LEN(K159)-FIND(" ",клиенты!$K159,FIND(" ",клиенты!$K159,1)+1))</f>
        <v>Якушева</v>
      </c>
    </row>
    <row r="160" spans="1:14" x14ac:dyDescent="0.25">
      <c r="A160" s="43">
        <v>65</v>
      </c>
      <c r="B160" s="44" t="s">
        <v>693</v>
      </c>
      <c r="C160" s="44" t="s">
        <v>692</v>
      </c>
      <c r="D160" s="44" t="s">
        <v>140</v>
      </c>
      <c r="E160" s="45">
        <v>44623</v>
      </c>
      <c r="F160" s="44" t="str">
        <f>LEFT(клиенты!$B160,LEN(клиенты!$B160)-13)</f>
        <v>+380</v>
      </c>
      <c r="G160" s="44" t="str">
        <f>_xlfn.XLOOKUP(клиенты!$F160,'коды стран'!$B$2:$B$7,'коды стран'!$A$2:$A$7,"не найдено",0)</f>
        <v>Украина</v>
      </c>
      <c r="H160" s="45">
        <f>_xlfn.MAXIFS(Продажи[дата создания чека],Продажи[id клиента],A160)</f>
        <v>45398</v>
      </c>
      <c r="I160" s="60">
        <f t="shared" si="4"/>
        <v>25.462012320328544</v>
      </c>
      <c r="J160" s="44" t="str">
        <f>IF(LEN(C160) - LEN(SUBSTITUTE(C160," ",""))&lt;3,C160,RIGHT(C160,LEN(C160)-FIND(" ",клиенты!$C160,1)))</f>
        <v>Самойлова Жанна Семеновна</v>
      </c>
      <c r="K160" s="44" t="str">
        <f t="shared" si="5"/>
        <v>Жанна Семеновна Самойлова</v>
      </c>
      <c r="L160" s="44" t="str">
        <f>LEFT(клиенты!$K160,FIND(" ",клиенты!$K160,1)-1)</f>
        <v>Жанна</v>
      </c>
      <c r="M160" s="44" t="str">
        <f>MID(K160,FIND(" ",клиенты!$K160,1)+1,(FIND(" ",клиенты!$K160,FIND(" ",клиенты!$K160,1)+1)-1)-FIND(" ",клиенты!$K160,1))</f>
        <v>Семеновна</v>
      </c>
      <c r="N160" s="44" t="str">
        <f>RIGHT(K160,LEN(K160)-FIND(" ",клиенты!$K160,FIND(" ",клиенты!$K160,1)+1))</f>
        <v>Самойлова</v>
      </c>
    </row>
    <row r="161" spans="1:14" x14ac:dyDescent="0.25">
      <c r="A161" s="40">
        <v>457</v>
      </c>
      <c r="B161" s="41" t="s">
        <v>691</v>
      </c>
      <c r="C161" s="41" t="s">
        <v>690</v>
      </c>
      <c r="D161" s="41" t="s">
        <v>140</v>
      </c>
      <c r="E161" s="42">
        <v>44595</v>
      </c>
      <c r="F161" s="41" t="str">
        <f>LEFT(клиенты!$B161,LEN(клиенты!$B161)-13)</f>
        <v>+992</v>
      </c>
      <c r="G161" s="41" t="str">
        <f>_xlfn.XLOOKUP(клиенты!$F161,'коды стран'!$B$2:$B$7,'коды стран'!$A$2:$A$7,"не найдено",0)</f>
        <v>Таджикистан</v>
      </c>
      <c r="H161" s="42">
        <f>_xlfn.MAXIFS(Продажи[дата создания чека],Продажи[id клиента],A161)</f>
        <v>45084</v>
      </c>
      <c r="I161" s="59">
        <f t="shared" si="4"/>
        <v>16.06570841889117</v>
      </c>
      <c r="J161" s="41" t="str">
        <f>IF(LEN(C161) - LEN(SUBSTITUTE(C161," ",""))&lt;3,C161,RIGHT(C161,LEN(C161)-FIND(" ",клиенты!$C161,1)))</f>
        <v>Валерия Владимировна Медведева</v>
      </c>
      <c r="K161" s="41" t="str">
        <f t="shared" si="5"/>
        <v>Валерия Владимировна Медведева</v>
      </c>
      <c r="L161" s="41" t="str">
        <f>LEFT(клиенты!$K161,FIND(" ",клиенты!$K161,1)-1)</f>
        <v>Валерия</v>
      </c>
      <c r="M161" s="41" t="str">
        <f>MID(K161,FIND(" ",клиенты!$K161,1)+1,(FIND(" ",клиенты!$K161,FIND(" ",клиенты!$K161,1)+1)-1)-FIND(" ",клиенты!$K161,1))</f>
        <v>Владимировна</v>
      </c>
      <c r="N161" s="41" t="str">
        <f>RIGHT(K161,LEN(K161)-FIND(" ",клиенты!$K161,FIND(" ",клиенты!$K161,1)+1))</f>
        <v>Медведева</v>
      </c>
    </row>
    <row r="162" spans="1:14" x14ac:dyDescent="0.25">
      <c r="A162" s="43">
        <v>255</v>
      </c>
      <c r="B162" s="44" t="s">
        <v>689</v>
      </c>
      <c r="C162" s="44" t="s">
        <v>688</v>
      </c>
      <c r="D162" s="44" t="s">
        <v>143</v>
      </c>
      <c r="E162" s="45">
        <v>44793</v>
      </c>
      <c r="F162" s="44" t="str">
        <f>LEFT(клиенты!$B162,LEN(клиенты!$B162)-13)</f>
        <v>+380</v>
      </c>
      <c r="G162" s="44" t="str">
        <f>_xlfn.XLOOKUP(клиенты!$F162,'коды стран'!$B$2:$B$7,'коды стран'!$A$2:$A$7,"не найдено",0)</f>
        <v>Украина</v>
      </c>
      <c r="H162" s="45">
        <f>_xlfn.MAXIFS(Продажи[дата создания чека],Продажи[id клиента],A162)</f>
        <v>45378</v>
      </c>
      <c r="I162" s="60">
        <f t="shared" si="4"/>
        <v>19.219712525667351</v>
      </c>
      <c r="J162" s="44" t="str">
        <f>IF(LEN(C162) - LEN(SUBSTITUTE(C162," ",""))&lt;3,C162,RIGHT(C162,LEN(C162)-FIND(" ",клиенты!$C162,1)))</f>
        <v>Филимон Ефимьевич Беляков</v>
      </c>
      <c r="K162" s="44" t="str">
        <f t="shared" si="5"/>
        <v>Филимон Ефимьевич Беляков</v>
      </c>
      <c r="L162" s="44" t="str">
        <f>LEFT(клиенты!$K162,FIND(" ",клиенты!$K162,1)-1)</f>
        <v>Филимон</v>
      </c>
      <c r="M162" s="44" t="str">
        <f>MID(K162,FIND(" ",клиенты!$K162,1)+1,(FIND(" ",клиенты!$K162,FIND(" ",клиенты!$K162,1)+1)-1)-FIND(" ",клиенты!$K162,1))</f>
        <v>Ефимьевич</v>
      </c>
      <c r="N162" s="44" t="str">
        <f>RIGHT(K162,LEN(K162)-FIND(" ",клиенты!$K162,FIND(" ",клиенты!$K162,1)+1))</f>
        <v>Беляков</v>
      </c>
    </row>
    <row r="163" spans="1:14" x14ac:dyDescent="0.25">
      <c r="A163" s="40">
        <v>436</v>
      </c>
      <c r="B163" s="41" t="s">
        <v>687</v>
      </c>
      <c r="C163" s="41" t="s">
        <v>686</v>
      </c>
      <c r="D163" s="41" t="s">
        <v>140</v>
      </c>
      <c r="E163" s="42">
        <v>44683</v>
      </c>
      <c r="F163" s="41" t="str">
        <f>LEFT(клиенты!$B163,LEN(клиенты!$B163)-13)</f>
        <v>+7</v>
      </c>
      <c r="G163" s="41" t="str">
        <f>_xlfn.XLOOKUP(клиенты!$F163,'коды стран'!$B$2:$B$7,'коды стран'!$A$2:$A$7,"не найдено",0)</f>
        <v>Россия</v>
      </c>
      <c r="H163" s="42">
        <f>_xlfn.MAXIFS(Продажи[дата создания чека],Продажи[id клиента],A163)</f>
        <v>45422</v>
      </c>
      <c r="I163" s="59">
        <f t="shared" si="4"/>
        <v>24.279260780287473</v>
      </c>
      <c r="J163" s="41" t="str">
        <f>IF(LEN(C163) - LEN(SUBSTITUTE(C163," ",""))&lt;3,C163,RIGHT(C163,LEN(C163)-FIND(" ",клиенты!$C163,1)))</f>
        <v>Миронов Аверкий Зиновьевич</v>
      </c>
      <c r="K163" s="41" t="str">
        <f t="shared" si="5"/>
        <v>Аверкий Зиновьевич Миронов</v>
      </c>
      <c r="L163" s="41" t="str">
        <f>LEFT(клиенты!$K163,FIND(" ",клиенты!$K163,1)-1)</f>
        <v>Аверкий</v>
      </c>
      <c r="M163" s="41" t="str">
        <f>MID(K163,FIND(" ",клиенты!$K163,1)+1,(FIND(" ",клиенты!$K163,FIND(" ",клиенты!$K163,1)+1)-1)-FIND(" ",клиенты!$K163,1))</f>
        <v>Зиновьевич</v>
      </c>
      <c r="N163" s="41" t="str">
        <f>RIGHT(K163,LEN(K163)-FIND(" ",клиенты!$K163,FIND(" ",клиенты!$K163,1)+1))</f>
        <v>Миронов</v>
      </c>
    </row>
    <row r="164" spans="1:14" x14ac:dyDescent="0.25">
      <c r="A164" s="43">
        <v>175</v>
      </c>
      <c r="B164" s="44" t="s">
        <v>685</v>
      </c>
      <c r="C164" s="44" t="s">
        <v>684</v>
      </c>
      <c r="D164" s="44" t="s">
        <v>140</v>
      </c>
      <c r="E164" s="45">
        <v>44565</v>
      </c>
      <c r="F164" s="44" t="str">
        <f>LEFT(клиенты!$B164,LEN(клиенты!$B164)-13)</f>
        <v>+7</v>
      </c>
      <c r="G164" s="44" t="str">
        <f>_xlfn.XLOOKUP(клиенты!$F164,'коды стран'!$B$2:$B$7,'коды стран'!$A$2:$A$7,"не найдено",0)</f>
        <v>Россия</v>
      </c>
      <c r="H164" s="45">
        <f>_xlfn.MAXIFS(Продажи[дата создания чека],Продажи[id клиента],A164)</f>
        <v>45335</v>
      </c>
      <c r="I164" s="60">
        <f t="shared" si="4"/>
        <v>25.297741273100616</v>
      </c>
      <c r="J164" s="44" t="str">
        <f>IF(LEN(C164) - LEN(SUBSTITUTE(C164," ",""))&lt;3,C164,RIGHT(C164,LEN(C164)-FIND(" ",клиенты!$C164,1)))</f>
        <v>Валерия Семеновна Потапова</v>
      </c>
      <c r="K164" s="44" t="str">
        <f t="shared" si="5"/>
        <v>Валерия Семеновна Потапова</v>
      </c>
      <c r="L164" s="44" t="str">
        <f>LEFT(клиенты!$K164,FIND(" ",клиенты!$K164,1)-1)</f>
        <v>Валерия</v>
      </c>
      <c r="M164" s="44" t="str">
        <f>MID(K164,FIND(" ",клиенты!$K164,1)+1,(FIND(" ",клиенты!$K164,FIND(" ",клиенты!$K164,1)+1)-1)-FIND(" ",клиенты!$K164,1))</f>
        <v>Семеновна</v>
      </c>
      <c r="N164" s="44" t="str">
        <f>RIGHT(K164,LEN(K164)-FIND(" ",клиенты!$K164,FIND(" ",клиенты!$K164,1)+1))</f>
        <v>Потапова</v>
      </c>
    </row>
    <row r="165" spans="1:14" x14ac:dyDescent="0.25">
      <c r="A165" s="40">
        <v>274</v>
      </c>
      <c r="B165" s="41" t="s">
        <v>683</v>
      </c>
      <c r="C165" s="41" t="s">
        <v>682</v>
      </c>
      <c r="D165" s="41" t="s">
        <v>143</v>
      </c>
      <c r="E165" s="42">
        <v>44607</v>
      </c>
      <c r="F165" s="41" t="str">
        <f>LEFT(клиенты!$B165,LEN(клиенты!$B165)-13)</f>
        <v>+7</v>
      </c>
      <c r="G165" s="41" t="str">
        <f>_xlfn.XLOOKUP(клиенты!$F165,'коды стран'!$B$2:$B$7,'коды стран'!$A$2:$A$7,"не найдено",0)</f>
        <v>Россия</v>
      </c>
      <c r="H165" s="42">
        <f>_xlfn.MAXIFS(Продажи[дата создания чека],Продажи[id клиента],A165)</f>
        <v>45255</v>
      </c>
      <c r="I165" s="59">
        <f t="shared" si="4"/>
        <v>21.289527720739219</v>
      </c>
      <c r="J165" s="41" t="str">
        <f>IF(LEN(C165) - LEN(SUBSTITUTE(C165," ",""))&lt;3,C165,RIGHT(C165,LEN(C165)-FIND(" ",клиенты!$C165,1)))</f>
        <v>Сорокина Феврония Геннадьевна</v>
      </c>
      <c r="K165" s="41" t="str">
        <f t="shared" si="5"/>
        <v>Феврония Геннадьевна Сорокина</v>
      </c>
      <c r="L165" s="41" t="str">
        <f>LEFT(клиенты!$K165,FIND(" ",клиенты!$K165,1)-1)</f>
        <v>Феврония</v>
      </c>
      <c r="M165" s="41" t="str">
        <f>MID(K165,FIND(" ",клиенты!$K165,1)+1,(FIND(" ",клиенты!$K165,FIND(" ",клиенты!$K165,1)+1)-1)-FIND(" ",клиенты!$K165,1))</f>
        <v>Геннадьевна</v>
      </c>
      <c r="N165" s="41" t="str">
        <f>RIGHT(K165,LEN(K165)-FIND(" ",клиенты!$K165,FIND(" ",клиенты!$K165,1)+1))</f>
        <v>Сорокина</v>
      </c>
    </row>
    <row r="166" spans="1:14" x14ac:dyDescent="0.25">
      <c r="A166" s="43">
        <v>59</v>
      </c>
      <c r="B166" s="44" t="s">
        <v>681</v>
      </c>
      <c r="C166" s="44" t="s">
        <v>680</v>
      </c>
      <c r="D166" s="44" t="s">
        <v>143</v>
      </c>
      <c r="E166" s="45">
        <v>44770</v>
      </c>
      <c r="F166" s="44" t="str">
        <f>LEFT(клиенты!$B166,LEN(клиенты!$B166)-13)</f>
        <v>+7</v>
      </c>
      <c r="G166" s="44" t="str">
        <f>_xlfn.XLOOKUP(клиенты!$F166,'коды стран'!$B$2:$B$7,'коды стран'!$A$2:$A$7,"не найдено",0)</f>
        <v>Россия</v>
      </c>
      <c r="H166" s="45">
        <f>_xlfn.MAXIFS(Продажи[дата создания чека],Продажи[id клиента],A166)</f>
        <v>44967</v>
      </c>
      <c r="I166" s="60">
        <f t="shared" si="4"/>
        <v>6.4722792607802875</v>
      </c>
      <c r="J166" s="44" t="str">
        <f>IF(LEN(C166) - LEN(SUBSTITUTE(C166," ",""))&lt;3,C166,RIGHT(C166,LEN(C166)-FIND(" ",клиенты!$C166,1)))</f>
        <v>Любовь Альбертовна Одинцова</v>
      </c>
      <c r="K166" s="44" t="str">
        <f t="shared" si="5"/>
        <v>Любовь Альбертовна Одинцова</v>
      </c>
      <c r="L166" s="44" t="str">
        <f>LEFT(клиенты!$K166,FIND(" ",клиенты!$K166,1)-1)</f>
        <v>Любовь</v>
      </c>
      <c r="M166" s="44" t="str">
        <f>MID(K166,FIND(" ",клиенты!$K166,1)+1,(FIND(" ",клиенты!$K166,FIND(" ",клиенты!$K166,1)+1)-1)-FIND(" ",клиенты!$K166,1))</f>
        <v>Альбертовна</v>
      </c>
      <c r="N166" s="44" t="str">
        <f>RIGHT(K166,LEN(K166)-FIND(" ",клиенты!$K166,FIND(" ",клиенты!$K166,1)+1))</f>
        <v>Одинцова</v>
      </c>
    </row>
    <row r="167" spans="1:14" x14ac:dyDescent="0.25">
      <c r="A167" s="40">
        <v>411</v>
      </c>
      <c r="B167" s="41" t="s">
        <v>679</v>
      </c>
      <c r="C167" s="41" t="s">
        <v>678</v>
      </c>
      <c r="D167" s="41" t="s">
        <v>140</v>
      </c>
      <c r="E167" s="42">
        <v>44673</v>
      </c>
      <c r="F167" s="41" t="str">
        <f>LEFT(клиенты!$B167,LEN(клиенты!$B167)-13)</f>
        <v>+992</v>
      </c>
      <c r="G167" s="41" t="str">
        <f>_xlfn.XLOOKUP(клиенты!$F167,'коды стран'!$B$2:$B$7,'коды стран'!$A$2:$A$7,"не найдено",0)</f>
        <v>Таджикистан</v>
      </c>
      <c r="H167" s="42">
        <f>_xlfn.MAXIFS(Продажи[дата создания чека],Продажи[id клиента],A167)</f>
        <v>45361</v>
      </c>
      <c r="I167" s="59">
        <f t="shared" si="4"/>
        <v>22.603696098562629</v>
      </c>
      <c r="J167" s="41" t="str">
        <f>IF(LEN(C167) - LEN(SUBSTITUTE(C167," ",""))&lt;3,C167,RIGHT(C167,LEN(C167)-FIND(" ",клиенты!$C167,1)))</f>
        <v>Спиридон Владленович Воронцов</v>
      </c>
      <c r="K167" s="41" t="str">
        <f t="shared" si="5"/>
        <v>Спиридон Владленович Воронцов</v>
      </c>
      <c r="L167" s="41" t="str">
        <f>LEFT(клиенты!$K167,FIND(" ",клиенты!$K167,1)-1)</f>
        <v>Спиридон</v>
      </c>
      <c r="M167" s="41" t="str">
        <f>MID(K167,FIND(" ",клиенты!$K167,1)+1,(FIND(" ",клиенты!$K167,FIND(" ",клиенты!$K167,1)+1)-1)-FIND(" ",клиенты!$K167,1))</f>
        <v>Владленович</v>
      </c>
      <c r="N167" s="41" t="str">
        <f>RIGHT(K167,LEN(K167)-FIND(" ",клиенты!$K167,FIND(" ",клиенты!$K167,1)+1))</f>
        <v>Воронцов</v>
      </c>
    </row>
    <row r="168" spans="1:14" x14ac:dyDescent="0.25">
      <c r="A168" s="43">
        <v>259</v>
      </c>
      <c r="B168" s="44" t="s">
        <v>677</v>
      </c>
      <c r="C168" s="44" t="s">
        <v>676</v>
      </c>
      <c r="D168" s="44" t="s">
        <v>143</v>
      </c>
      <c r="E168" s="45">
        <v>44707</v>
      </c>
      <c r="F168" s="44" t="str">
        <f>LEFT(клиенты!$B168,LEN(клиенты!$B168)-13)</f>
        <v>+375</v>
      </c>
      <c r="G168" s="44" t="str">
        <f>_xlfn.XLOOKUP(клиенты!$F168,'коды стран'!$B$2:$B$7,'коды стран'!$A$2:$A$7,"не найдено",0)</f>
        <v>Беларусь</v>
      </c>
      <c r="H168" s="45">
        <f>_xlfn.MAXIFS(Продажи[дата создания чека],Продажи[id клиента],A168)</f>
        <v>45264</v>
      </c>
      <c r="I168" s="60">
        <f t="shared" si="4"/>
        <v>18.299794661190965</v>
      </c>
      <c r="J168" s="44" t="str">
        <f>IF(LEN(C168) - LEN(SUBSTITUTE(C168," ",""))&lt;3,C168,RIGHT(C168,LEN(C168)-FIND(" ",клиенты!$C168,1)))</f>
        <v>Алевтина Михайловна Зыкова</v>
      </c>
      <c r="K168" s="44" t="str">
        <f t="shared" si="5"/>
        <v>Алевтина Михайловна Зыкова</v>
      </c>
      <c r="L168" s="44" t="str">
        <f>LEFT(клиенты!$K168,FIND(" ",клиенты!$K168,1)-1)</f>
        <v>Алевтина</v>
      </c>
      <c r="M168" s="44" t="str">
        <f>MID(K168,FIND(" ",клиенты!$K168,1)+1,(FIND(" ",клиенты!$K168,FIND(" ",клиенты!$K168,1)+1)-1)-FIND(" ",клиенты!$K168,1))</f>
        <v>Михайловна</v>
      </c>
      <c r="N168" s="44" t="str">
        <f>RIGHT(K168,LEN(K168)-FIND(" ",клиенты!$K168,FIND(" ",клиенты!$K168,1)+1))</f>
        <v>Зыкова</v>
      </c>
    </row>
    <row r="169" spans="1:14" x14ac:dyDescent="0.25">
      <c r="A169" s="40">
        <v>337</v>
      </c>
      <c r="B169" s="41" t="s">
        <v>675</v>
      </c>
      <c r="C169" s="41" t="s">
        <v>674</v>
      </c>
      <c r="D169" s="41" t="s">
        <v>143</v>
      </c>
      <c r="E169" s="42">
        <v>44875</v>
      </c>
      <c r="F169" s="41" t="str">
        <f>LEFT(клиенты!$B169,LEN(клиенты!$B169)-13)</f>
        <v>+7</v>
      </c>
      <c r="G169" s="41" t="str">
        <f>_xlfn.XLOOKUP(клиенты!$F169,'коды стран'!$B$2:$B$7,'коды стран'!$A$2:$A$7,"не найдено",0)</f>
        <v>Россия</v>
      </c>
      <c r="H169" s="42">
        <f>_xlfn.MAXIFS(Продажи[дата создания чека],Продажи[id клиента],A169)</f>
        <v>45395</v>
      </c>
      <c r="I169" s="59">
        <f t="shared" si="4"/>
        <v>17.084188911704313</v>
      </c>
      <c r="J169" s="41" t="str">
        <f>IF(LEN(C169) - LEN(SUBSTITUTE(C169," ",""))&lt;3,C169,RIGHT(C169,LEN(C169)-FIND(" ",клиенты!$C169,1)))</f>
        <v>Максимова Евпраксия Ждановна</v>
      </c>
      <c r="K169" s="41" t="str">
        <f t="shared" si="5"/>
        <v>Евпраксия Ждановна Максимова</v>
      </c>
      <c r="L169" s="41" t="str">
        <f>LEFT(клиенты!$K169,FIND(" ",клиенты!$K169,1)-1)</f>
        <v>Евпраксия</v>
      </c>
      <c r="M169" s="41" t="str">
        <f>MID(K169,FIND(" ",клиенты!$K169,1)+1,(FIND(" ",клиенты!$K169,FIND(" ",клиенты!$K169,1)+1)-1)-FIND(" ",клиенты!$K169,1))</f>
        <v>Ждановна</v>
      </c>
      <c r="N169" s="41" t="str">
        <f>RIGHT(K169,LEN(K169)-FIND(" ",клиенты!$K169,FIND(" ",клиенты!$K169,1)+1))</f>
        <v>Максимова</v>
      </c>
    </row>
    <row r="170" spans="1:14" x14ac:dyDescent="0.25">
      <c r="A170" s="43">
        <v>354</v>
      </c>
      <c r="B170" s="44" t="s">
        <v>673</v>
      </c>
      <c r="C170" s="44" t="s">
        <v>672</v>
      </c>
      <c r="D170" s="44" t="s">
        <v>140</v>
      </c>
      <c r="E170" s="45">
        <v>44811</v>
      </c>
      <c r="F170" s="44" t="str">
        <f>LEFT(клиенты!$B170,LEN(клиенты!$B170)-13)</f>
        <v>+998</v>
      </c>
      <c r="G170" s="44" t="str">
        <f>_xlfn.XLOOKUP(клиенты!$F170,'коды стран'!$B$2:$B$7,'коды стран'!$A$2:$A$7,"не найдено",0)</f>
        <v>Узбекистан</v>
      </c>
      <c r="H170" s="45">
        <f>_xlfn.MAXIFS(Продажи[дата создания чека],Продажи[id клиента],A170)</f>
        <v>45275</v>
      </c>
      <c r="I170" s="60">
        <f t="shared" si="4"/>
        <v>15.24435318275154</v>
      </c>
      <c r="J170" s="44" t="str">
        <f>IF(LEN(C170) - LEN(SUBSTITUTE(C170," ",""))&lt;3,C170,RIGHT(C170,LEN(C170)-FIND(" ",клиенты!$C170,1)))</f>
        <v>Анжела Ивановна Григорьева</v>
      </c>
      <c r="K170" s="44" t="str">
        <f t="shared" si="5"/>
        <v>Анжела Ивановна Григорьева</v>
      </c>
      <c r="L170" s="44" t="str">
        <f>LEFT(клиенты!$K170,FIND(" ",клиенты!$K170,1)-1)</f>
        <v>Анжела</v>
      </c>
      <c r="M170" s="44" t="str">
        <f>MID(K170,FIND(" ",клиенты!$K170,1)+1,(FIND(" ",клиенты!$K170,FIND(" ",клиенты!$K170,1)+1)-1)-FIND(" ",клиенты!$K170,1))</f>
        <v>Ивановна</v>
      </c>
      <c r="N170" s="44" t="str">
        <f>RIGHT(K170,LEN(K170)-FIND(" ",клиенты!$K170,FIND(" ",клиенты!$K170,1)+1))</f>
        <v>Григорьева</v>
      </c>
    </row>
    <row r="171" spans="1:14" x14ac:dyDescent="0.25">
      <c r="A171" s="40">
        <v>329</v>
      </c>
      <c r="B171" s="41" t="s">
        <v>671</v>
      </c>
      <c r="C171" s="41" t="s">
        <v>670</v>
      </c>
      <c r="D171" s="41" t="s">
        <v>143</v>
      </c>
      <c r="E171" s="42">
        <v>44653</v>
      </c>
      <c r="F171" s="41" t="str">
        <f>LEFT(клиенты!$B171,LEN(клиенты!$B171)-13)</f>
        <v>+375</v>
      </c>
      <c r="G171" s="41" t="str">
        <f>_xlfn.XLOOKUP(клиенты!$F171,'коды стран'!$B$2:$B$7,'коды стран'!$A$2:$A$7,"не найдено",0)</f>
        <v>Беларусь</v>
      </c>
      <c r="H171" s="42">
        <f>_xlfn.MAXIFS(Продажи[дата создания чека],Продажи[id клиента],A171)</f>
        <v>45139</v>
      </c>
      <c r="I171" s="59">
        <f t="shared" si="4"/>
        <v>15.967145790554415</v>
      </c>
      <c r="J171" s="41" t="str">
        <f>IF(LEN(C171) - LEN(SUBSTITUTE(C171," ",""))&lt;3,C171,RIGHT(C171,LEN(C171)-FIND(" ",клиенты!$C171,1)))</f>
        <v>Маслова Агафья Юрьевна</v>
      </c>
      <c r="K171" s="41" t="str">
        <f t="shared" si="5"/>
        <v>Агафья Юрьевна Маслова</v>
      </c>
      <c r="L171" s="41" t="str">
        <f>LEFT(клиенты!$K171,FIND(" ",клиенты!$K171,1)-1)</f>
        <v>Агафья</v>
      </c>
      <c r="M171" s="41" t="str">
        <f>MID(K171,FIND(" ",клиенты!$K171,1)+1,(FIND(" ",клиенты!$K171,FIND(" ",клиенты!$K171,1)+1)-1)-FIND(" ",клиенты!$K171,1))</f>
        <v>Юрьевна</v>
      </c>
      <c r="N171" s="41" t="str">
        <f>RIGHT(K171,LEN(K171)-FIND(" ",клиенты!$K171,FIND(" ",клиенты!$K171,1)+1))</f>
        <v>Маслова</v>
      </c>
    </row>
    <row r="172" spans="1:14" x14ac:dyDescent="0.25">
      <c r="A172" s="43">
        <v>186</v>
      </c>
      <c r="B172" s="44" t="s">
        <v>669</v>
      </c>
      <c r="C172" s="44" t="s">
        <v>668</v>
      </c>
      <c r="D172" s="44" t="s">
        <v>140</v>
      </c>
      <c r="E172" s="45">
        <v>44914</v>
      </c>
      <c r="F172" s="44" t="str">
        <f>LEFT(клиенты!$B172,LEN(клиенты!$B172)-13)</f>
        <v>+375</v>
      </c>
      <c r="G172" s="44" t="str">
        <f>_xlfn.XLOOKUP(клиенты!$F172,'коды стран'!$B$2:$B$7,'коды стран'!$A$2:$A$7,"не найдено",0)</f>
        <v>Беларусь</v>
      </c>
      <c r="H172" s="45">
        <f>_xlfn.MAXIFS(Продажи[дата создания чека],Продажи[id клиента],A172)</f>
        <v>45092</v>
      </c>
      <c r="I172" s="60">
        <f t="shared" si="4"/>
        <v>5.848049281314168</v>
      </c>
      <c r="J172" s="44" t="str">
        <f>IF(LEN(C172) - LEN(SUBSTITUTE(C172," ",""))&lt;3,C172,RIGHT(C172,LEN(C172)-FIND(" ",клиенты!$C172,1)))</f>
        <v>Флорентин Демьянович Родионов</v>
      </c>
      <c r="K172" s="44" t="str">
        <f t="shared" si="5"/>
        <v>Флорентин Демьянович Родионов</v>
      </c>
      <c r="L172" s="44" t="str">
        <f>LEFT(клиенты!$K172,FIND(" ",клиенты!$K172,1)-1)</f>
        <v>Флорентин</v>
      </c>
      <c r="M172" s="44" t="str">
        <f>MID(K172,FIND(" ",клиенты!$K172,1)+1,(FIND(" ",клиенты!$K172,FIND(" ",клиенты!$K172,1)+1)-1)-FIND(" ",клиенты!$K172,1))</f>
        <v>Демьянович</v>
      </c>
      <c r="N172" s="44" t="str">
        <f>RIGHT(K172,LEN(K172)-FIND(" ",клиенты!$K172,FIND(" ",клиенты!$K172,1)+1))</f>
        <v>Родионов</v>
      </c>
    </row>
    <row r="173" spans="1:14" x14ac:dyDescent="0.25">
      <c r="A173" s="40">
        <v>448</v>
      </c>
      <c r="B173" s="41" t="s">
        <v>667</v>
      </c>
      <c r="C173" s="41" t="s">
        <v>666</v>
      </c>
      <c r="D173" s="41" t="s">
        <v>140</v>
      </c>
      <c r="E173" s="42">
        <v>44770</v>
      </c>
      <c r="F173" s="41" t="str">
        <f>LEFT(клиенты!$B173,LEN(клиенты!$B173)-13)</f>
        <v>+7</v>
      </c>
      <c r="G173" s="41" t="str">
        <f>_xlfn.XLOOKUP(клиенты!$F173,'коды стран'!$B$2:$B$7,'коды стран'!$A$2:$A$7,"не найдено",0)</f>
        <v>Россия</v>
      </c>
      <c r="H173" s="42">
        <f>_xlfn.MAXIFS(Продажи[дата создания чека],Продажи[id клиента],A173)</f>
        <v>45315</v>
      </c>
      <c r="I173" s="59">
        <f t="shared" si="4"/>
        <v>17.905544147843944</v>
      </c>
      <c r="J173" s="41" t="str">
        <f>IF(LEN(C173) - LEN(SUBSTITUTE(C173," ",""))&lt;3,C173,RIGHT(C173,LEN(C173)-FIND(" ",клиенты!$C173,1)))</f>
        <v>Анжелика Валериевна Рожкова</v>
      </c>
      <c r="K173" s="41" t="str">
        <f t="shared" si="5"/>
        <v>Анжелика Валериевна Рожкова</v>
      </c>
      <c r="L173" s="41" t="str">
        <f>LEFT(клиенты!$K173,FIND(" ",клиенты!$K173,1)-1)</f>
        <v>Анжелика</v>
      </c>
      <c r="M173" s="41" t="str">
        <f>MID(K173,FIND(" ",клиенты!$K173,1)+1,(FIND(" ",клиенты!$K173,FIND(" ",клиенты!$K173,1)+1)-1)-FIND(" ",клиенты!$K173,1))</f>
        <v>Валериевна</v>
      </c>
      <c r="N173" s="41" t="str">
        <f>RIGHT(K173,LEN(K173)-FIND(" ",клиенты!$K173,FIND(" ",клиенты!$K173,1)+1))</f>
        <v>Рожкова</v>
      </c>
    </row>
    <row r="174" spans="1:14" x14ac:dyDescent="0.25">
      <c r="A174" s="43">
        <v>377</v>
      </c>
      <c r="B174" s="44" t="s">
        <v>665</v>
      </c>
      <c r="C174" s="44" t="s">
        <v>664</v>
      </c>
      <c r="D174" s="44" t="s">
        <v>140</v>
      </c>
      <c r="E174" s="45">
        <v>44794</v>
      </c>
      <c r="F174" s="44" t="str">
        <f>LEFT(клиенты!$B174,LEN(клиенты!$B174)-13)</f>
        <v>+998</v>
      </c>
      <c r="G174" s="44" t="str">
        <f>_xlfn.XLOOKUP(клиенты!$F174,'коды стран'!$B$2:$B$7,'коды стран'!$A$2:$A$7,"не найдено",0)</f>
        <v>Узбекистан</v>
      </c>
      <c r="H174" s="45">
        <f>_xlfn.MAXIFS(Продажи[дата создания чека],Продажи[id клиента],A174)</f>
        <v>45265</v>
      </c>
      <c r="I174" s="60">
        <f t="shared" si="4"/>
        <v>15.474332648870636</v>
      </c>
      <c r="J174" s="44" t="str">
        <f>IF(LEN(C174) - LEN(SUBSTITUTE(C174," ",""))&lt;3,C174,RIGHT(C174,LEN(C174)-FIND(" ",клиенты!$C174,1)))</f>
        <v>Виктория Наумовна Никитина</v>
      </c>
      <c r="K174" s="44" t="str">
        <f t="shared" si="5"/>
        <v>Виктория Наумовна Никитина</v>
      </c>
      <c r="L174" s="44" t="str">
        <f>LEFT(клиенты!$K174,FIND(" ",клиенты!$K174,1)-1)</f>
        <v>Виктория</v>
      </c>
      <c r="M174" s="44" t="str">
        <f>MID(K174,FIND(" ",клиенты!$K174,1)+1,(FIND(" ",клиенты!$K174,FIND(" ",клиенты!$K174,1)+1)-1)-FIND(" ",клиенты!$K174,1))</f>
        <v>Наумовна</v>
      </c>
      <c r="N174" s="44" t="str">
        <f>RIGHT(K174,LEN(K174)-FIND(" ",клиенты!$K174,FIND(" ",клиенты!$K174,1)+1))</f>
        <v>Никитина</v>
      </c>
    </row>
    <row r="175" spans="1:14" x14ac:dyDescent="0.25">
      <c r="A175" s="40">
        <v>316</v>
      </c>
      <c r="B175" s="41" t="s">
        <v>663</v>
      </c>
      <c r="C175" s="41" t="s">
        <v>662</v>
      </c>
      <c r="D175" s="41" t="s">
        <v>143</v>
      </c>
      <c r="E175" s="42">
        <v>44787</v>
      </c>
      <c r="F175" s="41" t="str">
        <f>LEFT(клиенты!$B175,LEN(клиенты!$B175)-13)</f>
        <v>+992</v>
      </c>
      <c r="G175" s="41" t="str">
        <f>_xlfn.XLOOKUP(клиенты!$F175,'коды стран'!$B$2:$B$7,'коды стран'!$A$2:$A$7,"не найдено",0)</f>
        <v>Таджикистан</v>
      </c>
      <c r="H175" s="42">
        <f>_xlfn.MAXIFS(Продажи[дата создания чека],Продажи[id клиента],A175)</f>
        <v>45143</v>
      </c>
      <c r="I175" s="59">
        <f t="shared" si="4"/>
        <v>11.696098562628336</v>
      </c>
      <c r="J175" s="41" t="str">
        <f>IF(LEN(C175) - LEN(SUBSTITUTE(C175," ",""))&lt;3,C175,RIGHT(C175,LEN(C175)-FIND(" ",клиенты!$C175,1)))</f>
        <v>Брагина Полина Евгеньевна</v>
      </c>
      <c r="K175" s="41" t="str">
        <f t="shared" si="5"/>
        <v>Полина Евгеньевна Брагина</v>
      </c>
      <c r="L175" s="41" t="str">
        <f>LEFT(клиенты!$K175,FIND(" ",клиенты!$K175,1)-1)</f>
        <v>Полина</v>
      </c>
      <c r="M175" s="41" t="str">
        <f>MID(K175,FIND(" ",клиенты!$K175,1)+1,(FIND(" ",клиенты!$K175,FIND(" ",клиенты!$K175,1)+1)-1)-FIND(" ",клиенты!$K175,1))</f>
        <v>Евгеньевна</v>
      </c>
      <c r="N175" s="41" t="str">
        <f>RIGHT(K175,LEN(K175)-FIND(" ",клиенты!$K175,FIND(" ",клиенты!$K175,1)+1))</f>
        <v>Брагина</v>
      </c>
    </row>
    <row r="176" spans="1:14" x14ac:dyDescent="0.25">
      <c r="A176" s="43">
        <v>322</v>
      </c>
      <c r="B176" s="44" t="s">
        <v>661</v>
      </c>
      <c r="C176" s="44" t="s">
        <v>660</v>
      </c>
      <c r="D176" s="44" t="s">
        <v>143</v>
      </c>
      <c r="E176" s="45">
        <v>44886</v>
      </c>
      <c r="F176" s="44" t="str">
        <f>LEFT(клиенты!$B176,LEN(клиенты!$B176)-13)</f>
        <v>+380</v>
      </c>
      <c r="G176" s="44" t="str">
        <f>_xlfn.XLOOKUP(клиенты!$F176,'коды стран'!$B$2:$B$7,'коды стран'!$A$2:$A$7,"не найдено",0)</f>
        <v>Украина</v>
      </c>
      <c r="H176" s="45">
        <f>_xlfn.MAXIFS(Продажи[дата создания чека],Продажи[id клиента],A176)</f>
        <v>45222</v>
      </c>
      <c r="I176" s="60">
        <f t="shared" si="4"/>
        <v>11.039014373716633</v>
      </c>
      <c r="J176" s="44" t="str">
        <f>IF(LEN(C176) - LEN(SUBSTITUTE(C176," ",""))&lt;3,C176,RIGHT(C176,LEN(C176)-FIND(" ",клиенты!$C176,1)))</f>
        <v>Суханова Алла Эльдаровна</v>
      </c>
      <c r="K176" s="44" t="str">
        <f t="shared" si="5"/>
        <v>Алла Эльдаровна Суханова</v>
      </c>
      <c r="L176" s="44" t="str">
        <f>LEFT(клиенты!$K176,FIND(" ",клиенты!$K176,1)-1)</f>
        <v>Алла</v>
      </c>
      <c r="M176" s="44" t="str">
        <f>MID(K176,FIND(" ",клиенты!$K176,1)+1,(FIND(" ",клиенты!$K176,FIND(" ",клиенты!$K176,1)+1)-1)-FIND(" ",клиенты!$K176,1))</f>
        <v>Эльдаровна</v>
      </c>
      <c r="N176" s="44" t="str">
        <f>RIGHT(K176,LEN(K176)-FIND(" ",клиенты!$K176,FIND(" ",клиенты!$K176,1)+1))</f>
        <v>Суханова</v>
      </c>
    </row>
    <row r="177" spans="1:14" x14ac:dyDescent="0.25">
      <c r="A177" s="40">
        <v>62</v>
      </c>
      <c r="B177" s="41" t="s">
        <v>659</v>
      </c>
      <c r="C177" s="41" t="s">
        <v>658</v>
      </c>
      <c r="D177" s="41" t="s">
        <v>140</v>
      </c>
      <c r="E177" s="42">
        <v>44671</v>
      </c>
      <c r="F177" s="41" t="str">
        <f>LEFT(клиенты!$B177,LEN(клиенты!$B177)-13)</f>
        <v>+7</v>
      </c>
      <c r="G177" s="41" t="str">
        <f>_xlfn.XLOOKUP(клиенты!$F177,'коды стран'!$B$2:$B$7,'коды стран'!$A$2:$A$7,"не найдено",0)</f>
        <v>Россия</v>
      </c>
      <c r="H177" s="42">
        <f>_xlfn.MAXIFS(Продажи[дата создания чека],Продажи[id клиента],A177)</f>
        <v>45349</v>
      </c>
      <c r="I177" s="59">
        <f t="shared" si="4"/>
        <v>22.275154004106778</v>
      </c>
      <c r="J177" s="41" t="str">
        <f>IF(LEN(C177) - LEN(SUBSTITUTE(C177," ",""))&lt;3,C177,RIGHT(C177,LEN(C177)-FIND(" ",клиенты!$C177,1)))</f>
        <v>Юрий Августович Исаков</v>
      </c>
      <c r="K177" s="41" t="str">
        <f t="shared" si="5"/>
        <v>Юрий Августович Исаков</v>
      </c>
      <c r="L177" s="41" t="str">
        <f>LEFT(клиенты!$K177,FIND(" ",клиенты!$K177,1)-1)</f>
        <v>Юрий</v>
      </c>
      <c r="M177" s="41" t="str">
        <f>MID(K177,FIND(" ",клиенты!$K177,1)+1,(FIND(" ",клиенты!$K177,FIND(" ",клиенты!$K177,1)+1)-1)-FIND(" ",клиенты!$K177,1))</f>
        <v>Августович</v>
      </c>
      <c r="N177" s="41" t="str">
        <f>RIGHT(K177,LEN(K177)-FIND(" ",клиенты!$K177,FIND(" ",клиенты!$K177,1)+1))</f>
        <v>Исаков</v>
      </c>
    </row>
    <row r="178" spans="1:14" x14ac:dyDescent="0.25">
      <c r="A178" s="43">
        <v>295</v>
      </c>
      <c r="B178" s="44" t="s">
        <v>657</v>
      </c>
      <c r="C178" s="44" t="s">
        <v>656</v>
      </c>
      <c r="D178" s="44" t="s">
        <v>140</v>
      </c>
      <c r="E178" s="45">
        <v>44588</v>
      </c>
      <c r="F178" s="44" t="str">
        <f>LEFT(клиенты!$B178,LEN(клиенты!$B178)-13)</f>
        <v>+7</v>
      </c>
      <c r="G178" s="44" t="str">
        <f>_xlfn.XLOOKUP(клиенты!$F178,'коды стран'!$B$2:$B$7,'коды стран'!$A$2:$A$7,"не найдено",0)</f>
        <v>Россия</v>
      </c>
      <c r="H178" s="45">
        <f>_xlfn.MAXIFS(Продажи[дата создания чека],Продажи[id клиента],A178)</f>
        <v>45310</v>
      </c>
      <c r="I178" s="60">
        <f t="shared" si="4"/>
        <v>23.720739219712527</v>
      </c>
      <c r="J178" s="44" t="str">
        <f>IF(LEN(C178) - LEN(SUBSTITUTE(C178," ",""))&lt;3,C178,RIGHT(C178,LEN(C178)-FIND(" ",клиенты!$C178,1)))</f>
        <v>Конон Валентинович Владимиров</v>
      </c>
      <c r="K178" s="44" t="str">
        <f t="shared" si="5"/>
        <v>Конон Валентинович Владимиров</v>
      </c>
      <c r="L178" s="44" t="str">
        <f>LEFT(клиенты!$K178,FIND(" ",клиенты!$K178,1)-1)</f>
        <v>Конон</v>
      </c>
      <c r="M178" s="44" t="str">
        <f>MID(K178,FIND(" ",клиенты!$K178,1)+1,(FIND(" ",клиенты!$K178,FIND(" ",клиенты!$K178,1)+1)-1)-FIND(" ",клиенты!$K178,1))</f>
        <v>Валентинович</v>
      </c>
      <c r="N178" s="44" t="str">
        <f>RIGHT(K178,LEN(K178)-FIND(" ",клиенты!$K178,FIND(" ",клиенты!$K178,1)+1))</f>
        <v>Владимиров</v>
      </c>
    </row>
    <row r="179" spans="1:14" x14ac:dyDescent="0.25">
      <c r="A179" s="40">
        <v>235</v>
      </c>
      <c r="B179" s="41" t="s">
        <v>655</v>
      </c>
      <c r="C179" s="41" t="s">
        <v>654</v>
      </c>
      <c r="D179" s="41" t="s">
        <v>140</v>
      </c>
      <c r="E179" s="42">
        <v>44635</v>
      </c>
      <c r="F179" s="41" t="str">
        <f>LEFT(клиенты!$B179,LEN(клиенты!$B179)-13)</f>
        <v>+998</v>
      </c>
      <c r="G179" s="41" t="str">
        <f>_xlfn.XLOOKUP(клиенты!$F179,'коды стран'!$B$2:$B$7,'коды стран'!$A$2:$A$7,"не найдено",0)</f>
        <v>Узбекистан</v>
      </c>
      <c r="H179" s="42">
        <f>_xlfn.MAXIFS(Продажи[дата создания чека],Продажи[id клиента],A179)</f>
        <v>45407</v>
      </c>
      <c r="I179" s="59">
        <f t="shared" si="4"/>
        <v>25.363449691991786</v>
      </c>
      <c r="J179" s="41" t="str">
        <f>IF(LEN(C179) - LEN(SUBSTITUTE(C179," ",""))&lt;3,C179,RIGHT(C179,LEN(C179)-FIND(" ",клиенты!$C179,1)))</f>
        <v>Елисей Игнатович Лобанов</v>
      </c>
      <c r="K179" s="41" t="str">
        <f t="shared" si="5"/>
        <v>Елисей Игнатович Лобанов</v>
      </c>
      <c r="L179" s="41" t="str">
        <f>LEFT(клиенты!$K179,FIND(" ",клиенты!$K179,1)-1)</f>
        <v>Елисей</v>
      </c>
      <c r="M179" s="41" t="str">
        <f>MID(K179,FIND(" ",клиенты!$K179,1)+1,(FIND(" ",клиенты!$K179,FIND(" ",клиенты!$K179,1)+1)-1)-FIND(" ",клиенты!$K179,1))</f>
        <v>Игнатович</v>
      </c>
      <c r="N179" s="41" t="str">
        <f>RIGHT(K179,LEN(K179)-FIND(" ",клиенты!$K179,FIND(" ",клиенты!$K179,1)+1))</f>
        <v>Лобанов</v>
      </c>
    </row>
    <row r="180" spans="1:14" x14ac:dyDescent="0.25">
      <c r="A180" s="43">
        <v>156</v>
      </c>
      <c r="B180" s="44" t="s">
        <v>653</v>
      </c>
      <c r="C180" s="44" t="s">
        <v>652</v>
      </c>
      <c r="D180" s="44" t="s">
        <v>143</v>
      </c>
      <c r="E180" s="45">
        <v>44905</v>
      </c>
      <c r="F180" s="44" t="str">
        <f>LEFT(клиенты!$B180,LEN(клиенты!$B180)-13)</f>
        <v>+380</v>
      </c>
      <c r="G180" s="44" t="str">
        <f>_xlfn.XLOOKUP(клиенты!$F180,'коды стран'!$B$2:$B$7,'коды стран'!$A$2:$A$7,"не найдено",0)</f>
        <v>Украина</v>
      </c>
      <c r="H180" s="45">
        <f>_xlfn.MAXIFS(Продажи[дата создания чека],Продажи[id клиента],A180)</f>
        <v>45351</v>
      </c>
      <c r="I180" s="60">
        <f t="shared" si="4"/>
        <v>14.652977412731007</v>
      </c>
      <c r="J180" s="44" t="str">
        <f>IF(LEN(C180) - LEN(SUBSTITUTE(C180," ",""))&lt;3,C180,RIGHT(C180,LEN(C180)-FIND(" ",клиенты!$C180,1)))</f>
        <v>Белов Симон Иосипович</v>
      </c>
      <c r="K180" s="44" t="str">
        <f t="shared" si="5"/>
        <v>Симон Иосипович Белов</v>
      </c>
      <c r="L180" s="44" t="str">
        <f>LEFT(клиенты!$K180,FIND(" ",клиенты!$K180,1)-1)</f>
        <v>Симон</v>
      </c>
      <c r="M180" s="44" t="str">
        <f>MID(K180,FIND(" ",клиенты!$K180,1)+1,(FIND(" ",клиенты!$K180,FIND(" ",клиенты!$K180,1)+1)-1)-FIND(" ",клиенты!$K180,1))</f>
        <v>Иосипович</v>
      </c>
      <c r="N180" s="44" t="str">
        <f>RIGHT(K180,LEN(K180)-FIND(" ",клиенты!$K180,FIND(" ",клиенты!$K180,1)+1))</f>
        <v>Белов</v>
      </c>
    </row>
    <row r="181" spans="1:14" x14ac:dyDescent="0.25">
      <c r="A181" s="40">
        <v>327</v>
      </c>
      <c r="B181" s="41" t="s">
        <v>651</v>
      </c>
      <c r="C181" s="41" t="s">
        <v>650</v>
      </c>
      <c r="D181" s="41" t="s">
        <v>140</v>
      </c>
      <c r="E181" s="42">
        <v>44565</v>
      </c>
      <c r="F181" s="41" t="str">
        <f>LEFT(клиенты!$B181,LEN(клиенты!$B181)-13)</f>
        <v>+992</v>
      </c>
      <c r="G181" s="41" t="str">
        <f>_xlfn.XLOOKUP(клиенты!$F181,'коды стран'!$B$2:$B$7,'коды стран'!$A$2:$A$7,"не найдено",0)</f>
        <v>Таджикистан</v>
      </c>
      <c r="H181" s="42">
        <f>_xlfn.MAXIFS(Продажи[дата создания чека],Продажи[id клиента],A181)</f>
        <v>45430</v>
      </c>
      <c r="I181" s="59">
        <f t="shared" si="4"/>
        <v>28.418891170431213</v>
      </c>
      <c r="J181" s="41" t="str">
        <f>IF(LEN(C181) - LEN(SUBSTITUTE(C181," ",""))&lt;3,C181,RIGHT(C181,LEN(C181)-FIND(" ",клиенты!$C181,1)))</f>
        <v>Рожкова Маргарита Артемовна</v>
      </c>
      <c r="K181" s="41" t="str">
        <f t="shared" si="5"/>
        <v>Маргарита Артемовна Рожкова</v>
      </c>
      <c r="L181" s="41" t="str">
        <f>LEFT(клиенты!$K181,FIND(" ",клиенты!$K181,1)-1)</f>
        <v>Маргарита</v>
      </c>
      <c r="M181" s="41" t="str">
        <f>MID(K181,FIND(" ",клиенты!$K181,1)+1,(FIND(" ",клиенты!$K181,FIND(" ",клиенты!$K181,1)+1)-1)-FIND(" ",клиенты!$K181,1))</f>
        <v>Артемовна</v>
      </c>
      <c r="N181" s="41" t="str">
        <f>RIGHT(K181,LEN(K181)-FIND(" ",клиенты!$K181,FIND(" ",клиенты!$K181,1)+1))</f>
        <v>Рожкова</v>
      </c>
    </row>
    <row r="182" spans="1:14" x14ac:dyDescent="0.25">
      <c r="A182" s="43">
        <v>275</v>
      </c>
      <c r="B182" s="44" t="s">
        <v>649</v>
      </c>
      <c r="C182" s="44" t="s">
        <v>648</v>
      </c>
      <c r="D182" s="44" t="s">
        <v>140</v>
      </c>
      <c r="E182" s="45">
        <v>44651</v>
      </c>
      <c r="F182" s="44" t="str">
        <f>LEFT(клиенты!$B182,LEN(клиенты!$B182)-13)</f>
        <v>+992</v>
      </c>
      <c r="G182" s="44" t="str">
        <f>_xlfn.XLOOKUP(клиенты!$F182,'коды стран'!$B$2:$B$7,'коды стран'!$A$2:$A$7,"не найдено",0)</f>
        <v>Таджикистан</v>
      </c>
      <c r="H182" s="45">
        <f>_xlfn.MAXIFS(Продажи[дата создания чека],Продажи[id клиента],A182)</f>
        <v>45427</v>
      </c>
      <c r="I182" s="60">
        <f t="shared" si="4"/>
        <v>25.494866529774129</v>
      </c>
      <c r="J182" s="44" t="str">
        <f>IF(LEN(C182) - LEN(SUBSTITUTE(C182," ",""))&lt;3,C182,RIGHT(C182,LEN(C182)-FIND(" ",клиенты!$C182,1)))</f>
        <v>Андрон Валерьевич Морозов</v>
      </c>
      <c r="K182" s="44" t="str">
        <f t="shared" si="5"/>
        <v>Андрон Валерьевич Морозов</v>
      </c>
      <c r="L182" s="44" t="str">
        <f>LEFT(клиенты!$K182,FIND(" ",клиенты!$K182,1)-1)</f>
        <v>Андрон</v>
      </c>
      <c r="M182" s="44" t="str">
        <f>MID(K182,FIND(" ",клиенты!$K182,1)+1,(FIND(" ",клиенты!$K182,FIND(" ",клиенты!$K182,1)+1)-1)-FIND(" ",клиенты!$K182,1))</f>
        <v>Валерьевич</v>
      </c>
      <c r="N182" s="44" t="str">
        <f>RIGHT(K182,LEN(K182)-FIND(" ",клиенты!$K182,FIND(" ",клиенты!$K182,1)+1))</f>
        <v>Морозов</v>
      </c>
    </row>
    <row r="183" spans="1:14" x14ac:dyDescent="0.25">
      <c r="A183" s="40">
        <v>177</v>
      </c>
      <c r="B183" s="41" t="s">
        <v>647</v>
      </c>
      <c r="C183" s="41" t="s">
        <v>646</v>
      </c>
      <c r="D183" s="41" t="s">
        <v>140</v>
      </c>
      <c r="E183" s="42">
        <v>44857</v>
      </c>
      <c r="F183" s="41" t="str">
        <f>LEFT(клиенты!$B183,LEN(клиенты!$B183)-13)</f>
        <v>+992</v>
      </c>
      <c r="G183" s="41" t="str">
        <f>_xlfn.XLOOKUP(клиенты!$F183,'коды стран'!$B$2:$B$7,'коды стран'!$A$2:$A$7,"не найдено",0)</f>
        <v>Таджикистан</v>
      </c>
      <c r="H183" s="42">
        <f>_xlfn.MAXIFS(Продажи[дата создания чека],Продажи[id клиента],A183)</f>
        <v>45421</v>
      </c>
      <c r="I183" s="59">
        <f t="shared" si="4"/>
        <v>18.529774127310063</v>
      </c>
      <c r="J183" s="41" t="str">
        <f>IF(LEN(C183) - LEN(SUBSTITUTE(C183," ",""))&lt;3,C183,RIGHT(C183,LEN(C183)-FIND(" ",клиенты!$C183,1)))</f>
        <v>Иванна Захаровна Сергеева</v>
      </c>
      <c r="K183" s="41" t="str">
        <f t="shared" si="5"/>
        <v>Иванна Захаровна Сергеева</v>
      </c>
      <c r="L183" s="41" t="str">
        <f>LEFT(клиенты!$K183,FIND(" ",клиенты!$K183,1)-1)</f>
        <v>Иванна</v>
      </c>
      <c r="M183" s="41" t="str">
        <f>MID(K183,FIND(" ",клиенты!$K183,1)+1,(FIND(" ",клиенты!$K183,FIND(" ",клиенты!$K183,1)+1)-1)-FIND(" ",клиенты!$K183,1))</f>
        <v>Захаровна</v>
      </c>
      <c r="N183" s="41" t="str">
        <f>RIGHT(K183,LEN(K183)-FIND(" ",клиенты!$K183,FIND(" ",клиенты!$K183,1)+1))</f>
        <v>Сергеева</v>
      </c>
    </row>
    <row r="184" spans="1:14" x14ac:dyDescent="0.25">
      <c r="A184" s="43">
        <v>181</v>
      </c>
      <c r="B184" s="44" t="s">
        <v>645</v>
      </c>
      <c r="C184" s="44" t="s">
        <v>644</v>
      </c>
      <c r="D184" s="44" t="s">
        <v>143</v>
      </c>
      <c r="E184" s="45">
        <v>44568</v>
      </c>
      <c r="F184" s="44" t="str">
        <f>LEFT(клиенты!$B184,LEN(клиенты!$B184)-13)</f>
        <v>+380</v>
      </c>
      <c r="G184" s="44" t="str">
        <f>_xlfn.XLOOKUP(клиенты!$F184,'коды стран'!$B$2:$B$7,'коды стран'!$A$2:$A$7,"не найдено",0)</f>
        <v>Украина</v>
      </c>
      <c r="H184" s="45">
        <f>_xlfn.MAXIFS(Продажи[дата создания чека],Продажи[id клиента],A184)</f>
        <v>45423</v>
      </c>
      <c r="I184" s="60">
        <f t="shared" si="4"/>
        <v>28.090349075975361</v>
      </c>
      <c r="J184" s="44" t="str">
        <f>IF(LEN(C184) - LEN(SUBSTITUTE(C184," ",""))&lt;3,C184,RIGHT(C184,LEN(C184)-FIND(" ",клиенты!$C184,1)))</f>
        <v>Русаков Модест Захарьевич</v>
      </c>
      <c r="K184" s="44" t="str">
        <f t="shared" si="5"/>
        <v>Модест Захарьевич Русаков</v>
      </c>
      <c r="L184" s="44" t="str">
        <f>LEFT(клиенты!$K184,FIND(" ",клиенты!$K184,1)-1)</f>
        <v>Модест</v>
      </c>
      <c r="M184" s="44" t="str">
        <f>MID(K184,FIND(" ",клиенты!$K184,1)+1,(FIND(" ",клиенты!$K184,FIND(" ",клиенты!$K184,1)+1)-1)-FIND(" ",клиенты!$K184,1))</f>
        <v>Захарьевич</v>
      </c>
      <c r="N184" s="44" t="str">
        <f>RIGHT(K184,LEN(K184)-FIND(" ",клиенты!$K184,FIND(" ",клиенты!$K184,1)+1))</f>
        <v>Русаков</v>
      </c>
    </row>
    <row r="185" spans="1:14" x14ac:dyDescent="0.25">
      <c r="A185" s="40">
        <v>478</v>
      </c>
      <c r="B185" s="41" t="s">
        <v>643</v>
      </c>
      <c r="C185" s="41" t="s">
        <v>642</v>
      </c>
      <c r="D185" s="41" t="s">
        <v>140</v>
      </c>
      <c r="E185" s="42">
        <v>44726</v>
      </c>
      <c r="F185" s="41" t="str">
        <f>LEFT(клиенты!$B185,LEN(клиенты!$B185)-13)</f>
        <v>+380</v>
      </c>
      <c r="G185" s="41" t="str">
        <f>_xlfn.XLOOKUP(клиенты!$F185,'коды стран'!$B$2:$B$7,'коды стран'!$A$2:$A$7,"не найдено",0)</f>
        <v>Украина</v>
      </c>
      <c r="H185" s="42">
        <f>_xlfn.MAXIFS(Продажи[дата создания чека],Продажи[id клиента],A185)</f>
        <v>45379</v>
      </c>
      <c r="I185" s="59">
        <f t="shared" si="4"/>
        <v>21.453798767967147</v>
      </c>
      <c r="J185" s="41" t="str">
        <f>IF(LEN(C185) - LEN(SUBSTITUTE(C185," ",""))&lt;3,C185,RIGHT(C185,LEN(C185)-FIND(" ",клиенты!$C185,1)))</f>
        <v>Шарова Екатерина Леоновна</v>
      </c>
      <c r="K185" s="41" t="str">
        <f t="shared" si="5"/>
        <v>Екатерина Леоновна Шарова</v>
      </c>
      <c r="L185" s="41" t="str">
        <f>LEFT(клиенты!$K185,FIND(" ",клиенты!$K185,1)-1)</f>
        <v>Екатерина</v>
      </c>
      <c r="M185" s="41" t="str">
        <f>MID(K185,FIND(" ",клиенты!$K185,1)+1,(FIND(" ",клиенты!$K185,FIND(" ",клиенты!$K185,1)+1)-1)-FIND(" ",клиенты!$K185,1))</f>
        <v>Леоновна</v>
      </c>
      <c r="N185" s="41" t="str">
        <f>RIGHT(K185,LEN(K185)-FIND(" ",клиенты!$K185,FIND(" ",клиенты!$K185,1)+1))</f>
        <v>Шарова</v>
      </c>
    </row>
    <row r="186" spans="1:14" x14ac:dyDescent="0.25">
      <c r="A186" s="43">
        <v>429</v>
      </c>
      <c r="B186" s="44" t="s">
        <v>641</v>
      </c>
      <c r="C186" s="44" t="s">
        <v>640</v>
      </c>
      <c r="D186" s="44" t="s">
        <v>143</v>
      </c>
      <c r="E186" s="45">
        <v>44625</v>
      </c>
      <c r="F186" s="44" t="str">
        <f>LEFT(клиенты!$B186,LEN(клиенты!$B186)-13)</f>
        <v>+992</v>
      </c>
      <c r="G186" s="44" t="str">
        <f>_xlfn.XLOOKUP(клиенты!$F186,'коды стран'!$B$2:$B$7,'коды стран'!$A$2:$A$7,"не найдено",0)</f>
        <v>Таджикистан</v>
      </c>
      <c r="H186" s="45">
        <f>_xlfn.MAXIFS(Продажи[дата создания чека],Продажи[id клиента],A186)</f>
        <v>44996</v>
      </c>
      <c r="I186" s="60">
        <f t="shared" si="4"/>
        <v>12.188911704312115</v>
      </c>
      <c r="J186" s="44" t="str">
        <f>IF(LEN(C186) - LEN(SUBSTITUTE(C186," ",""))&lt;3,C186,RIGHT(C186,LEN(C186)-FIND(" ",клиенты!$C186,1)))</f>
        <v>Цветков Лука Витальевич</v>
      </c>
      <c r="K186" s="44" t="str">
        <f t="shared" si="5"/>
        <v>Лука Витальевич Цветков</v>
      </c>
      <c r="L186" s="44" t="str">
        <f>LEFT(клиенты!$K186,FIND(" ",клиенты!$K186,1)-1)</f>
        <v>Лука</v>
      </c>
      <c r="M186" s="44" t="str">
        <f>MID(K186,FIND(" ",клиенты!$K186,1)+1,(FIND(" ",клиенты!$K186,FIND(" ",клиенты!$K186,1)+1)-1)-FIND(" ",клиенты!$K186,1))</f>
        <v>Витальевич</v>
      </c>
      <c r="N186" s="44" t="str">
        <f>RIGHT(K186,LEN(K186)-FIND(" ",клиенты!$K186,FIND(" ",клиенты!$K186,1)+1))</f>
        <v>Цветков</v>
      </c>
    </row>
    <row r="187" spans="1:14" x14ac:dyDescent="0.25">
      <c r="A187" s="40">
        <v>431</v>
      </c>
      <c r="B187" s="41" t="s">
        <v>639</v>
      </c>
      <c r="C187" s="41" t="s">
        <v>638</v>
      </c>
      <c r="D187" s="41" t="s">
        <v>140</v>
      </c>
      <c r="E187" s="42">
        <v>44623</v>
      </c>
      <c r="F187" s="41" t="str">
        <f>LEFT(клиенты!$B187,LEN(клиенты!$B187)-13)</f>
        <v>+7</v>
      </c>
      <c r="G187" s="41" t="str">
        <f>_xlfn.XLOOKUP(клиенты!$F187,'коды стран'!$B$2:$B$7,'коды стран'!$A$2:$A$7,"не найдено",0)</f>
        <v>Россия</v>
      </c>
      <c r="H187" s="42">
        <f>_xlfn.MAXIFS(Продажи[дата создания чека],Продажи[id клиента],A187)</f>
        <v>45059</v>
      </c>
      <c r="I187" s="59">
        <f t="shared" si="4"/>
        <v>14.324435318275153</v>
      </c>
      <c r="J187" s="41" t="str">
        <f>IF(LEN(C187) - LEN(SUBSTITUTE(C187," ",""))&lt;3,C187,RIGHT(C187,LEN(C187)-FIND(" ",клиенты!$C187,1)))</f>
        <v>Мясников Зосима Якубович</v>
      </c>
      <c r="K187" s="41" t="str">
        <f t="shared" si="5"/>
        <v>Зосима Якубович Мясников</v>
      </c>
      <c r="L187" s="41" t="str">
        <f>LEFT(клиенты!$K187,FIND(" ",клиенты!$K187,1)-1)</f>
        <v>Зосима</v>
      </c>
      <c r="M187" s="41" t="str">
        <f>MID(K187,FIND(" ",клиенты!$K187,1)+1,(FIND(" ",клиенты!$K187,FIND(" ",клиенты!$K187,1)+1)-1)-FIND(" ",клиенты!$K187,1))</f>
        <v>Якубович</v>
      </c>
      <c r="N187" s="41" t="str">
        <f>RIGHT(K187,LEN(K187)-FIND(" ",клиенты!$K187,FIND(" ",клиенты!$K187,1)+1))</f>
        <v>Мясников</v>
      </c>
    </row>
    <row r="188" spans="1:14" x14ac:dyDescent="0.25">
      <c r="A188" s="43">
        <v>147</v>
      </c>
      <c r="B188" s="44" t="s">
        <v>637</v>
      </c>
      <c r="C188" s="44" t="s">
        <v>636</v>
      </c>
      <c r="D188" s="44" t="s">
        <v>143</v>
      </c>
      <c r="E188" s="45">
        <v>44827</v>
      </c>
      <c r="F188" s="44" t="str">
        <f>LEFT(клиенты!$B188,LEN(клиенты!$B188)-13)</f>
        <v>+7</v>
      </c>
      <c r="G188" s="44" t="str">
        <f>_xlfn.XLOOKUP(клиенты!$F188,'коды стран'!$B$2:$B$7,'коды стран'!$A$2:$A$7,"не найдено",0)</f>
        <v>Россия</v>
      </c>
      <c r="H188" s="45">
        <f>_xlfn.MAXIFS(Продажи[дата создания чека],Продажи[id клиента],A188)</f>
        <v>45415</v>
      </c>
      <c r="I188" s="60">
        <f t="shared" si="4"/>
        <v>19.318275154004105</v>
      </c>
      <c r="J188" s="44" t="str">
        <f>IF(LEN(C188) - LEN(SUBSTITUTE(C188," ",""))&lt;3,C188,RIGHT(C188,LEN(C188)-FIND(" ",клиенты!$C188,1)))</f>
        <v>Бирюкова Агафья Артемовна</v>
      </c>
      <c r="K188" s="44" t="str">
        <f t="shared" si="5"/>
        <v>Агафья Артемовна Бирюкова</v>
      </c>
      <c r="L188" s="44" t="str">
        <f>LEFT(клиенты!$K188,FIND(" ",клиенты!$K188,1)-1)</f>
        <v>Агафья</v>
      </c>
      <c r="M188" s="44" t="str">
        <f>MID(K188,FIND(" ",клиенты!$K188,1)+1,(FIND(" ",клиенты!$K188,FIND(" ",клиенты!$K188,1)+1)-1)-FIND(" ",клиенты!$K188,1))</f>
        <v>Артемовна</v>
      </c>
      <c r="N188" s="44" t="str">
        <f>RIGHT(K188,LEN(K188)-FIND(" ",клиенты!$K188,FIND(" ",клиенты!$K188,1)+1))</f>
        <v>Бирюкова</v>
      </c>
    </row>
    <row r="189" spans="1:14" x14ac:dyDescent="0.25">
      <c r="A189" s="40">
        <v>312</v>
      </c>
      <c r="B189" s="41" t="s">
        <v>635</v>
      </c>
      <c r="C189" s="41" t="s">
        <v>634</v>
      </c>
      <c r="D189" s="41" t="s">
        <v>143</v>
      </c>
      <c r="E189" s="42">
        <v>44886</v>
      </c>
      <c r="F189" s="41" t="str">
        <f>LEFT(клиенты!$B189,LEN(клиенты!$B189)-13)</f>
        <v>+7</v>
      </c>
      <c r="G189" s="41" t="str">
        <f>_xlfn.XLOOKUP(клиенты!$F189,'коды стран'!$B$2:$B$7,'коды стран'!$A$2:$A$7,"не найдено",0)</f>
        <v>Россия</v>
      </c>
      <c r="H189" s="42">
        <f>_xlfn.MAXIFS(Продажи[дата создания чека],Продажи[id клиента],A189)</f>
        <v>45011</v>
      </c>
      <c r="I189" s="59">
        <f t="shared" si="4"/>
        <v>4.1067761806981515</v>
      </c>
      <c r="J189" s="41" t="str">
        <f>IF(LEN(C189) - LEN(SUBSTITUTE(C189," ",""))&lt;3,C189,RIGHT(C189,LEN(C189)-FIND(" ",клиенты!$C189,1)))</f>
        <v>Савельев Климент Гурьевич</v>
      </c>
      <c r="K189" s="41" t="str">
        <f t="shared" si="5"/>
        <v>Климент Гурьевич Савельев</v>
      </c>
      <c r="L189" s="41" t="str">
        <f>LEFT(клиенты!$K189,FIND(" ",клиенты!$K189,1)-1)</f>
        <v>Климент</v>
      </c>
      <c r="M189" s="41" t="str">
        <f>MID(K189,FIND(" ",клиенты!$K189,1)+1,(FIND(" ",клиенты!$K189,FIND(" ",клиенты!$K189,1)+1)-1)-FIND(" ",клиенты!$K189,1))</f>
        <v>Гурьевич</v>
      </c>
      <c r="N189" s="41" t="str">
        <f>RIGHT(K189,LEN(K189)-FIND(" ",клиенты!$K189,FIND(" ",клиенты!$K189,1)+1))</f>
        <v>Савельев</v>
      </c>
    </row>
    <row r="190" spans="1:14" x14ac:dyDescent="0.25">
      <c r="A190" s="43">
        <v>41</v>
      </c>
      <c r="B190" s="44" t="s">
        <v>633</v>
      </c>
      <c r="C190" s="44" t="s">
        <v>632</v>
      </c>
      <c r="D190" s="44" t="s">
        <v>143</v>
      </c>
      <c r="E190" s="45">
        <v>44842</v>
      </c>
      <c r="F190" s="44" t="str">
        <f>LEFT(клиенты!$B190,LEN(клиенты!$B190)-13)</f>
        <v>+7</v>
      </c>
      <c r="G190" s="44" t="str">
        <f>_xlfn.XLOOKUP(клиенты!$F190,'коды стран'!$B$2:$B$7,'коды стран'!$A$2:$A$7,"не найдено",0)</f>
        <v>Россия</v>
      </c>
      <c r="H190" s="45">
        <f>_xlfn.MAXIFS(Продажи[дата создания чека],Продажи[id клиента],A190)</f>
        <v>45355</v>
      </c>
      <c r="I190" s="60">
        <f t="shared" si="4"/>
        <v>16.854209445585216</v>
      </c>
      <c r="J190" s="44" t="str">
        <f>IF(LEN(C190) - LEN(SUBSTITUTE(C190," ",""))&lt;3,C190,RIGHT(C190,LEN(C190)-FIND(" ",клиенты!$C190,1)))</f>
        <v>Волкова Валентина Николаевна</v>
      </c>
      <c r="K190" s="44" t="str">
        <f t="shared" si="5"/>
        <v>Валентина Николаевна Волкова</v>
      </c>
      <c r="L190" s="44" t="str">
        <f>LEFT(клиенты!$K190,FIND(" ",клиенты!$K190,1)-1)</f>
        <v>Валентина</v>
      </c>
      <c r="M190" s="44" t="str">
        <f>MID(K190,FIND(" ",клиенты!$K190,1)+1,(FIND(" ",клиенты!$K190,FIND(" ",клиенты!$K190,1)+1)-1)-FIND(" ",клиенты!$K190,1))</f>
        <v>Николаевна</v>
      </c>
      <c r="N190" s="44" t="str">
        <f>RIGHT(K190,LEN(K190)-FIND(" ",клиенты!$K190,FIND(" ",клиенты!$K190,1)+1))</f>
        <v>Волкова</v>
      </c>
    </row>
    <row r="191" spans="1:14" x14ac:dyDescent="0.25">
      <c r="A191" s="40">
        <v>389</v>
      </c>
      <c r="B191" s="41" t="s">
        <v>631</v>
      </c>
      <c r="C191" s="41" t="s">
        <v>630</v>
      </c>
      <c r="D191" s="41" t="s">
        <v>143</v>
      </c>
      <c r="E191" s="42">
        <v>44876</v>
      </c>
      <c r="F191" s="41" t="str">
        <f>LEFT(клиенты!$B191,LEN(клиенты!$B191)-13)</f>
        <v>+7</v>
      </c>
      <c r="G191" s="41" t="str">
        <f>_xlfn.XLOOKUP(клиенты!$F191,'коды стран'!$B$2:$B$7,'коды стран'!$A$2:$A$7,"не найдено",0)</f>
        <v>Россия</v>
      </c>
      <c r="H191" s="42">
        <f>_xlfn.MAXIFS(Продажи[дата создания чека],Продажи[id клиента],A191)</f>
        <v>45006</v>
      </c>
      <c r="I191" s="59">
        <f t="shared" si="4"/>
        <v>4.2710472279260783</v>
      </c>
      <c r="J191" s="41" t="str">
        <f>IF(LEN(C191) - LEN(SUBSTITUTE(C191," ",""))&lt;3,C191,RIGHT(C191,LEN(C191)-FIND(" ",клиенты!$C191,1)))</f>
        <v>Автоном Терентьевич Филиппов</v>
      </c>
      <c r="K191" s="41" t="str">
        <f t="shared" si="5"/>
        <v>Автоном Терентьевич Филиппов</v>
      </c>
      <c r="L191" s="41" t="str">
        <f>LEFT(клиенты!$K191,FIND(" ",клиенты!$K191,1)-1)</f>
        <v>Автоном</v>
      </c>
      <c r="M191" s="41" t="str">
        <f>MID(K191,FIND(" ",клиенты!$K191,1)+1,(FIND(" ",клиенты!$K191,FIND(" ",клиенты!$K191,1)+1)-1)-FIND(" ",клиенты!$K191,1))</f>
        <v>Терентьевич</v>
      </c>
      <c r="N191" s="41" t="str">
        <f>RIGHT(K191,LEN(K191)-FIND(" ",клиенты!$K191,FIND(" ",клиенты!$K191,1)+1))</f>
        <v>Филиппов</v>
      </c>
    </row>
    <row r="192" spans="1:14" x14ac:dyDescent="0.25">
      <c r="A192" s="43">
        <v>249</v>
      </c>
      <c r="B192" s="44" t="s">
        <v>629</v>
      </c>
      <c r="C192" s="44" t="s">
        <v>628</v>
      </c>
      <c r="D192" s="44" t="s">
        <v>143</v>
      </c>
      <c r="E192" s="45">
        <v>44781</v>
      </c>
      <c r="F192" s="44" t="str">
        <f>LEFT(клиенты!$B192,LEN(клиенты!$B192)-13)</f>
        <v>+7</v>
      </c>
      <c r="G192" s="44" t="str">
        <f>_xlfn.XLOOKUP(клиенты!$F192,'коды стран'!$B$2:$B$7,'коды стран'!$A$2:$A$7,"не найдено",0)</f>
        <v>Россия</v>
      </c>
      <c r="H192" s="45">
        <f>_xlfn.MAXIFS(Продажи[дата создания чека],Продажи[id клиента],A192)</f>
        <v>45346</v>
      </c>
      <c r="I192" s="60">
        <f t="shared" si="4"/>
        <v>18.562628336755647</v>
      </c>
      <c r="J192" s="44" t="str">
        <f>IF(LEN(C192) - LEN(SUBSTITUTE(C192," ",""))&lt;3,C192,RIGHT(C192,LEN(C192)-FIND(" ",клиенты!$C192,1)))</f>
        <v>Абрамов Адриан Фролович</v>
      </c>
      <c r="K192" s="44" t="str">
        <f t="shared" si="5"/>
        <v>Адриан Фролович Абрамов</v>
      </c>
      <c r="L192" s="44" t="str">
        <f>LEFT(клиенты!$K192,FIND(" ",клиенты!$K192,1)-1)</f>
        <v>Адриан</v>
      </c>
      <c r="M192" s="44" t="str">
        <f>MID(K192,FIND(" ",клиенты!$K192,1)+1,(FIND(" ",клиенты!$K192,FIND(" ",клиенты!$K192,1)+1)-1)-FIND(" ",клиенты!$K192,1))</f>
        <v>Фролович</v>
      </c>
      <c r="N192" s="44" t="str">
        <f>RIGHT(K192,LEN(K192)-FIND(" ",клиенты!$K192,FIND(" ",клиенты!$K192,1)+1))</f>
        <v>Абрамов</v>
      </c>
    </row>
    <row r="193" spans="1:14" x14ac:dyDescent="0.25">
      <c r="A193" s="40">
        <v>168</v>
      </c>
      <c r="B193" s="41" t="s">
        <v>627</v>
      </c>
      <c r="C193" s="41" t="s">
        <v>626</v>
      </c>
      <c r="D193" s="41" t="s">
        <v>143</v>
      </c>
      <c r="E193" s="42">
        <v>44706</v>
      </c>
      <c r="F193" s="41" t="str">
        <f>LEFT(клиенты!$B193,LEN(клиенты!$B193)-13)</f>
        <v>+998</v>
      </c>
      <c r="G193" s="41" t="str">
        <f>_xlfn.XLOOKUP(клиенты!$F193,'коды стран'!$B$2:$B$7,'коды стран'!$A$2:$A$7,"не найдено",0)</f>
        <v>Узбекистан</v>
      </c>
      <c r="H193" s="42">
        <f>_xlfn.MAXIFS(Продажи[дата создания чека],Продажи[id клиента],A193)</f>
        <v>45029</v>
      </c>
      <c r="I193" s="59">
        <f t="shared" si="4"/>
        <v>10.611909650924025</v>
      </c>
      <c r="J193" s="41" t="str">
        <f>IF(LEN(C193) - LEN(SUBSTITUTE(C193," ",""))&lt;3,C193,RIGHT(C193,LEN(C193)-FIND(" ",клиенты!$C193,1)))</f>
        <v>Самсонов Борислав Фролович</v>
      </c>
      <c r="K193" s="41" t="str">
        <f t="shared" si="5"/>
        <v>Борислав Фролович Самсонов</v>
      </c>
      <c r="L193" s="41" t="str">
        <f>LEFT(клиенты!$K193,FIND(" ",клиенты!$K193,1)-1)</f>
        <v>Борислав</v>
      </c>
      <c r="M193" s="41" t="str">
        <f>MID(K193,FIND(" ",клиенты!$K193,1)+1,(FIND(" ",клиенты!$K193,FIND(" ",клиенты!$K193,1)+1)-1)-FIND(" ",клиенты!$K193,1))</f>
        <v>Фролович</v>
      </c>
      <c r="N193" s="41" t="str">
        <f>RIGHT(K193,LEN(K193)-FIND(" ",клиенты!$K193,FIND(" ",клиенты!$K193,1)+1))</f>
        <v>Самсонов</v>
      </c>
    </row>
    <row r="194" spans="1:14" x14ac:dyDescent="0.25">
      <c r="A194" s="43">
        <v>121</v>
      </c>
      <c r="B194" s="44" t="s">
        <v>625</v>
      </c>
      <c r="C194" s="44" t="s">
        <v>624</v>
      </c>
      <c r="D194" s="44" t="s">
        <v>143</v>
      </c>
      <c r="E194" s="45">
        <v>44763</v>
      </c>
      <c r="F194" s="44" t="str">
        <f>LEFT(клиенты!$B194,LEN(клиенты!$B194)-13)</f>
        <v>+7</v>
      </c>
      <c r="G194" s="44" t="str">
        <f>_xlfn.XLOOKUP(клиенты!$F194,'коды стран'!$B$2:$B$7,'коды стран'!$A$2:$A$7,"не найдено",0)</f>
        <v>Россия</v>
      </c>
      <c r="H194" s="45">
        <f>_xlfn.MAXIFS(Продажи[дата создания чека],Продажи[id клиента],A194)</f>
        <v>45064</v>
      </c>
      <c r="I194" s="60">
        <f t="shared" si="4"/>
        <v>9.8891170431211499</v>
      </c>
      <c r="J194" s="44" t="str">
        <f>IF(LEN(C194) - LEN(SUBSTITUTE(C194," ",""))&lt;3,C194,RIGHT(C194,LEN(C194)-FIND(" ",клиенты!$C194,1)))</f>
        <v>Сысоева Светлана Захаровна</v>
      </c>
      <c r="K194" s="44" t="str">
        <f t="shared" si="5"/>
        <v>Светлана Захаровна Сысоева</v>
      </c>
      <c r="L194" s="44" t="str">
        <f>LEFT(клиенты!$K194,FIND(" ",клиенты!$K194,1)-1)</f>
        <v>Светлана</v>
      </c>
      <c r="M194" s="44" t="str">
        <f>MID(K194,FIND(" ",клиенты!$K194,1)+1,(FIND(" ",клиенты!$K194,FIND(" ",клиенты!$K194,1)+1)-1)-FIND(" ",клиенты!$K194,1))</f>
        <v>Захаровна</v>
      </c>
      <c r="N194" s="44" t="str">
        <f>RIGHT(K194,LEN(K194)-FIND(" ",клиенты!$K194,FIND(" ",клиенты!$K194,1)+1))</f>
        <v>Сысоева</v>
      </c>
    </row>
    <row r="195" spans="1:14" x14ac:dyDescent="0.25">
      <c r="A195" s="40">
        <v>405</v>
      </c>
      <c r="B195" s="41" t="s">
        <v>623</v>
      </c>
      <c r="C195" s="41" t="s">
        <v>622</v>
      </c>
      <c r="D195" s="41" t="s">
        <v>140</v>
      </c>
      <c r="E195" s="42">
        <v>44798</v>
      </c>
      <c r="F195" s="41" t="str">
        <f>LEFT(клиенты!$B195,LEN(клиенты!$B195)-13)</f>
        <v>+380</v>
      </c>
      <c r="G195" s="41" t="str">
        <f>_xlfn.XLOOKUP(клиенты!$F195,'коды стран'!$B$2:$B$7,'коды стран'!$A$2:$A$7,"не найдено",0)</f>
        <v>Украина</v>
      </c>
      <c r="H195" s="42">
        <f>_xlfn.MAXIFS(Продажи[дата создания чека],Продажи[id клиента],A195)</f>
        <v>45261</v>
      </c>
      <c r="I195" s="59">
        <f t="shared" ref="I195:I258" si="6">IFERROR((H195-E195)/30.4375,0)</f>
        <v>15.211498973305956</v>
      </c>
      <c r="J195" s="41" t="str">
        <f>IF(LEN(C195) - LEN(SUBSTITUTE(C195," ",""))&lt;3,C195,RIGHT(C195,LEN(C195)-FIND(" ",клиенты!$C195,1)))</f>
        <v>Ия Робертовна Белова</v>
      </c>
      <c r="K195" s="41" t="str">
        <f t="shared" ref="K195:K258" si="7">IF(OR(
    RIGHT(MID(C195,FIND(" ",C195)+1,FIND(" ",C195,FIND(" ",C195)+1)-FIND(" ",C195)-1),2)="ич",
    RIGHT(MID(C195,FIND(" ",C195)+1,FIND(" ",C195,FIND(" ",C195)+1)-FIND(" ",C195)-1),3)="вна",
    RIGHT(MID(C195,FIND(" ",C195)+1,FIND(" ",C195,FIND(" ",C195)+1)-FIND(" ",C195)-1),3)="чна"
),
C195,
MID(C195,FIND(" ",C195)+1,FIND(" ",C195,FIND(" ",C195)+1)-FIND(" ",C195)-1)&amp;" "&amp;
RIGHT(C195,LEN(C195)-FIND("☐",SUBSTITUTE(C195," ","☐",2)))&amp;" "&amp;
LEFT(C195,FIND(" ",C195)-1)
)</f>
        <v>Ия Робертовна Белова</v>
      </c>
      <c r="L195" s="41" t="str">
        <f>LEFT(клиенты!$K195,FIND(" ",клиенты!$K195,1)-1)</f>
        <v>Ия</v>
      </c>
      <c r="M195" s="41" t="str">
        <f>MID(K195,FIND(" ",клиенты!$K195,1)+1,(FIND(" ",клиенты!$K195,FIND(" ",клиенты!$K195,1)+1)-1)-FIND(" ",клиенты!$K195,1))</f>
        <v>Робертовна</v>
      </c>
      <c r="N195" s="41" t="str">
        <f>RIGHT(K195,LEN(K195)-FIND(" ",клиенты!$K195,FIND(" ",клиенты!$K195,1)+1))</f>
        <v>Белова</v>
      </c>
    </row>
    <row r="196" spans="1:14" x14ac:dyDescent="0.25">
      <c r="A196" s="43">
        <v>376</v>
      </c>
      <c r="B196" s="44" t="s">
        <v>621</v>
      </c>
      <c r="C196" s="44" t="s">
        <v>620</v>
      </c>
      <c r="D196" s="44" t="s">
        <v>143</v>
      </c>
      <c r="E196" s="45">
        <v>44730</v>
      </c>
      <c r="F196" s="44" t="str">
        <f>LEFT(клиенты!$B196,LEN(клиенты!$B196)-13)</f>
        <v>+375</v>
      </c>
      <c r="G196" s="44" t="str">
        <f>_xlfn.XLOOKUP(клиенты!$F196,'коды стран'!$B$2:$B$7,'коды стран'!$A$2:$A$7,"не найдено",0)</f>
        <v>Беларусь</v>
      </c>
      <c r="H196" s="45">
        <f>_xlfn.MAXIFS(Продажи[дата создания чека],Продажи[id клиента],A196)</f>
        <v>45412</v>
      </c>
      <c r="I196" s="60">
        <f t="shared" si="6"/>
        <v>22.406570841889117</v>
      </c>
      <c r="J196" s="44" t="str">
        <f>IF(LEN(C196) - LEN(SUBSTITUTE(C196," ",""))&lt;3,C196,RIGHT(C196,LEN(C196)-FIND(" ",клиенты!$C196,1)))</f>
        <v>Лукин Борис Власович</v>
      </c>
      <c r="K196" s="44" t="str">
        <f t="shared" si="7"/>
        <v>Борис Власович Лукин</v>
      </c>
      <c r="L196" s="44" t="str">
        <f>LEFT(клиенты!$K196,FIND(" ",клиенты!$K196,1)-1)</f>
        <v>Борис</v>
      </c>
      <c r="M196" s="44" t="str">
        <f>MID(K196,FIND(" ",клиенты!$K196,1)+1,(FIND(" ",клиенты!$K196,FIND(" ",клиенты!$K196,1)+1)-1)-FIND(" ",клиенты!$K196,1))</f>
        <v>Власович</v>
      </c>
      <c r="N196" s="44" t="str">
        <f>RIGHT(K196,LEN(K196)-FIND(" ",клиенты!$K196,FIND(" ",клиенты!$K196,1)+1))</f>
        <v>Лукин</v>
      </c>
    </row>
    <row r="197" spans="1:14" x14ac:dyDescent="0.25">
      <c r="A197" s="40">
        <v>489</v>
      </c>
      <c r="B197" s="41" t="s">
        <v>619</v>
      </c>
      <c r="C197" s="41" t="s">
        <v>618</v>
      </c>
      <c r="D197" s="41" t="s">
        <v>143</v>
      </c>
      <c r="E197" s="42">
        <v>44587</v>
      </c>
      <c r="F197" s="41" t="str">
        <f>LEFT(клиенты!$B197,LEN(клиенты!$B197)-13)</f>
        <v>+7</v>
      </c>
      <c r="G197" s="41" t="str">
        <f>_xlfn.XLOOKUP(клиенты!$F197,'коды стран'!$B$2:$B$7,'коды стран'!$A$2:$A$7,"не найдено",0)</f>
        <v>Россия</v>
      </c>
      <c r="H197" s="42">
        <f>_xlfn.MAXIFS(Продажи[дата создания чека],Продажи[id клиента],A197)</f>
        <v>45129</v>
      </c>
      <c r="I197" s="59">
        <f t="shared" si="6"/>
        <v>17.806981519507186</v>
      </c>
      <c r="J197" s="41" t="str">
        <f>IF(LEN(C197) - LEN(SUBSTITUTE(C197," ",""))&lt;3,C197,RIGHT(C197,LEN(C197)-FIND(" ",клиенты!$C197,1)))</f>
        <v>Никанор Феодосьевич Воронов</v>
      </c>
      <c r="K197" s="41" t="str">
        <f t="shared" si="7"/>
        <v>Никанор Феодосьевич Воронов</v>
      </c>
      <c r="L197" s="41" t="str">
        <f>LEFT(клиенты!$K197,FIND(" ",клиенты!$K197,1)-1)</f>
        <v>Никанор</v>
      </c>
      <c r="M197" s="41" t="str">
        <f>MID(K197,FIND(" ",клиенты!$K197,1)+1,(FIND(" ",клиенты!$K197,FIND(" ",клиенты!$K197,1)+1)-1)-FIND(" ",клиенты!$K197,1))</f>
        <v>Феодосьевич</v>
      </c>
      <c r="N197" s="41" t="str">
        <f>RIGHT(K197,LEN(K197)-FIND(" ",клиенты!$K197,FIND(" ",клиенты!$K197,1)+1))</f>
        <v>Воронов</v>
      </c>
    </row>
    <row r="198" spans="1:14" x14ac:dyDescent="0.25">
      <c r="A198" s="43">
        <v>483</v>
      </c>
      <c r="B198" s="44" t="s">
        <v>617</v>
      </c>
      <c r="C198" s="44" t="s">
        <v>616</v>
      </c>
      <c r="D198" s="44" t="s">
        <v>143</v>
      </c>
      <c r="E198" s="45">
        <v>44855</v>
      </c>
      <c r="F198" s="44" t="str">
        <f>LEFT(клиенты!$B198,LEN(клиенты!$B198)-13)</f>
        <v>+7</v>
      </c>
      <c r="G198" s="44" t="str">
        <f>_xlfn.XLOOKUP(клиенты!$F198,'коды стран'!$B$2:$B$7,'коды стран'!$A$2:$A$7,"не найдено",0)</f>
        <v>Россия</v>
      </c>
      <c r="H198" s="45">
        <f>_xlfn.MAXIFS(Продажи[дата создания чека],Продажи[id клиента],A198)</f>
        <v>45343</v>
      </c>
      <c r="I198" s="60">
        <f t="shared" si="6"/>
        <v>16.032854209445585</v>
      </c>
      <c r="J198" s="44" t="str">
        <f>IF(LEN(C198) - LEN(SUBSTITUTE(C198," ",""))&lt;3,C198,RIGHT(C198,LEN(C198)-FIND(" ",клиенты!$C198,1)))</f>
        <v>Александр Архипович Гущин</v>
      </c>
      <c r="K198" s="44" t="str">
        <f t="shared" si="7"/>
        <v>Александр Архипович Гущин</v>
      </c>
      <c r="L198" s="44" t="str">
        <f>LEFT(клиенты!$K198,FIND(" ",клиенты!$K198,1)-1)</f>
        <v>Александр</v>
      </c>
      <c r="M198" s="44" t="str">
        <f>MID(K198,FIND(" ",клиенты!$K198,1)+1,(FIND(" ",клиенты!$K198,FIND(" ",клиенты!$K198,1)+1)-1)-FIND(" ",клиенты!$K198,1))</f>
        <v>Архипович</v>
      </c>
      <c r="N198" s="44" t="str">
        <f>RIGHT(K198,LEN(K198)-FIND(" ",клиенты!$K198,FIND(" ",клиенты!$K198,1)+1))</f>
        <v>Гущин</v>
      </c>
    </row>
    <row r="199" spans="1:14" x14ac:dyDescent="0.25">
      <c r="A199" s="40">
        <v>107</v>
      </c>
      <c r="B199" s="41" t="s">
        <v>615</v>
      </c>
      <c r="C199" s="41" t="s">
        <v>614</v>
      </c>
      <c r="D199" s="41" t="s">
        <v>140</v>
      </c>
      <c r="E199" s="42">
        <v>44744</v>
      </c>
      <c r="F199" s="41" t="str">
        <f>LEFT(клиенты!$B199,LEN(клиенты!$B199)-13)</f>
        <v>+992</v>
      </c>
      <c r="G199" s="41" t="str">
        <f>_xlfn.XLOOKUP(клиенты!$F199,'коды стран'!$B$2:$B$7,'коды стран'!$A$2:$A$7,"не найдено",0)</f>
        <v>Таджикистан</v>
      </c>
      <c r="H199" s="42">
        <f>_xlfn.MAXIFS(Продажи[дата создания чека],Продажи[id клиента],A199)</f>
        <v>45337</v>
      </c>
      <c r="I199" s="59">
        <f t="shared" si="6"/>
        <v>19.482546201232033</v>
      </c>
      <c r="J199" s="41" t="str">
        <f>IF(LEN(C199) - LEN(SUBSTITUTE(C199," ",""))&lt;3,C199,RIGHT(C199,LEN(C199)-FIND(" ",клиенты!$C199,1)))</f>
        <v>Большаков Антип Тихонович</v>
      </c>
      <c r="K199" s="41" t="str">
        <f t="shared" si="7"/>
        <v>Антип Тихонович Большаков</v>
      </c>
      <c r="L199" s="41" t="str">
        <f>LEFT(клиенты!$K199,FIND(" ",клиенты!$K199,1)-1)</f>
        <v>Антип</v>
      </c>
      <c r="M199" s="41" t="str">
        <f>MID(K199,FIND(" ",клиенты!$K199,1)+1,(FIND(" ",клиенты!$K199,FIND(" ",клиенты!$K199,1)+1)-1)-FIND(" ",клиенты!$K199,1))</f>
        <v>Тихонович</v>
      </c>
      <c r="N199" s="41" t="str">
        <f>RIGHT(K199,LEN(K199)-FIND(" ",клиенты!$K199,FIND(" ",клиенты!$K199,1)+1))</f>
        <v>Большаков</v>
      </c>
    </row>
    <row r="200" spans="1:14" x14ac:dyDescent="0.25">
      <c r="A200" s="43">
        <v>51</v>
      </c>
      <c r="B200" s="44" t="s">
        <v>613</v>
      </c>
      <c r="C200" s="44" t="s">
        <v>612</v>
      </c>
      <c r="D200" s="44" t="s">
        <v>140</v>
      </c>
      <c r="E200" s="45">
        <v>44605</v>
      </c>
      <c r="F200" s="44" t="str">
        <f>LEFT(клиенты!$B200,LEN(клиенты!$B200)-13)</f>
        <v>+998</v>
      </c>
      <c r="G200" s="44" t="str">
        <f>_xlfn.XLOOKUP(клиенты!$F200,'коды стран'!$B$2:$B$7,'коды стран'!$A$2:$A$7,"не найдено",0)</f>
        <v>Узбекистан</v>
      </c>
      <c r="H200" s="45">
        <f>_xlfn.MAXIFS(Продажи[дата создания чека],Продажи[id клиента],A200)</f>
        <v>45411</v>
      </c>
      <c r="I200" s="60">
        <f t="shared" si="6"/>
        <v>26.480492813141684</v>
      </c>
      <c r="J200" s="44" t="str">
        <f>IF(LEN(C200) - LEN(SUBSTITUTE(C200," ",""))&lt;3,C200,RIGHT(C200,LEN(C200)-FIND(" ",клиенты!$C200,1)))</f>
        <v>Костина Жанна Рубеновна</v>
      </c>
      <c r="K200" s="44" t="str">
        <f t="shared" si="7"/>
        <v>Жанна Рубеновна Костина</v>
      </c>
      <c r="L200" s="44" t="str">
        <f>LEFT(клиенты!$K200,FIND(" ",клиенты!$K200,1)-1)</f>
        <v>Жанна</v>
      </c>
      <c r="M200" s="44" t="str">
        <f>MID(K200,FIND(" ",клиенты!$K200,1)+1,(FIND(" ",клиенты!$K200,FIND(" ",клиенты!$K200,1)+1)-1)-FIND(" ",клиенты!$K200,1))</f>
        <v>Рубеновна</v>
      </c>
      <c r="N200" s="44" t="str">
        <f>RIGHT(K200,LEN(K200)-FIND(" ",клиенты!$K200,FIND(" ",клиенты!$K200,1)+1))</f>
        <v>Костина</v>
      </c>
    </row>
    <row r="201" spans="1:14" x14ac:dyDescent="0.25">
      <c r="A201" s="40">
        <v>9</v>
      </c>
      <c r="B201" s="41" t="s">
        <v>611</v>
      </c>
      <c r="C201" s="41" t="s">
        <v>610</v>
      </c>
      <c r="D201" s="41" t="s">
        <v>143</v>
      </c>
      <c r="E201" s="42">
        <v>44900</v>
      </c>
      <c r="F201" s="41" t="str">
        <f>LEFT(клиенты!$B201,LEN(клиенты!$B201)-13)</f>
        <v>+992</v>
      </c>
      <c r="G201" s="41" t="str">
        <f>_xlfn.XLOOKUP(клиенты!$F201,'коды стран'!$B$2:$B$7,'коды стран'!$A$2:$A$7,"не найдено",0)</f>
        <v>Таджикистан</v>
      </c>
      <c r="H201" s="42">
        <f>_xlfn.MAXIFS(Продажи[дата создания чека],Продажи[id клиента],A201)</f>
        <v>45338</v>
      </c>
      <c r="I201" s="59">
        <f t="shared" si="6"/>
        <v>14.390143737166325</v>
      </c>
      <c r="J201" s="41" t="str">
        <f>IF(LEN(C201) - LEN(SUBSTITUTE(C201," ",""))&lt;3,C201,RIGHT(C201,LEN(C201)-FIND(" ",клиенты!$C201,1)))</f>
        <v>Устинов Милан Архипович</v>
      </c>
      <c r="K201" s="41" t="str">
        <f t="shared" si="7"/>
        <v>Милан Архипович Устинов</v>
      </c>
      <c r="L201" s="41" t="str">
        <f>LEFT(клиенты!$K201,FIND(" ",клиенты!$K201,1)-1)</f>
        <v>Милан</v>
      </c>
      <c r="M201" s="41" t="str">
        <f>MID(K201,FIND(" ",клиенты!$K201,1)+1,(FIND(" ",клиенты!$K201,FIND(" ",клиенты!$K201,1)+1)-1)-FIND(" ",клиенты!$K201,1))</f>
        <v>Архипович</v>
      </c>
      <c r="N201" s="41" t="str">
        <f>RIGHT(K201,LEN(K201)-FIND(" ",клиенты!$K201,FIND(" ",клиенты!$K201,1)+1))</f>
        <v>Устинов</v>
      </c>
    </row>
    <row r="202" spans="1:14" x14ac:dyDescent="0.25">
      <c r="A202" s="43">
        <v>456</v>
      </c>
      <c r="B202" s="44" t="s">
        <v>609</v>
      </c>
      <c r="C202" s="44" t="s">
        <v>608</v>
      </c>
      <c r="D202" s="44" t="s">
        <v>143</v>
      </c>
      <c r="E202" s="45">
        <v>44618</v>
      </c>
      <c r="F202" s="44" t="str">
        <f>LEFT(клиенты!$B202,LEN(клиенты!$B202)-13)</f>
        <v>+7</v>
      </c>
      <c r="G202" s="44" t="str">
        <f>_xlfn.XLOOKUP(клиенты!$F202,'коды стран'!$B$2:$B$7,'коды стран'!$A$2:$A$7,"не найдено",0)</f>
        <v>Россия</v>
      </c>
      <c r="H202" s="45">
        <f>_xlfn.MAXIFS(Продажи[дата создания чека],Продажи[id клиента],A202)</f>
        <v>45231</v>
      </c>
      <c r="I202" s="60">
        <f t="shared" si="6"/>
        <v>20.139630390143736</v>
      </c>
      <c r="J202" s="44" t="str">
        <f>IF(LEN(C202) - LEN(SUBSTITUTE(C202," ",""))&lt;3,C202,RIGHT(C202,LEN(C202)-FIND(" ",клиенты!$C202,1)))</f>
        <v>Муравьева Алла Петровна</v>
      </c>
      <c r="K202" s="44" t="str">
        <f t="shared" si="7"/>
        <v>Алла Петровна Муравьева</v>
      </c>
      <c r="L202" s="44" t="str">
        <f>LEFT(клиенты!$K202,FIND(" ",клиенты!$K202,1)-1)</f>
        <v>Алла</v>
      </c>
      <c r="M202" s="44" t="str">
        <f>MID(K202,FIND(" ",клиенты!$K202,1)+1,(FIND(" ",клиенты!$K202,FIND(" ",клиенты!$K202,1)+1)-1)-FIND(" ",клиенты!$K202,1))</f>
        <v>Петровна</v>
      </c>
      <c r="N202" s="44" t="str">
        <f>RIGHT(K202,LEN(K202)-FIND(" ",клиенты!$K202,FIND(" ",клиенты!$K202,1)+1))</f>
        <v>Муравьева</v>
      </c>
    </row>
    <row r="203" spans="1:14" x14ac:dyDescent="0.25">
      <c r="A203" s="40">
        <v>110</v>
      </c>
      <c r="B203" s="41" t="s">
        <v>607</v>
      </c>
      <c r="C203" s="41" t="s">
        <v>606</v>
      </c>
      <c r="D203" s="41" t="s">
        <v>140</v>
      </c>
      <c r="E203" s="42">
        <v>44580</v>
      </c>
      <c r="F203" s="41" t="str">
        <f>LEFT(клиенты!$B203,LEN(клиенты!$B203)-13)</f>
        <v>+998</v>
      </c>
      <c r="G203" s="41" t="str">
        <f>_xlfn.XLOOKUP(клиенты!$F203,'коды стран'!$B$2:$B$7,'коды стран'!$A$2:$A$7,"не найдено",0)</f>
        <v>Узбекистан</v>
      </c>
      <c r="H203" s="42">
        <f>_xlfn.MAXIFS(Продажи[дата создания чека],Продажи[id клиента],A203)</f>
        <v>45243</v>
      </c>
      <c r="I203" s="59">
        <f t="shared" si="6"/>
        <v>21.782340862422998</v>
      </c>
      <c r="J203" s="41" t="str">
        <f>IF(LEN(C203) - LEN(SUBSTITUTE(C203," ",""))&lt;3,C203,RIGHT(C203,LEN(C203)-FIND(" ",клиенты!$C203,1)))</f>
        <v>Давыд Фёдорович Белоусов</v>
      </c>
      <c r="K203" s="41" t="str">
        <f t="shared" si="7"/>
        <v>Давыд Фёдорович Белоусов</v>
      </c>
      <c r="L203" s="41" t="str">
        <f>LEFT(клиенты!$K203,FIND(" ",клиенты!$K203,1)-1)</f>
        <v>Давыд</v>
      </c>
      <c r="M203" s="41" t="str">
        <f>MID(K203,FIND(" ",клиенты!$K203,1)+1,(FIND(" ",клиенты!$K203,FIND(" ",клиенты!$K203,1)+1)-1)-FIND(" ",клиенты!$K203,1))</f>
        <v>Фёдорович</v>
      </c>
      <c r="N203" s="41" t="str">
        <f>RIGHT(K203,LEN(K203)-FIND(" ",клиенты!$K203,FIND(" ",клиенты!$K203,1)+1))</f>
        <v>Белоусов</v>
      </c>
    </row>
    <row r="204" spans="1:14" x14ac:dyDescent="0.25">
      <c r="A204" s="43">
        <v>216</v>
      </c>
      <c r="B204" s="44" t="s">
        <v>605</v>
      </c>
      <c r="C204" s="44" t="s">
        <v>604</v>
      </c>
      <c r="D204" s="44" t="s">
        <v>140</v>
      </c>
      <c r="E204" s="45">
        <v>44655</v>
      </c>
      <c r="F204" s="44" t="str">
        <f>LEFT(клиенты!$B204,LEN(клиенты!$B204)-13)</f>
        <v>+992</v>
      </c>
      <c r="G204" s="44" t="str">
        <f>_xlfn.XLOOKUP(клиенты!$F204,'коды стран'!$B$2:$B$7,'коды стран'!$A$2:$A$7,"не найдено",0)</f>
        <v>Таджикистан</v>
      </c>
      <c r="H204" s="45">
        <f>_xlfn.MAXIFS(Продажи[дата создания чека],Продажи[id клиента],A204)</f>
        <v>45234</v>
      </c>
      <c r="I204" s="60">
        <f t="shared" si="6"/>
        <v>19.022587268993838</v>
      </c>
      <c r="J204" s="44" t="str">
        <f>IF(LEN(C204) - LEN(SUBSTITUTE(C204," ",""))&lt;3,C204,RIGHT(C204,LEN(C204)-FIND(" ",клиенты!$C204,1)))</f>
        <v>Никонов Софон Авдеевич</v>
      </c>
      <c r="K204" s="44" t="str">
        <f t="shared" si="7"/>
        <v>Софон Авдеевич Никонов</v>
      </c>
      <c r="L204" s="44" t="str">
        <f>LEFT(клиенты!$K204,FIND(" ",клиенты!$K204,1)-1)</f>
        <v>Софон</v>
      </c>
      <c r="M204" s="44" t="str">
        <f>MID(K204,FIND(" ",клиенты!$K204,1)+1,(FIND(" ",клиенты!$K204,FIND(" ",клиенты!$K204,1)+1)-1)-FIND(" ",клиенты!$K204,1))</f>
        <v>Авдеевич</v>
      </c>
      <c r="N204" s="44" t="str">
        <f>RIGHT(K204,LEN(K204)-FIND(" ",клиенты!$K204,FIND(" ",клиенты!$K204,1)+1))</f>
        <v>Никонов</v>
      </c>
    </row>
    <row r="205" spans="1:14" x14ac:dyDescent="0.25">
      <c r="A205" s="40">
        <v>77</v>
      </c>
      <c r="B205" s="41" t="s">
        <v>603</v>
      </c>
      <c r="C205" s="41" t="s">
        <v>602</v>
      </c>
      <c r="D205" s="41" t="s">
        <v>140</v>
      </c>
      <c r="E205" s="42">
        <v>44644</v>
      </c>
      <c r="F205" s="41" t="str">
        <f>LEFT(клиенты!$B205,LEN(клиенты!$B205)-13)</f>
        <v>+7</v>
      </c>
      <c r="G205" s="41" t="str">
        <f>_xlfn.XLOOKUP(клиенты!$F205,'коды стран'!$B$2:$B$7,'коды стран'!$A$2:$A$7,"не найдено",0)</f>
        <v>Россия</v>
      </c>
      <c r="H205" s="42">
        <f>_xlfn.MAXIFS(Продажи[дата создания чека],Продажи[id клиента],A205)</f>
        <v>45240</v>
      </c>
      <c r="I205" s="59">
        <f t="shared" si="6"/>
        <v>19.581108829568787</v>
      </c>
      <c r="J205" s="41" t="str">
        <f>IF(LEN(C205) - LEN(SUBSTITUTE(C205," ",""))&lt;3,C205,RIGHT(C205,LEN(C205)-FIND(" ",клиенты!$C205,1)))</f>
        <v>Фокин Глеб Елизарович</v>
      </c>
      <c r="K205" s="41" t="str">
        <f t="shared" si="7"/>
        <v>Глеб Елизарович Фокин</v>
      </c>
      <c r="L205" s="41" t="str">
        <f>LEFT(клиенты!$K205,FIND(" ",клиенты!$K205,1)-1)</f>
        <v>Глеб</v>
      </c>
      <c r="M205" s="41" t="str">
        <f>MID(K205,FIND(" ",клиенты!$K205,1)+1,(FIND(" ",клиенты!$K205,FIND(" ",клиенты!$K205,1)+1)-1)-FIND(" ",клиенты!$K205,1))</f>
        <v>Елизарович</v>
      </c>
      <c r="N205" s="41" t="str">
        <f>RIGHT(K205,LEN(K205)-FIND(" ",клиенты!$K205,FIND(" ",клиенты!$K205,1)+1))</f>
        <v>Фокин</v>
      </c>
    </row>
    <row r="206" spans="1:14" x14ac:dyDescent="0.25">
      <c r="A206" s="43">
        <v>192</v>
      </c>
      <c r="B206" s="44" t="s">
        <v>601</v>
      </c>
      <c r="C206" s="44" t="s">
        <v>600</v>
      </c>
      <c r="D206" s="44" t="s">
        <v>143</v>
      </c>
      <c r="E206" s="45">
        <v>44572</v>
      </c>
      <c r="F206" s="44" t="str">
        <f>LEFT(клиенты!$B206,LEN(клиенты!$B206)-13)</f>
        <v>+7</v>
      </c>
      <c r="G206" s="44" t="str">
        <f>_xlfn.XLOOKUP(клиенты!$F206,'коды стран'!$B$2:$B$7,'коды стран'!$A$2:$A$7,"не найдено",0)</f>
        <v>Россия</v>
      </c>
      <c r="H206" s="45">
        <f>_xlfn.MAXIFS(Продажи[дата создания чека],Продажи[id клиента],A206)</f>
        <v>44976</v>
      </c>
      <c r="I206" s="60">
        <f t="shared" si="6"/>
        <v>13.273100616016427</v>
      </c>
      <c r="J206" s="44" t="str">
        <f>IF(LEN(C206) - LEN(SUBSTITUTE(C206," ",""))&lt;3,C206,RIGHT(C206,LEN(C206)-FIND(" ",клиенты!$C206,1)))</f>
        <v>Устинов Евграф Исидорович</v>
      </c>
      <c r="K206" s="44" t="str">
        <f t="shared" si="7"/>
        <v>Евграф Исидорович Устинов</v>
      </c>
      <c r="L206" s="44" t="str">
        <f>LEFT(клиенты!$K206,FIND(" ",клиенты!$K206,1)-1)</f>
        <v>Евграф</v>
      </c>
      <c r="M206" s="44" t="str">
        <f>MID(K206,FIND(" ",клиенты!$K206,1)+1,(FIND(" ",клиенты!$K206,FIND(" ",клиенты!$K206,1)+1)-1)-FIND(" ",клиенты!$K206,1))</f>
        <v>Исидорович</v>
      </c>
      <c r="N206" s="44" t="str">
        <f>RIGHT(K206,LEN(K206)-FIND(" ",клиенты!$K206,FIND(" ",клиенты!$K206,1)+1))</f>
        <v>Устинов</v>
      </c>
    </row>
    <row r="207" spans="1:14" x14ac:dyDescent="0.25">
      <c r="A207" s="40">
        <v>308</v>
      </c>
      <c r="B207" s="41" t="s">
        <v>599</v>
      </c>
      <c r="C207" s="41" t="s">
        <v>598</v>
      </c>
      <c r="D207" s="41" t="s">
        <v>143</v>
      </c>
      <c r="E207" s="42">
        <v>44562</v>
      </c>
      <c r="F207" s="41" t="str">
        <f>LEFT(клиенты!$B207,LEN(клиенты!$B207)-13)</f>
        <v>+375</v>
      </c>
      <c r="G207" s="41" t="str">
        <f>_xlfn.XLOOKUP(клиенты!$F207,'коды стран'!$B$2:$B$7,'коды стран'!$A$2:$A$7,"не найдено",0)</f>
        <v>Беларусь</v>
      </c>
      <c r="H207" s="42">
        <f>_xlfn.MAXIFS(Продажи[дата создания чека],Продажи[id клиента],A207)</f>
        <v>45037</v>
      </c>
      <c r="I207" s="59">
        <f t="shared" si="6"/>
        <v>15.605749486652977</v>
      </c>
      <c r="J207" s="41" t="str">
        <f>IF(LEN(C207) - LEN(SUBSTITUTE(C207," ",""))&lt;3,C207,RIGHT(C207,LEN(C207)-FIND(" ",клиенты!$C207,1)))</f>
        <v>Ирина Анатольевна Васильева</v>
      </c>
      <c r="K207" s="41" t="str">
        <f t="shared" si="7"/>
        <v>Ирина Анатольевна Васильева</v>
      </c>
      <c r="L207" s="41" t="str">
        <f>LEFT(клиенты!$K207,FIND(" ",клиенты!$K207,1)-1)</f>
        <v>Ирина</v>
      </c>
      <c r="M207" s="41" t="str">
        <f>MID(K207,FIND(" ",клиенты!$K207,1)+1,(FIND(" ",клиенты!$K207,FIND(" ",клиенты!$K207,1)+1)-1)-FIND(" ",клиенты!$K207,1))</f>
        <v>Анатольевна</v>
      </c>
      <c r="N207" s="41" t="str">
        <f>RIGHT(K207,LEN(K207)-FIND(" ",клиенты!$K207,FIND(" ",клиенты!$K207,1)+1))</f>
        <v>Васильева</v>
      </c>
    </row>
    <row r="208" spans="1:14" x14ac:dyDescent="0.25">
      <c r="A208" s="43">
        <v>455</v>
      </c>
      <c r="B208" s="44" t="s">
        <v>597</v>
      </c>
      <c r="C208" s="44" t="s">
        <v>596</v>
      </c>
      <c r="D208" s="44" t="s">
        <v>143</v>
      </c>
      <c r="E208" s="45">
        <v>44820</v>
      </c>
      <c r="F208" s="44" t="str">
        <f>LEFT(клиенты!$B208,LEN(клиенты!$B208)-13)</f>
        <v>+380</v>
      </c>
      <c r="G208" s="44" t="str">
        <f>_xlfn.XLOOKUP(клиенты!$F208,'коды стран'!$B$2:$B$7,'коды стран'!$A$2:$A$7,"не найдено",0)</f>
        <v>Украина</v>
      </c>
      <c r="H208" s="45">
        <f>_xlfn.MAXIFS(Продажи[дата создания чека],Продажи[id клиента],A208)</f>
        <v>45250</v>
      </c>
      <c r="I208" s="60">
        <f t="shared" si="6"/>
        <v>14.127310061601642</v>
      </c>
      <c r="J208" s="44" t="str">
        <f>IF(LEN(C208) - LEN(SUBSTITUTE(C208," ",""))&lt;3,C208,RIGHT(C208,LEN(C208)-FIND(" ",клиенты!$C208,1)))</f>
        <v>Герман Арсеньевич Калинин</v>
      </c>
      <c r="K208" s="44" t="str">
        <f t="shared" si="7"/>
        <v>Герман Арсеньевич Калинин</v>
      </c>
      <c r="L208" s="44" t="str">
        <f>LEFT(клиенты!$K208,FIND(" ",клиенты!$K208,1)-1)</f>
        <v>Герман</v>
      </c>
      <c r="M208" s="44" t="str">
        <f>MID(K208,FIND(" ",клиенты!$K208,1)+1,(FIND(" ",клиенты!$K208,FIND(" ",клиенты!$K208,1)+1)-1)-FIND(" ",клиенты!$K208,1))</f>
        <v>Арсеньевич</v>
      </c>
      <c r="N208" s="44" t="str">
        <f>RIGHT(K208,LEN(K208)-FIND(" ",клиенты!$K208,FIND(" ",клиенты!$K208,1)+1))</f>
        <v>Калинин</v>
      </c>
    </row>
    <row r="209" spans="1:14" x14ac:dyDescent="0.25">
      <c r="A209" s="40">
        <v>480</v>
      </c>
      <c r="B209" s="41" t="s">
        <v>595</v>
      </c>
      <c r="C209" s="41" t="s">
        <v>594</v>
      </c>
      <c r="D209" s="41" t="s">
        <v>143</v>
      </c>
      <c r="E209" s="42">
        <v>44568</v>
      </c>
      <c r="F209" s="41" t="str">
        <f>LEFT(клиенты!$B209,LEN(клиенты!$B209)-13)</f>
        <v>+998</v>
      </c>
      <c r="G209" s="41" t="str">
        <f>_xlfn.XLOOKUP(клиенты!$F209,'коды стран'!$B$2:$B$7,'коды стран'!$A$2:$A$7,"не найдено",0)</f>
        <v>Узбекистан</v>
      </c>
      <c r="H209" s="42">
        <f>_xlfn.MAXIFS(Продажи[дата создания чека],Продажи[id клиента],A209)</f>
        <v>45416</v>
      </c>
      <c r="I209" s="59">
        <f t="shared" si="6"/>
        <v>27.860369609856264</v>
      </c>
      <c r="J209" s="41" t="str">
        <f>IF(LEN(C209) - LEN(SUBSTITUTE(C209," ",""))&lt;3,C209,RIGHT(C209,LEN(C209)-FIND(" ",клиенты!$C209,1)))</f>
        <v>Юлия Кузьминична Капустина</v>
      </c>
      <c r="K209" s="41" t="str">
        <f t="shared" si="7"/>
        <v>Юлия Кузьминична Капустина</v>
      </c>
      <c r="L209" s="41" t="str">
        <f>LEFT(клиенты!$K209,FIND(" ",клиенты!$K209,1)-1)</f>
        <v>Юлия</v>
      </c>
      <c r="M209" s="41" t="str">
        <f>MID(K209,FIND(" ",клиенты!$K209,1)+1,(FIND(" ",клиенты!$K209,FIND(" ",клиенты!$K209,1)+1)-1)-FIND(" ",клиенты!$K209,1))</f>
        <v>Кузьминична</v>
      </c>
      <c r="N209" s="41" t="str">
        <f>RIGHT(K209,LEN(K209)-FIND(" ",клиенты!$K209,FIND(" ",клиенты!$K209,1)+1))</f>
        <v>Капустина</v>
      </c>
    </row>
    <row r="210" spans="1:14" x14ac:dyDescent="0.25">
      <c r="A210" s="43">
        <v>203</v>
      </c>
      <c r="B210" s="44" t="s">
        <v>593</v>
      </c>
      <c r="C210" s="44" t="s">
        <v>592</v>
      </c>
      <c r="D210" s="44" t="s">
        <v>140</v>
      </c>
      <c r="E210" s="45">
        <v>44685</v>
      </c>
      <c r="F210" s="44" t="str">
        <f>LEFT(клиенты!$B210,LEN(клиенты!$B210)-13)</f>
        <v>+7</v>
      </c>
      <c r="G210" s="44" t="str">
        <f>_xlfn.XLOOKUP(клиенты!$F210,'коды стран'!$B$2:$B$7,'коды стран'!$A$2:$A$7,"не найдено",0)</f>
        <v>Россия</v>
      </c>
      <c r="H210" s="45">
        <f>_xlfn.MAXIFS(Продажи[дата создания чека],Продажи[id клиента],A210)</f>
        <v>45147</v>
      </c>
      <c r="I210" s="60">
        <f t="shared" si="6"/>
        <v>15.178644763860369</v>
      </c>
      <c r="J210" s="44" t="str">
        <f>IF(LEN(C210) - LEN(SUBSTITUTE(C210," ",""))&lt;3,C210,RIGHT(C210,LEN(C210)-FIND(" ",клиенты!$C210,1)))</f>
        <v>Суханов Станислав Архипович</v>
      </c>
      <c r="K210" s="44" t="str">
        <f t="shared" si="7"/>
        <v>Станислав Архипович Суханов</v>
      </c>
      <c r="L210" s="44" t="str">
        <f>LEFT(клиенты!$K210,FIND(" ",клиенты!$K210,1)-1)</f>
        <v>Станислав</v>
      </c>
      <c r="M210" s="44" t="str">
        <f>MID(K210,FIND(" ",клиенты!$K210,1)+1,(FIND(" ",клиенты!$K210,FIND(" ",клиенты!$K210,1)+1)-1)-FIND(" ",клиенты!$K210,1))</f>
        <v>Архипович</v>
      </c>
      <c r="N210" s="44" t="str">
        <f>RIGHT(K210,LEN(K210)-FIND(" ",клиенты!$K210,FIND(" ",клиенты!$K210,1)+1))</f>
        <v>Суханов</v>
      </c>
    </row>
    <row r="211" spans="1:14" x14ac:dyDescent="0.25">
      <c r="A211" s="40">
        <v>21</v>
      </c>
      <c r="B211" s="41" t="s">
        <v>591</v>
      </c>
      <c r="C211" s="41" t="s">
        <v>590</v>
      </c>
      <c r="D211" s="41" t="s">
        <v>143</v>
      </c>
      <c r="E211" s="42">
        <v>44881</v>
      </c>
      <c r="F211" s="41" t="str">
        <f>LEFT(клиенты!$B211,LEN(клиенты!$B211)-13)</f>
        <v>+375</v>
      </c>
      <c r="G211" s="41" t="str">
        <f>_xlfn.XLOOKUP(клиенты!$F211,'коды стран'!$B$2:$B$7,'коды стран'!$A$2:$A$7,"не найдено",0)</f>
        <v>Беларусь</v>
      </c>
      <c r="H211" s="42">
        <f>_xlfn.MAXIFS(Продажи[дата создания чека],Продажи[id клиента],A211)</f>
        <v>45105</v>
      </c>
      <c r="I211" s="59">
        <f t="shared" si="6"/>
        <v>7.3593429158110881</v>
      </c>
      <c r="J211" s="41" t="str">
        <f>IF(LEN(C211) - LEN(SUBSTITUTE(C211," ",""))&lt;3,C211,RIGHT(C211,LEN(C211)-FIND(" ",клиенты!$C211,1)))</f>
        <v>Никита Венедиктович Третьяков</v>
      </c>
      <c r="K211" s="41" t="str">
        <f t="shared" si="7"/>
        <v>Никита Венедиктович Третьяков</v>
      </c>
      <c r="L211" s="41" t="str">
        <f>LEFT(клиенты!$K211,FIND(" ",клиенты!$K211,1)-1)</f>
        <v>Никита</v>
      </c>
      <c r="M211" s="41" t="str">
        <f>MID(K211,FIND(" ",клиенты!$K211,1)+1,(FIND(" ",клиенты!$K211,FIND(" ",клиенты!$K211,1)+1)-1)-FIND(" ",клиенты!$K211,1))</f>
        <v>Венедиктович</v>
      </c>
      <c r="N211" s="41" t="str">
        <f>RIGHT(K211,LEN(K211)-FIND(" ",клиенты!$K211,FIND(" ",клиенты!$K211,1)+1))</f>
        <v>Третьяков</v>
      </c>
    </row>
    <row r="212" spans="1:14" x14ac:dyDescent="0.25">
      <c r="A212" s="43">
        <v>302</v>
      </c>
      <c r="B212" s="44" t="s">
        <v>589</v>
      </c>
      <c r="C212" s="44" t="s">
        <v>588</v>
      </c>
      <c r="D212" s="44" t="s">
        <v>140</v>
      </c>
      <c r="E212" s="45">
        <v>44859</v>
      </c>
      <c r="F212" s="44" t="str">
        <f>LEFT(клиенты!$B212,LEN(клиенты!$B212)-13)</f>
        <v>+7</v>
      </c>
      <c r="G212" s="44" t="str">
        <f>_xlfn.XLOOKUP(клиенты!$F212,'коды стран'!$B$2:$B$7,'коды стран'!$A$2:$A$7,"не найдено",0)</f>
        <v>Россия</v>
      </c>
      <c r="H212" s="45">
        <f>_xlfn.MAXIFS(Продажи[дата создания чека],Продажи[id клиента],A212)</f>
        <v>45251</v>
      </c>
      <c r="I212" s="60">
        <f t="shared" si="6"/>
        <v>12.878850102669405</v>
      </c>
      <c r="J212" s="44" t="str">
        <f>IF(LEN(C212) - LEN(SUBSTITUTE(C212," ",""))&lt;3,C212,RIGHT(C212,LEN(C212)-FIND(" ",клиенты!$C212,1)))</f>
        <v>Журавлева Александра Валентиновна</v>
      </c>
      <c r="K212" s="44" t="str">
        <f t="shared" si="7"/>
        <v>Александра Валентиновна Журавлева</v>
      </c>
      <c r="L212" s="44" t="str">
        <f>LEFT(клиенты!$K212,FIND(" ",клиенты!$K212,1)-1)</f>
        <v>Александра</v>
      </c>
      <c r="M212" s="44" t="str">
        <f>MID(K212,FIND(" ",клиенты!$K212,1)+1,(FIND(" ",клиенты!$K212,FIND(" ",клиенты!$K212,1)+1)-1)-FIND(" ",клиенты!$K212,1))</f>
        <v>Валентиновна</v>
      </c>
      <c r="N212" s="44" t="str">
        <f>RIGHT(K212,LEN(K212)-FIND(" ",клиенты!$K212,FIND(" ",клиенты!$K212,1)+1))</f>
        <v>Журавлева</v>
      </c>
    </row>
    <row r="213" spans="1:14" x14ac:dyDescent="0.25">
      <c r="A213" s="40">
        <v>341</v>
      </c>
      <c r="B213" s="41" t="s">
        <v>587</v>
      </c>
      <c r="C213" s="41" t="s">
        <v>586</v>
      </c>
      <c r="D213" s="41" t="s">
        <v>140</v>
      </c>
      <c r="E213" s="42">
        <v>44724</v>
      </c>
      <c r="F213" s="41" t="str">
        <f>LEFT(клиенты!$B213,LEN(клиенты!$B213)-13)</f>
        <v>+7</v>
      </c>
      <c r="G213" s="41" t="str">
        <f>_xlfn.XLOOKUP(клиенты!$F213,'коды стран'!$B$2:$B$7,'коды стран'!$A$2:$A$7,"не найдено",0)</f>
        <v>Россия</v>
      </c>
      <c r="H213" s="42">
        <f>_xlfn.MAXIFS(Продажи[дата создания чека],Продажи[id клиента],A213)</f>
        <v>45392</v>
      </c>
      <c r="I213" s="59">
        <f t="shared" si="6"/>
        <v>21.946611909650922</v>
      </c>
      <c r="J213" s="41" t="str">
        <f>IF(LEN(C213) - LEN(SUBSTITUTE(C213," ",""))&lt;3,C213,RIGHT(C213,LEN(C213)-FIND(" ",клиенты!$C213,1)))</f>
        <v>Алевтина Архиповна Ефимова</v>
      </c>
      <c r="K213" s="41" t="str">
        <f t="shared" si="7"/>
        <v>Алевтина Архиповна Ефимова</v>
      </c>
      <c r="L213" s="41" t="str">
        <f>LEFT(клиенты!$K213,FIND(" ",клиенты!$K213,1)-1)</f>
        <v>Алевтина</v>
      </c>
      <c r="M213" s="41" t="str">
        <f>MID(K213,FIND(" ",клиенты!$K213,1)+1,(FIND(" ",клиенты!$K213,FIND(" ",клиенты!$K213,1)+1)-1)-FIND(" ",клиенты!$K213,1))</f>
        <v>Архиповна</v>
      </c>
      <c r="N213" s="41" t="str">
        <f>RIGHT(K213,LEN(K213)-FIND(" ",клиенты!$K213,FIND(" ",клиенты!$K213,1)+1))</f>
        <v>Ефимова</v>
      </c>
    </row>
    <row r="214" spans="1:14" x14ac:dyDescent="0.25">
      <c r="A214" s="43">
        <v>463</v>
      </c>
      <c r="B214" s="44" t="s">
        <v>585</v>
      </c>
      <c r="C214" s="44" t="s">
        <v>584</v>
      </c>
      <c r="D214" s="44" t="s">
        <v>140</v>
      </c>
      <c r="E214" s="45">
        <v>44869</v>
      </c>
      <c r="F214" s="44" t="str">
        <f>LEFT(клиенты!$B214,LEN(клиенты!$B214)-13)</f>
        <v>+380</v>
      </c>
      <c r="G214" s="44" t="str">
        <f>_xlfn.XLOOKUP(клиенты!$F214,'коды стран'!$B$2:$B$7,'коды стран'!$A$2:$A$7,"не найдено",0)</f>
        <v>Украина</v>
      </c>
      <c r="H214" s="45">
        <f>_xlfn.MAXIFS(Продажи[дата создания чека],Продажи[id клиента],A214)</f>
        <v>45362</v>
      </c>
      <c r="I214" s="60">
        <f t="shared" si="6"/>
        <v>16.197125256673512</v>
      </c>
      <c r="J214" s="44" t="str">
        <f>IF(LEN(C214) - LEN(SUBSTITUTE(C214," ",""))&lt;3,C214,RIGHT(C214,LEN(C214)-FIND(" ",клиенты!$C214,1)))</f>
        <v>Вероника Руслановна Ефремова</v>
      </c>
      <c r="K214" s="44" t="str">
        <f t="shared" si="7"/>
        <v>Вероника Руслановна Ефремова</v>
      </c>
      <c r="L214" s="44" t="str">
        <f>LEFT(клиенты!$K214,FIND(" ",клиенты!$K214,1)-1)</f>
        <v>Вероника</v>
      </c>
      <c r="M214" s="44" t="str">
        <f>MID(K214,FIND(" ",клиенты!$K214,1)+1,(FIND(" ",клиенты!$K214,FIND(" ",клиенты!$K214,1)+1)-1)-FIND(" ",клиенты!$K214,1))</f>
        <v>Руслановна</v>
      </c>
      <c r="N214" s="44" t="str">
        <f>RIGHT(K214,LEN(K214)-FIND(" ",клиенты!$K214,FIND(" ",клиенты!$K214,1)+1))</f>
        <v>Ефремова</v>
      </c>
    </row>
    <row r="215" spans="1:14" x14ac:dyDescent="0.25">
      <c r="A215" s="40">
        <v>421</v>
      </c>
      <c r="B215" s="41" t="s">
        <v>583</v>
      </c>
      <c r="C215" s="41" t="s">
        <v>582</v>
      </c>
      <c r="D215" s="41" t="s">
        <v>140</v>
      </c>
      <c r="E215" s="42">
        <v>44620</v>
      </c>
      <c r="F215" s="41" t="str">
        <f>LEFT(клиенты!$B215,LEN(клиенты!$B215)-13)</f>
        <v>+7</v>
      </c>
      <c r="G215" s="41" t="str">
        <f>_xlfn.XLOOKUP(клиенты!$F215,'коды стран'!$B$2:$B$7,'коды стран'!$A$2:$A$7,"не найдено",0)</f>
        <v>Россия</v>
      </c>
      <c r="H215" s="42">
        <f>_xlfn.MAXIFS(Продажи[дата создания чека],Продажи[id клиента],A215)</f>
        <v>45223</v>
      </c>
      <c r="I215" s="59">
        <f t="shared" si="6"/>
        <v>19.811088295687885</v>
      </c>
      <c r="J215" s="41" t="str">
        <f>IF(LEN(C215) - LEN(SUBSTITUTE(C215," ",""))&lt;3,C215,RIGHT(C215,LEN(C215)-FIND(" ",клиенты!$C215,1)))</f>
        <v>Красильников Павел Ермилович</v>
      </c>
      <c r="K215" s="41" t="str">
        <f t="shared" si="7"/>
        <v>Павел Ермилович Красильников</v>
      </c>
      <c r="L215" s="41" t="str">
        <f>LEFT(клиенты!$K215,FIND(" ",клиенты!$K215,1)-1)</f>
        <v>Павел</v>
      </c>
      <c r="M215" s="41" t="str">
        <f>MID(K215,FIND(" ",клиенты!$K215,1)+1,(FIND(" ",клиенты!$K215,FIND(" ",клиенты!$K215,1)+1)-1)-FIND(" ",клиенты!$K215,1))</f>
        <v>Ермилович</v>
      </c>
      <c r="N215" s="41" t="str">
        <f>RIGHT(K215,LEN(K215)-FIND(" ",клиенты!$K215,FIND(" ",клиенты!$K215,1)+1))</f>
        <v>Красильников</v>
      </c>
    </row>
    <row r="216" spans="1:14" x14ac:dyDescent="0.25">
      <c r="A216" s="43">
        <v>86</v>
      </c>
      <c r="B216" s="44" t="s">
        <v>581</v>
      </c>
      <c r="C216" s="44" t="s">
        <v>580</v>
      </c>
      <c r="D216" s="44" t="s">
        <v>143</v>
      </c>
      <c r="E216" s="45">
        <v>44692</v>
      </c>
      <c r="F216" s="44" t="str">
        <f>LEFT(клиенты!$B216,LEN(клиенты!$B216)-13)</f>
        <v>+998</v>
      </c>
      <c r="G216" s="44" t="str">
        <f>_xlfn.XLOOKUP(клиенты!$F216,'коды стран'!$B$2:$B$7,'коды стран'!$A$2:$A$7,"не найдено",0)</f>
        <v>Узбекистан</v>
      </c>
      <c r="H216" s="45">
        <f>_xlfn.MAXIFS(Продажи[дата создания чека],Продажи[id клиента],A216)</f>
        <v>45166</v>
      </c>
      <c r="I216" s="60">
        <f t="shared" si="6"/>
        <v>15.572895277207392</v>
      </c>
      <c r="J216" s="44" t="str">
        <f>IF(LEN(C216) - LEN(SUBSTITUTE(C216," ",""))&lt;3,C216,RIGHT(C216,LEN(C216)-FIND(" ",клиенты!$C216,1)))</f>
        <v>Гуляева Раиса Кузьминична</v>
      </c>
      <c r="K216" s="44" t="str">
        <f t="shared" si="7"/>
        <v>Раиса Кузьминична Гуляева</v>
      </c>
      <c r="L216" s="44" t="str">
        <f>LEFT(клиенты!$K216,FIND(" ",клиенты!$K216,1)-1)</f>
        <v>Раиса</v>
      </c>
      <c r="M216" s="44" t="str">
        <f>MID(K216,FIND(" ",клиенты!$K216,1)+1,(FIND(" ",клиенты!$K216,FIND(" ",клиенты!$K216,1)+1)-1)-FIND(" ",клиенты!$K216,1))</f>
        <v>Кузьминична</v>
      </c>
      <c r="N216" s="44" t="str">
        <f>RIGHT(K216,LEN(K216)-FIND(" ",клиенты!$K216,FIND(" ",клиенты!$K216,1)+1))</f>
        <v>Гуляева</v>
      </c>
    </row>
    <row r="217" spans="1:14" x14ac:dyDescent="0.25">
      <c r="A217" s="40">
        <v>319</v>
      </c>
      <c r="B217" s="41" t="s">
        <v>579</v>
      </c>
      <c r="C217" s="41" t="s">
        <v>578</v>
      </c>
      <c r="D217" s="41" t="s">
        <v>143</v>
      </c>
      <c r="E217" s="42">
        <v>44674</v>
      </c>
      <c r="F217" s="41" t="str">
        <f>LEFT(клиенты!$B217,LEN(клиенты!$B217)-13)</f>
        <v>+998</v>
      </c>
      <c r="G217" s="41" t="str">
        <f>_xlfn.XLOOKUP(клиенты!$F217,'коды стран'!$B$2:$B$7,'коды стран'!$A$2:$A$7,"не найдено",0)</f>
        <v>Узбекистан</v>
      </c>
      <c r="H217" s="42">
        <f>_xlfn.MAXIFS(Продажи[дата создания чека],Продажи[id клиента],A217)</f>
        <v>45335</v>
      </c>
      <c r="I217" s="59">
        <f t="shared" si="6"/>
        <v>21.716632443531829</v>
      </c>
      <c r="J217" s="41" t="str">
        <f>IF(LEN(C217) - LEN(SUBSTITUTE(C217," ",""))&lt;3,C217,RIGHT(C217,LEN(C217)-FIND(" ",клиенты!$C217,1)))</f>
        <v>Маркова Василиса Юрьевна</v>
      </c>
      <c r="K217" s="41" t="str">
        <f t="shared" si="7"/>
        <v>Василиса Юрьевна Маркова</v>
      </c>
      <c r="L217" s="41" t="str">
        <f>LEFT(клиенты!$K217,FIND(" ",клиенты!$K217,1)-1)</f>
        <v>Василиса</v>
      </c>
      <c r="M217" s="41" t="str">
        <f>MID(K217,FIND(" ",клиенты!$K217,1)+1,(FIND(" ",клиенты!$K217,FIND(" ",клиенты!$K217,1)+1)-1)-FIND(" ",клиенты!$K217,1))</f>
        <v>Юрьевна</v>
      </c>
      <c r="N217" s="41" t="str">
        <f>RIGHT(K217,LEN(K217)-FIND(" ",клиенты!$K217,FIND(" ",клиенты!$K217,1)+1))</f>
        <v>Маркова</v>
      </c>
    </row>
    <row r="218" spans="1:14" x14ac:dyDescent="0.25">
      <c r="A218" s="43">
        <v>290</v>
      </c>
      <c r="B218" s="44" t="s">
        <v>577</v>
      </c>
      <c r="C218" s="44" t="s">
        <v>576</v>
      </c>
      <c r="D218" s="44" t="s">
        <v>143</v>
      </c>
      <c r="E218" s="45">
        <v>44777</v>
      </c>
      <c r="F218" s="44" t="str">
        <f>LEFT(клиенты!$B218,LEN(клиенты!$B218)-13)</f>
        <v>+7</v>
      </c>
      <c r="G218" s="44" t="str">
        <f>_xlfn.XLOOKUP(клиенты!$F218,'коды стран'!$B$2:$B$7,'коды стран'!$A$2:$A$7,"не найдено",0)</f>
        <v>Россия</v>
      </c>
      <c r="H218" s="45">
        <f>_xlfn.MAXIFS(Продажи[дата создания чека],Продажи[id клиента],A218)</f>
        <v>45369</v>
      </c>
      <c r="I218" s="60">
        <f t="shared" si="6"/>
        <v>19.449691991786448</v>
      </c>
      <c r="J218" s="44" t="str">
        <f>IF(LEN(C218) - LEN(SUBSTITUTE(C218," ",""))&lt;3,C218,RIGHT(C218,LEN(C218)-FIND(" ",клиенты!$C218,1)))</f>
        <v>Николай Гавриилович Савин</v>
      </c>
      <c r="K218" s="44" t="str">
        <f t="shared" si="7"/>
        <v>Николай Гавриилович Савин</v>
      </c>
      <c r="L218" s="44" t="str">
        <f>LEFT(клиенты!$K218,FIND(" ",клиенты!$K218,1)-1)</f>
        <v>Николай</v>
      </c>
      <c r="M218" s="44" t="str">
        <f>MID(K218,FIND(" ",клиенты!$K218,1)+1,(FIND(" ",клиенты!$K218,FIND(" ",клиенты!$K218,1)+1)-1)-FIND(" ",клиенты!$K218,1))</f>
        <v>Гавриилович</v>
      </c>
      <c r="N218" s="44" t="str">
        <f>RIGHT(K218,LEN(K218)-FIND(" ",клиенты!$K218,FIND(" ",клиенты!$K218,1)+1))</f>
        <v>Савин</v>
      </c>
    </row>
    <row r="219" spans="1:14" x14ac:dyDescent="0.25">
      <c r="A219" s="40">
        <v>13</v>
      </c>
      <c r="B219" s="41" t="s">
        <v>575</v>
      </c>
      <c r="C219" s="41" t="s">
        <v>574</v>
      </c>
      <c r="D219" s="41" t="s">
        <v>140</v>
      </c>
      <c r="E219" s="42">
        <v>44724</v>
      </c>
      <c r="F219" s="41" t="str">
        <f>LEFT(клиенты!$B219,LEN(клиенты!$B219)-13)</f>
        <v>+7</v>
      </c>
      <c r="G219" s="41" t="str">
        <f>_xlfn.XLOOKUP(клиенты!$F219,'коды стран'!$B$2:$B$7,'коды стран'!$A$2:$A$7,"не найдено",0)</f>
        <v>Россия</v>
      </c>
      <c r="H219" s="42">
        <f>_xlfn.MAXIFS(Продажи[дата создания чека],Продажи[id клиента],A219)</f>
        <v>45295</v>
      </c>
      <c r="I219" s="59">
        <f t="shared" si="6"/>
        <v>18.759753593429156</v>
      </c>
      <c r="J219" s="41" t="str">
        <f>IF(LEN(C219) - LEN(SUBSTITUTE(C219," ",""))&lt;3,C219,RIGHT(C219,LEN(C219)-FIND(" ",клиенты!$C219,1)))</f>
        <v>Максимова Елена Валериевна</v>
      </c>
      <c r="K219" s="41" t="str">
        <f t="shared" si="7"/>
        <v>Елена Валериевна Максимова</v>
      </c>
      <c r="L219" s="41" t="str">
        <f>LEFT(клиенты!$K219,FIND(" ",клиенты!$K219,1)-1)</f>
        <v>Елена</v>
      </c>
      <c r="M219" s="41" t="str">
        <f>MID(K219,FIND(" ",клиенты!$K219,1)+1,(FIND(" ",клиенты!$K219,FIND(" ",клиенты!$K219,1)+1)-1)-FIND(" ",клиенты!$K219,1))</f>
        <v>Валериевна</v>
      </c>
      <c r="N219" s="41" t="str">
        <f>RIGHT(K219,LEN(K219)-FIND(" ",клиенты!$K219,FIND(" ",клиенты!$K219,1)+1))</f>
        <v>Максимова</v>
      </c>
    </row>
    <row r="220" spans="1:14" x14ac:dyDescent="0.25">
      <c r="A220" s="43">
        <v>453</v>
      </c>
      <c r="B220" s="44" t="s">
        <v>573</v>
      </c>
      <c r="C220" s="44" t="s">
        <v>572</v>
      </c>
      <c r="D220" s="44" t="s">
        <v>143</v>
      </c>
      <c r="E220" s="45">
        <v>44635</v>
      </c>
      <c r="F220" s="44" t="str">
        <f>LEFT(клиенты!$B220,LEN(клиенты!$B220)-13)</f>
        <v>+7</v>
      </c>
      <c r="G220" s="44" t="str">
        <f>_xlfn.XLOOKUP(клиенты!$F220,'коды стран'!$B$2:$B$7,'коды стран'!$A$2:$A$7,"не найдено",0)</f>
        <v>Россия</v>
      </c>
      <c r="H220" s="45">
        <f>_xlfn.MAXIFS(Продажи[дата создания чека],Продажи[id клиента],A220)</f>
        <v>45081</v>
      </c>
      <c r="I220" s="60">
        <f t="shared" si="6"/>
        <v>14.652977412731007</v>
      </c>
      <c r="J220" s="44" t="str">
        <f>IF(LEN(C220) - LEN(SUBSTITUTE(C220," ",""))&lt;3,C220,RIGHT(C220,LEN(C220)-FIND(" ",клиенты!$C220,1)))</f>
        <v>Никифоров Богдан Харитонович</v>
      </c>
      <c r="K220" s="44" t="str">
        <f t="shared" si="7"/>
        <v>Богдан Харитонович Никифоров</v>
      </c>
      <c r="L220" s="44" t="str">
        <f>LEFT(клиенты!$K220,FIND(" ",клиенты!$K220,1)-1)</f>
        <v>Богдан</v>
      </c>
      <c r="M220" s="44" t="str">
        <f>MID(K220,FIND(" ",клиенты!$K220,1)+1,(FIND(" ",клиенты!$K220,FIND(" ",клиенты!$K220,1)+1)-1)-FIND(" ",клиенты!$K220,1))</f>
        <v>Харитонович</v>
      </c>
      <c r="N220" s="44" t="str">
        <f>RIGHT(K220,LEN(K220)-FIND(" ",клиенты!$K220,FIND(" ",клиенты!$K220,1)+1))</f>
        <v>Никифоров</v>
      </c>
    </row>
    <row r="221" spans="1:14" x14ac:dyDescent="0.25">
      <c r="A221" s="40">
        <v>120</v>
      </c>
      <c r="B221" s="41" t="s">
        <v>571</v>
      </c>
      <c r="C221" s="41" t="s">
        <v>570</v>
      </c>
      <c r="D221" s="41" t="s">
        <v>143</v>
      </c>
      <c r="E221" s="42">
        <v>44691</v>
      </c>
      <c r="F221" s="41" t="str">
        <f>LEFT(клиенты!$B221,LEN(клиенты!$B221)-13)</f>
        <v>+7</v>
      </c>
      <c r="G221" s="41" t="str">
        <f>_xlfn.XLOOKUP(клиенты!$F221,'коды стран'!$B$2:$B$7,'коды стран'!$A$2:$A$7,"не найдено",0)</f>
        <v>Россия</v>
      </c>
      <c r="H221" s="42">
        <f>_xlfn.MAXIFS(Продажи[дата создания чека],Продажи[id клиента],A221)</f>
        <v>45323</v>
      </c>
      <c r="I221" s="59">
        <f t="shared" si="6"/>
        <v>20.763860369609855</v>
      </c>
      <c r="J221" s="41" t="str">
        <f>IF(LEN(C221) - LEN(SUBSTITUTE(C221," ",""))&lt;3,C221,RIGHT(C221,LEN(C221)-FIND(" ",клиенты!$C221,1)))</f>
        <v>Велимир Игоревич Макаров</v>
      </c>
      <c r="K221" s="41" t="str">
        <f t="shared" si="7"/>
        <v>Велимир Игоревич Макаров</v>
      </c>
      <c r="L221" s="41" t="str">
        <f>LEFT(клиенты!$K221,FIND(" ",клиенты!$K221,1)-1)</f>
        <v>Велимир</v>
      </c>
      <c r="M221" s="41" t="str">
        <f>MID(K221,FIND(" ",клиенты!$K221,1)+1,(FIND(" ",клиенты!$K221,FIND(" ",клиенты!$K221,1)+1)-1)-FIND(" ",клиенты!$K221,1))</f>
        <v>Игоревич</v>
      </c>
      <c r="N221" s="41" t="str">
        <f>RIGHT(K221,LEN(K221)-FIND(" ",клиенты!$K221,FIND(" ",клиенты!$K221,1)+1))</f>
        <v>Макаров</v>
      </c>
    </row>
    <row r="222" spans="1:14" x14ac:dyDescent="0.25">
      <c r="A222" s="43">
        <v>292</v>
      </c>
      <c r="B222" s="44" t="s">
        <v>569</v>
      </c>
      <c r="C222" s="44" t="s">
        <v>568</v>
      </c>
      <c r="D222" s="44" t="s">
        <v>140</v>
      </c>
      <c r="E222" s="45">
        <v>44608</v>
      </c>
      <c r="F222" s="44" t="str">
        <f>LEFT(клиенты!$B222,LEN(клиенты!$B222)-13)</f>
        <v>+7</v>
      </c>
      <c r="G222" s="44" t="str">
        <f>_xlfn.XLOOKUP(клиенты!$F222,'коды стран'!$B$2:$B$7,'коды стран'!$A$2:$A$7,"не найдено",0)</f>
        <v>Россия</v>
      </c>
      <c r="H222" s="45">
        <f>_xlfn.MAXIFS(Продажи[дата создания чека],Продажи[id клиента],A222)</f>
        <v>45381</v>
      </c>
      <c r="I222" s="60">
        <f t="shared" si="6"/>
        <v>25.396303901437371</v>
      </c>
      <c r="J222" s="44" t="str">
        <f>IF(LEN(C222) - LEN(SUBSTITUTE(C222," ",""))&lt;3,C222,RIGHT(C222,LEN(C222)-FIND(" ",клиенты!$C222,1)))</f>
        <v>Тимофеев Аполлинарий Фомич</v>
      </c>
      <c r="K222" s="44" t="str">
        <f t="shared" si="7"/>
        <v>Аполлинарий Фомич Тимофеев</v>
      </c>
      <c r="L222" s="44" t="str">
        <f>LEFT(клиенты!$K222,FIND(" ",клиенты!$K222,1)-1)</f>
        <v>Аполлинарий</v>
      </c>
      <c r="M222" s="44" t="str">
        <f>MID(K222,FIND(" ",клиенты!$K222,1)+1,(FIND(" ",клиенты!$K222,FIND(" ",клиенты!$K222,1)+1)-1)-FIND(" ",клиенты!$K222,1))</f>
        <v>Фомич</v>
      </c>
      <c r="N222" s="44" t="str">
        <f>RIGHT(K222,LEN(K222)-FIND(" ",клиенты!$K222,FIND(" ",клиенты!$K222,1)+1))</f>
        <v>Тимофеев</v>
      </c>
    </row>
    <row r="223" spans="1:14" x14ac:dyDescent="0.25">
      <c r="A223" s="40">
        <v>1</v>
      </c>
      <c r="B223" s="41" t="s">
        <v>567</v>
      </c>
      <c r="C223" s="41" t="s">
        <v>566</v>
      </c>
      <c r="D223" s="41" t="s">
        <v>143</v>
      </c>
      <c r="E223" s="42">
        <v>44585</v>
      </c>
      <c r="F223" s="41" t="str">
        <f>LEFT(клиенты!$B223,LEN(клиенты!$B223)-13)</f>
        <v>+7</v>
      </c>
      <c r="G223" s="41" t="str">
        <f>_xlfn.XLOOKUP(клиенты!$F223,'коды стран'!$B$2:$B$7,'коды стран'!$A$2:$A$7,"не найдено",0)</f>
        <v>Россия</v>
      </c>
      <c r="H223" s="42">
        <f>_xlfn.MAXIFS(Продажи[дата создания чека],Продажи[id клиента],A223)</f>
        <v>44960</v>
      </c>
      <c r="I223" s="59">
        <f t="shared" si="6"/>
        <v>12.320328542094456</v>
      </c>
      <c r="J223" s="41" t="str">
        <f>IF(LEN(C223) - LEN(SUBSTITUTE(C223," ",""))&lt;3,C223,RIGHT(C223,LEN(C223)-FIND(" ",клиенты!$C223,1)))</f>
        <v>Потап Егорович Лапин</v>
      </c>
      <c r="K223" s="41" t="str">
        <f t="shared" si="7"/>
        <v>Потап Егорович Лапин</v>
      </c>
      <c r="L223" s="41" t="str">
        <f>LEFT(клиенты!$K223,FIND(" ",клиенты!$K223,1)-1)</f>
        <v>Потап</v>
      </c>
      <c r="M223" s="41" t="str">
        <f>MID(K223,FIND(" ",клиенты!$K223,1)+1,(FIND(" ",клиенты!$K223,FIND(" ",клиенты!$K223,1)+1)-1)-FIND(" ",клиенты!$K223,1))</f>
        <v>Егорович</v>
      </c>
      <c r="N223" s="41" t="str">
        <f>RIGHT(K223,LEN(K223)-FIND(" ",клиенты!$K223,FIND(" ",клиенты!$K223,1)+1))</f>
        <v>Лапин</v>
      </c>
    </row>
    <row r="224" spans="1:14" x14ac:dyDescent="0.25">
      <c r="A224" s="43">
        <v>98</v>
      </c>
      <c r="B224" s="44" t="s">
        <v>565</v>
      </c>
      <c r="C224" s="44" t="s">
        <v>564</v>
      </c>
      <c r="D224" s="44" t="s">
        <v>143</v>
      </c>
      <c r="E224" s="45">
        <v>44637</v>
      </c>
      <c r="F224" s="44" t="str">
        <f>LEFT(клиенты!$B224,LEN(клиенты!$B224)-13)</f>
        <v>+7</v>
      </c>
      <c r="G224" s="44" t="str">
        <f>_xlfn.XLOOKUP(клиенты!$F224,'коды стран'!$B$2:$B$7,'коды стран'!$A$2:$A$7,"не найдено",0)</f>
        <v>Россия</v>
      </c>
      <c r="H224" s="45">
        <f>_xlfn.MAXIFS(Продажи[дата создания чека],Продажи[id клиента],A224)</f>
        <v>45297</v>
      </c>
      <c r="I224" s="60">
        <f t="shared" si="6"/>
        <v>21.683778234086244</v>
      </c>
      <c r="J224" s="44" t="str">
        <f>IF(LEN(C224) - LEN(SUBSTITUTE(C224," ",""))&lt;3,C224,RIGHT(C224,LEN(C224)-FIND(" ",клиенты!$C224,1)))</f>
        <v>Никита Виленович Степанов</v>
      </c>
      <c r="K224" s="44" t="str">
        <f t="shared" si="7"/>
        <v>Никита Виленович Степанов</v>
      </c>
      <c r="L224" s="44" t="str">
        <f>LEFT(клиенты!$K224,FIND(" ",клиенты!$K224,1)-1)</f>
        <v>Никита</v>
      </c>
      <c r="M224" s="44" t="str">
        <f>MID(K224,FIND(" ",клиенты!$K224,1)+1,(FIND(" ",клиенты!$K224,FIND(" ",клиенты!$K224,1)+1)-1)-FIND(" ",клиенты!$K224,1))</f>
        <v>Виленович</v>
      </c>
      <c r="N224" s="44" t="str">
        <f>RIGHT(K224,LEN(K224)-FIND(" ",клиенты!$K224,FIND(" ",клиенты!$K224,1)+1))</f>
        <v>Степанов</v>
      </c>
    </row>
    <row r="225" spans="1:14" x14ac:dyDescent="0.25">
      <c r="A225" s="40">
        <v>226</v>
      </c>
      <c r="B225" s="41" t="s">
        <v>563</v>
      </c>
      <c r="C225" s="41" t="s">
        <v>562</v>
      </c>
      <c r="D225" s="41" t="s">
        <v>143</v>
      </c>
      <c r="E225" s="42">
        <v>44702</v>
      </c>
      <c r="F225" s="41" t="str">
        <f>LEFT(клиенты!$B225,LEN(клиенты!$B225)-13)</f>
        <v>+7</v>
      </c>
      <c r="G225" s="41" t="str">
        <f>_xlfn.XLOOKUP(клиенты!$F225,'коды стран'!$B$2:$B$7,'коды стран'!$A$2:$A$7,"не найдено",0)</f>
        <v>Россия</v>
      </c>
      <c r="H225" s="42">
        <f>_xlfn.MAXIFS(Продажи[дата создания чека],Продажи[id клиента],A225)</f>
        <v>45009</v>
      </c>
      <c r="I225" s="59">
        <f t="shared" si="6"/>
        <v>10.086242299794661</v>
      </c>
      <c r="J225" s="41" t="str">
        <f>IF(LEN(C225) - LEN(SUBSTITUTE(C225," ",""))&lt;3,C225,RIGHT(C225,LEN(C225)-FIND(" ",клиенты!$C225,1)))</f>
        <v>Агап Валерьевич Логинов</v>
      </c>
      <c r="K225" s="41" t="str">
        <f t="shared" si="7"/>
        <v>Агап Валерьевич Логинов</v>
      </c>
      <c r="L225" s="41" t="str">
        <f>LEFT(клиенты!$K225,FIND(" ",клиенты!$K225,1)-1)</f>
        <v>Агап</v>
      </c>
      <c r="M225" s="41" t="str">
        <f>MID(K225,FIND(" ",клиенты!$K225,1)+1,(FIND(" ",клиенты!$K225,FIND(" ",клиенты!$K225,1)+1)-1)-FIND(" ",клиенты!$K225,1))</f>
        <v>Валерьевич</v>
      </c>
      <c r="N225" s="41" t="str">
        <f>RIGHT(K225,LEN(K225)-FIND(" ",клиенты!$K225,FIND(" ",клиенты!$K225,1)+1))</f>
        <v>Логинов</v>
      </c>
    </row>
    <row r="226" spans="1:14" x14ac:dyDescent="0.25">
      <c r="A226" s="43">
        <v>296</v>
      </c>
      <c r="B226" s="44" t="s">
        <v>561</v>
      </c>
      <c r="C226" s="44" t="s">
        <v>560</v>
      </c>
      <c r="D226" s="44" t="s">
        <v>140</v>
      </c>
      <c r="E226" s="45">
        <v>44758</v>
      </c>
      <c r="F226" s="44" t="str">
        <f>LEFT(клиенты!$B226,LEN(клиенты!$B226)-13)</f>
        <v>+998</v>
      </c>
      <c r="G226" s="44" t="str">
        <f>_xlfn.XLOOKUP(клиенты!$F226,'коды стран'!$B$2:$B$7,'коды стран'!$A$2:$A$7,"не найдено",0)</f>
        <v>Узбекистан</v>
      </c>
      <c r="H226" s="45">
        <f>_xlfn.MAXIFS(Продажи[дата создания чека],Продажи[id клиента],A226)</f>
        <v>45374</v>
      </c>
      <c r="I226" s="60">
        <f t="shared" si="6"/>
        <v>20.238193018480494</v>
      </c>
      <c r="J226" s="44" t="str">
        <f>IF(LEN(C226) - LEN(SUBSTITUTE(C226," ",""))&lt;3,C226,RIGHT(C226,LEN(C226)-FIND(" ",клиенты!$C226,1)))</f>
        <v>Исакова Людмила Олеговна</v>
      </c>
      <c r="K226" s="44" t="str">
        <f t="shared" si="7"/>
        <v>Людмила Олеговна Исакова</v>
      </c>
      <c r="L226" s="44" t="str">
        <f>LEFT(клиенты!$K226,FIND(" ",клиенты!$K226,1)-1)</f>
        <v>Людмила</v>
      </c>
      <c r="M226" s="44" t="str">
        <f>MID(K226,FIND(" ",клиенты!$K226,1)+1,(FIND(" ",клиенты!$K226,FIND(" ",клиенты!$K226,1)+1)-1)-FIND(" ",клиенты!$K226,1))</f>
        <v>Олеговна</v>
      </c>
      <c r="N226" s="44" t="str">
        <f>RIGHT(K226,LEN(K226)-FIND(" ",клиенты!$K226,FIND(" ",клиенты!$K226,1)+1))</f>
        <v>Исакова</v>
      </c>
    </row>
    <row r="227" spans="1:14" x14ac:dyDescent="0.25">
      <c r="A227" s="40">
        <v>29</v>
      </c>
      <c r="B227" s="41" t="s">
        <v>559</v>
      </c>
      <c r="C227" s="41" t="s">
        <v>558</v>
      </c>
      <c r="D227" s="41" t="s">
        <v>143</v>
      </c>
      <c r="E227" s="42">
        <v>44704</v>
      </c>
      <c r="F227" s="41" t="str">
        <f>LEFT(клиенты!$B227,LEN(клиенты!$B227)-13)</f>
        <v>+7</v>
      </c>
      <c r="G227" s="41" t="str">
        <f>_xlfn.XLOOKUP(клиенты!$F227,'коды стран'!$B$2:$B$7,'коды стран'!$A$2:$A$7,"не найдено",0)</f>
        <v>Россия</v>
      </c>
      <c r="H227" s="42">
        <f>_xlfn.MAXIFS(Продажи[дата создания чека],Продажи[id клиента],A227)</f>
        <v>45064</v>
      </c>
      <c r="I227" s="59">
        <f t="shared" si="6"/>
        <v>11.827515400410677</v>
      </c>
      <c r="J227" s="41" t="str">
        <f>IF(LEN(C227) - LEN(SUBSTITUTE(C227," ",""))&lt;3,C227,RIGHT(C227,LEN(C227)-FIND(" ",клиенты!$C227,1)))</f>
        <v>Вишняков Ярослав Анатольевич</v>
      </c>
      <c r="K227" s="41" t="str">
        <f t="shared" si="7"/>
        <v>Ярослав Анатольевич Вишняков</v>
      </c>
      <c r="L227" s="41" t="str">
        <f>LEFT(клиенты!$K227,FIND(" ",клиенты!$K227,1)-1)</f>
        <v>Ярослав</v>
      </c>
      <c r="M227" s="41" t="str">
        <f>MID(K227,FIND(" ",клиенты!$K227,1)+1,(FIND(" ",клиенты!$K227,FIND(" ",клиенты!$K227,1)+1)-1)-FIND(" ",клиенты!$K227,1))</f>
        <v>Анатольевич</v>
      </c>
      <c r="N227" s="41" t="str">
        <f>RIGHT(K227,LEN(K227)-FIND(" ",клиенты!$K227,FIND(" ",клиенты!$K227,1)+1))</f>
        <v>Вишняков</v>
      </c>
    </row>
    <row r="228" spans="1:14" x14ac:dyDescent="0.25">
      <c r="A228" s="43">
        <v>297</v>
      </c>
      <c r="B228" s="44" t="s">
        <v>557</v>
      </c>
      <c r="C228" s="44" t="s">
        <v>556</v>
      </c>
      <c r="D228" s="44" t="s">
        <v>140</v>
      </c>
      <c r="E228" s="45">
        <v>44666</v>
      </c>
      <c r="F228" s="44" t="str">
        <f>LEFT(клиенты!$B228,LEN(клиенты!$B228)-13)</f>
        <v>+380</v>
      </c>
      <c r="G228" s="44" t="str">
        <f>_xlfn.XLOOKUP(клиенты!$F228,'коды стран'!$B$2:$B$7,'коды стран'!$A$2:$A$7,"не найдено",0)</f>
        <v>Украина</v>
      </c>
      <c r="H228" s="45">
        <f>_xlfn.MAXIFS(Продажи[дата создания чека],Продажи[id клиента],A228)</f>
        <v>45283</v>
      </c>
      <c r="I228" s="60">
        <f t="shared" si="6"/>
        <v>20.271047227926079</v>
      </c>
      <c r="J228" s="44" t="str">
        <f>IF(LEN(C228) - LEN(SUBSTITUTE(C228," ",""))&lt;3,C228,RIGHT(C228,LEN(C228)-FIND(" ",клиенты!$C228,1)))</f>
        <v>Нестеров Чеслав Аверьянович</v>
      </c>
      <c r="K228" s="44" t="str">
        <f t="shared" si="7"/>
        <v>Чеслав Аверьянович Нестеров</v>
      </c>
      <c r="L228" s="44" t="str">
        <f>LEFT(клиенты!$K228,FIND(" ",клиенты!$K228,1)-1)</f>
        <v>Чеслав</v>
      </c>
      <c r="M228" s="44" t="str">
        <f>MID(K228,FIND(" ",клиенты!$K228,1)+1,(FIND(" ",клиенты!$K228,FIND(" ",клиенты!$K228,1)+1)-1)-FIND(" ",клиенты!$K228,1))</f>
        <v>Аверьянович</v>
      </c>
      <c r="N228" s="44" t="str">
        <f>RIGHT(K228,LEN(K228)-FIND(" ",клиенты!$K228,FIND(" ",клиенты!$K228,1)+1))</f>
        <v>Нестеров</v>
      </c>
    </row>
    <row r="229" spans="1:14" x14ac:dyDescent="0.25">
      <c r="A229" s="40">
        <v>497</v>
      </c>
      <c r="B229" s="41" t="s">
        <v>555</v>
      </c>
      <c r="C229" s="41" t="s">
        <v>554</v>
      </c>
      <c r="D229" s="41" t="s">
        <v>140</v>
      </c>
      <c r="E229" s="42">
        <v>44826</v>
      </c>
      <c r="F229" s="41" t="str">
        <f>LEFT(клиенты!$B229,LEN(клиенты!$B229)-13)</f>
        <v>+998</v>
      </c>
      <c r="G229" s="41" t="str">
        <f>_xlfn.XLOOKUP(клиенты!$F229,'коды стран'!$B$2:$B$7,'коды стран'!$A$2:$A$7,"не найдено",0)</f>
        <v>Узбекистан</v>
      </c>
      <c r="H229" s="42">
        <f>_xlfn.MAXIFS(Продажи[дата создания чека],Продажи[id клиента],A229)</f>
        <v>45258</v>
      </c>
      <c r="I229" s="59">
        <f t="shared" si="6"/>
        <v>14.193018480492814</v>
      </c>
      <c r="J229" s="41" t="str">
        <f>IF(LEN(C229) - LEN(SUBSTITUTE(C229," ",""))&lt;3,C229,RIGHT(C229,LEN(C229)-FIND(" ",клиенты!$C229,1)))</f>
        <v>Валерьян Федосеевич Цветков</v>
      </c>
      <c r="K229" s="41" t="str">
        <f t="shared" si="7"/>
        <v>Валерьян Федосеевич Цветков</v>
      </c>
      <c r="L229" s="41" t="str">
        <f>LEFT(клиенты!$K229,FIND(" ",клиенты!$K229,1)-1)</f>
        <v>Валерьян</v>
      </c>
      <c r="M229" s="41" t="str">
        <f>MID(K229,FIND(" ",клиенты!$K229,1)+1,(FIND(" ",клиенты!$K229,FIND(" ",клиенты!$K229,1)+1)-1)-FIND(" ",клиенты!$K229,1))</f>
        <v>Федосеевич</v>
      </c>
      <c r="N229" s="41" t="str">
        <f>RIGHT(K229,LEN(K229)-FIND(" ",клиенты!$K229,FIND(" ",клиенты!$K229,1)+1))</f>
        <v>Цветков</v>
      </c>
    </row>
    <row r="230" spans="1:14" x14ac:dyDescent="0.25">
      <c r="A230" s="43">
        <v>191</v>
      </c>
      <c r="B230" s="44" t="s">
        <v>553</v>
      </c>
      <c r="C230" s="44" t="s">
        <v>552</v>
      </c>
      <c r="D230" s="44" t="s">
        <v>143</v>
      </c>
      <c r="E230" s="45">
        <v>44866</v>
      </c>
      <c r="F230" s="44" t="str">
        <f>LEFT(клиенты!$B230,LEN(клиенты!$B230)-13)</f>
        <v>+380</v>
      </c>
      <c r="G230" s="44" t="str">
        <f>_xlfn.XLOOKUP(клиенты!$F230,'коды стран'!$B$2:$B$7,'коды стран'!$A$2:$A$7,"не найдено",0)</f>
        <v>Украина</v>
      </c>
      <c r="H230" s="45">
        <f>_xlfn.MAXIFS(Продажи[дата создания чека],Продажи[id клиента],A230)</f>
        <v>45376</v>
      </c>
      <c r="I230" s="60">
        <f t="shared" si="6"/>
        <v>16.755646817248461</v>
      </c>
      <c r="J230" s="44" t="str">
        <f>IF(LEN(C230) - LEN(SUBSTITUTE(C230," ",""))&lt;3,C230,RIGHT(C230,LEN(C230)-FIND(" ",клиенты!$C230,1)))</f>
        <v>Матвей Адамович Богданов</v>
      </c>
      <c r="K230" s="44" t="str">
        <f t="shared" si="7"/>
        <v>Матвей Адамович Богданов</v>
      </c>
      <c r="L230" s="44" t="str">
        <f>LEFT(клиенты!$K230,FIND(" ",клиенты!$K230,1)-1)</f>
        <v>Матвей</v>
      </c>
      <c r="M230" s="44" t="str">
        <f>MID(K230,FIND(" ",клиенты!$K230,1)+1,(FIND(" ",клиенты!$K230,FIND(" ",клиенты!$K230,1)+1)-1)-FIND(" ",клиенты!$K230,1))</f>
        <v>Адамович</v>
      </c>
      <c r="N230" s="44" t="str">
        <f>RIGHT(K230,LEN(K230)-FIND(" ",клиенты!$K230,FIND(" ",клиенты!$K230,1)+1))</f>
        <v>Богданов</v>
      </c>
    </row>
    <row r="231" spans="1:14" x14ac:dyDescent="0.25">
      <c r="A231" s="40">
        <v>58</v>
      </c>
      <c r="B231" s="41" t="s">
        <v>551</v>
      </c>
      <c r="C231" s="41" t="s">
        <v>550</v>
      </c>
      <c r="D231" s="41" t="s">
        <v>140</v>
      </c>
      <c r="E231" s="42">
        <v>44628</v>
      </c>
      <c r="F231" s="41" t="str">
        <f>LEFT(клиенты!$B231,LEN(клиенты!$B231)-13)</f>
        <v>+375</v>
      </c>
      <c r="G231" s="41" t="str">
        <f>_xlfn.XLOOKUP(клиенты!$F231,'коды стран'!$B$2:$B$7,'коды стран'!$A$2:$A$7,"не найдено",0)</f>
        <v>Беларусь</v>
      </c>
      <c r="H231" s="42">
        <f>_xlfn.MAXIFS(Продажи[дата создания чека],Продажи[id клиента],A231)</f>
        <v>45279</v>
      </c>
      <c r="I231" s="59">
        <f t="shared" si="6"/>
        <v>21.388090349075977</v>
      </c>
      <c r="J231" s="41" t="str">
        <f>IF(LEN(C231) - LEN(SUBSTITUTE(C231," ",""))&lt;3,C231,RIGHT(C231,LEN(C231)-FIND(" ",клиенты!$C231,1)))</f>
        <v>Владимирова Алина Феликсовна</v>
      </c>
      <c r="K231" s="41" t="str">
        <f t="shared" si="7"/>
        <v>Алина Феликсовна Владимирова</v>
      </c>
      <c r="L231" s="41" t="str">
        <f>LEFT(клиенты!$K231,FIND(" ",клиенты!$K231,1)-1)</f>
        <v>Алина</v>
      </c>
      <c r="M231" s="41" t="str">
        <f>MID(K231,FIND(" ",клиенты!$K231,1)+1,(FIND(" ",клиенты!$K231,FIND(" ",клиенты!$K231,1)+1)-1)-FIND(" ",клиенты!$K231,1))</f>
        <v>Феликсовна</v>
      </c>
      <c r="N231" s="41" t="str">
        <f>RIGHT(K231,LEN(K231)-FIND(" ",клиенты!$K231,FIND(" ",клиенты!$K231,1)+1))</f>
        <v>Владимирова</v>
      </c>
    </row>
    <row r="232" spans="1:14" x14ac:dyDescent="0.25">
      <c r="A232" s="43">
        <v>446</v>
      </c>
      <c r="B232" s="44" t="s">
        <v>549</v>
      </c>
      <c r="C232" s="44" t="s">
        <v>548</v>
      </c>
      <c r="D232" s="44" t="s">
        <v>143</v>
      </c>
      <c r="E232" s="45">
        <v>44671</v>
      </c>
      <c r="F232" s="44" t="str">
        <f>LEFT(клиенты!$B232,LEN(клиенты!$B232)-13)</f>
        <v>+992</v>
      </c>
      <c r="G232" s="44" t="str">
        <f>_xlfn.XLOOKUP(клиенты!$F232,'коды стран'!$B$2:$B$7,'коды стран'!$A$2:$A$7,"не найдено",0)</f>
        <v>Таджикистан</v>
      </c>
      <c r="H232" s="45">
        <f>_xlfn.MAXIFS(Продажи[дата создания чека],Продажи[id клиента],A232)</f>
        <v>45213</v>
      </c>
      <c r="I232" s="60">
        <f t="shared" si="6"/>
        <v>17.806981519507186</v>
      </c>
      <c r="J232" s="44" t="str">
        <f>IF(LEN(C232) - LEN(SUBSTITUTE(C232," ",""))&lt;3,C232,RIGHT(C232,LEN(C232)-FIND(" ",клиенты!$C232,1)))</f>
        <v>Лора Вадимовна Турова</v>
      </c>
      <c r="K232" s="44" t="str">
        <f t="shared" si="7"/>
        <v>Лора Вадимовна Турова</v>
      </c>
      <c r="L232" s="44" t="str">
        <f>LEFT(клиенты!$K232,FIND(" ",клиенты!$K232,1)-1)</f>
        <v>Лора</v>
      </c>
      <c r="M232" s="44" t="str">
        <f>MID(K232,FIND(" ",клиенты!$K232,1)+1,(FIND(" ",клиенты!$K232,FIND(" ",клиенты!$K232,1)+1)-1)-FIND(" ",клиенты!$K232,1))</f>
        <v>Вадимовна</v>
      </c>
      <c r="N232" s="44" t="str">
        <f>RIGHT(K232,LEN(K232)-FIND(" ",клиенты!$K232,FIND(" ",клиенты!$K232,1)+1))</f>
        <v>Турова</v>
      </c>
    </row>
    <row r="233" spans="1:14" x14ac:dyDescent="0.25">
      <c r="A233" s="40">
        <v>117</v>
      </c>
      <c r="B233" s="41" t="s">
        <v>547</v>
      </c>
      <c r="C233" s="41" t="s">
        <v>546</v>
      </c>
      <c r="D233" s="41" t="s">
        <v>143</v>
      </c>
      <c r="E233" s="42">
        <v>44706</v>
      </c>
      <c r="F233" s="41" t="str">
        <f>LEFT(клиенты!$B233,LEN(клиенты!$B233)-13)</f>
        <v>+380</v>
      </c>
      <c r="G233" s="41" t="str">
        <f>_xlfn.XLOOKUP(клиенты!$F233,'коды стран'!$B$2:$B$7,'коды стран'!$A$2:$A$7,"не найдено",0)</f>
        <v>Украина</v>
      </c>
      <c r="H233" s="42">
        <f>_xlfn.MAXIFS(Продажи[дата создания чека],Продажи[id клиента],A233)</f>
        <v>45398</v>
      </c>
      <c r="I233" s="59">
        <f t="shared" si="6"/>
        <v>22.735112936344969</v>
      </c>
      <c r="J233" s="41" t="str">
        <f>IF(LEN(C233) - LEN(SUBSTITUTE(C233," ",""))&lt;3,C233,RIGHT(C233,LEN(C233)-FIND(" ",клиенты!$C233,1)))</f>
        <v>Мирон Давидович Горбачев</v>
      </c>
      <c r="K233" s="41" t="str">
        <f t="shared" si="7"/>
        <v>Мирон Давидович Горбачев</v>
      </c>
      <c r="L233" s="41" t="str">
        <f>LEFT(клиенты!$K233,FIND(" ",клиенты!$K233,1)-1)</f>
        <v>Мирон</v>
      </c>
      <c r="M233" s="41" t="str">
        <f>MID(K233,FIND(" ",клиенты!$K233,1)+1,(FIND(" ",клиенты!$K233,FIND(" ",клиенты!$K233,1)+1)-1)-FIND(" ",клиенты!$K233,1))</f>
        <v>Давидович</v>
      </c>
      <c r="N233" s="41" t="str">
        <f>RIGHT(K233,LEN(K233)-FIND(" ",клиенты!$K233,FIND(" ",клиенты!$K233,1)+1))</f>
        <v>Горбачев</v>
      </c>
    </row>
    <row r="234" spans="1:14" x14ac:dyDescent="0.25">
      <c r="A234" s="43">
        <v>187</v>
      </c>
      <c r="B234" s="44" t="s">
        <v>545</v>
      </c>
      <c r="C234" s="44" t="s">
        <v>544</v>
      </c>
      <c r="D234" s="44" t="s">
        <v>143</v>
      </c>
      <c r="E234" s="45">
        <v>44848</v>
      </c>
      <c r="F234" s="44" t="str">
        <f>LEFT(клиенты!$B234,LEN(клиенты!$B234)-13)</f>
        <v>+7</v>
      </c>
      <c r="G234" s="44" t="str">
        <f>_xlfn.XLOOKUP(клиенты!$F234,'коды стран'!$B$2:$B$7,'коды стран'!$A$2:$A$7,"не найдено",0)</f>
        <v>Россия</v>
      </c>
      <c r="H234" s="45">
        <f>_xlfn.MAXIFS(Продажи[дата создания чека],Продажи[id клиента],A234)</f>
        <v>45243</v>
      </c>
      <c r="I234" s="60">
        <f t="shared" si="6"/>
        <v>12.97741273100616</v>
      </c>
      <c r="J234" s="44" t="str">
        <f>IF(LEN(C234) - LEN(SUBSTITUTE(C234," ",""))&lt;3,C234,RIGHT(C234,LEN(C234)-FIND(" ",клиенты!$C234,1)))</f>
        <v>Юлия Геннадиевна Белякова</v>
      </c>
      <c r="K234" s="44" t="str">
        <f t="shared" si="7"/>
        <v>Юлия Геннадиевна Белякова</v>
      </c>
      <c r="L234" s="44" t="str">
        <f>LEFT(клиенты!$K234,FIND(" ",клиенты!$K234,1)-1)</f>
        <v>Юлия</v>
      </c>
      <c r="M234" s="44" t="str">
        <f>MID(K234,FIND(" ",клиенты!$K234,1)+1,(FIND(" ",клиенты!$K234,FIND(" ",клиенты!$K234,1)+1)-1)-FIND(" ",клиенты!$K234,1))</f>
        <v>Геннадиевна</v>
      </c>
      <c r="N234" s="44" t="str">
        <f>RIGHT(K234,LEN(K234)-FIND(" ",клиенты!$K234,FIND(" ",клиенты!$K234,1)+1))</f>
        <v>Белякова</v>
      </c>
    </row>
    <row r="235" spans="1:14" x14ac:dyDescent="0.25">
      <c r="A235" s="40">
        <v>231</v>
      </c>
      <c r="B235" s="41" t="s">
        <v>543</v>
      </c>
      <c r="C235" s="41" t="s">
        <v>542</v>
      </c>
      <c r="D235" s="41" t="s">
        <v>140</v>
      </c>
      <c r="E235" s="42">
        <v>44752</v>
      </c>
      <c r="F235" s="41" t="str">
        <f>LEFT(клиенты!$B235,LEN(клиенты!$B235)-13)</f>
        <v>+7</v>
      </c>
      <c r="G235" s="41" t="str">
        <f>_xlfn.XLOOKUP(клиенты!$F235,'коды стран'!$B$2:$B$7,'коды стран'!$A$2:$A$7,"не найдено",0)</f>
        <v>Россия</v>
      </c>
      <c r="H235" s="42">
        <f>_xlfn.MAXIFS(Продажи[дата создания чека],Продажи[id клиента],A235)</f>
        <v>45009</v>
      </c>
      <c r="I235" s="59">
        <f t="shared" si="6"/>
        <v>8.4435318275154003</v>
      </c>
      <c r="J235" s="41" t="str">
        <f>IF(LEN(C235) - LEN(SUBSTITUTE(C235," ",""))&lt;3,C235,RIGHT(C235,LEN(C235)-FIND(" ",клиенты!$C235,1)))</f>
        <v>Ермаков Ярослав Тихонович</v>
      </c>
      <c r="K235" s="41" t="str">
        <f t="shared" si="7"/>
        <v>Ярослав Тихонович Ермаков</v>
      </c>
      <c r="L235" s="41" t="str">
        <f>LEFT(клиенты!$K235,FIND(" ",клиенты!$K235,1)-1)</f>
        <v>Ярослав</v>
      </c>
      <c r="M235" s="41" t="str">
        <f>MID(K235,FIND(" ",клиенты!$K235,1)+1,(FIND(" ",клиенты!$K235,FIND(" ",клиенты!$K235,1)+1)-1)-FIND(" ",клиенты!$K235,1))</f>
        <v>Тихонович</v>
      </c>
      <c r="N235" s="41" t="str">
        <f>RIGHT(K235,LEN(K235)-FIND(" ",клиенты!$K235,FIND(" ",клиенты!$K235,1)+1))</f>
        <v>Ермаков</v>
      </c>
    </row>
    <row r="236" spans="1:14" x14ac:dyDescent="0.25">
      <c r="A236" s="43">
        <v>265</v>
      </c>
      <c r="B236" s="44" t="s">
        <v>541</v>
      </c>
      <c r="C236" s="44" t="s">
        <v>540</v>
      </c>
      <c r="D236" s="44" t="s">
        <v>140</v>
      </c>
      <c r="E236" s="45">
        <v>44756</v>
      </c>
      <c r="F236" s="44" t="str">
        <f>LEFT(клиенты!$B236,LEN(клиенты!$B236)-13)</f>
        <v>+998</v>
      </c>
      <c r="G236" s="44" t="str">
        <f>_xlfn.XLOOKUP(клиенты!$F236,'коды стран'!$B$2:$B$7,'коды стран'!$A$2:$A$7,"не найдено",0)</f>
        <v>Узбекистан</v>
      </c>
      <c r="H236" s="45">
        <f>_xlfn.MAXIFS(Продажи[дата создания чека],Продажи[id клиента],A236)</f>
        <v>45423</v>
      </c>
      <c r="I236" s="60">
        <f t="shared" si="6"/>
        <v>21.913757700205338</v>
      </c>
      <c r="J236" s="44" t="str">
        <f>IF(LEN(C236) - LEN(SUBSTITUTE(C236," ",""))&lt;3,C236,RIGHT(C236,LEN(C236)-FIND(" ",клиенты!$C236,1)))</f>
        <v>Баранов Эраст Терентьевич</v>
      </c>
      <c r="K236" s="44" t="str">
        <f t="shared" si="7"/>
        <v>Эраст Терентьевич Баранов</v>
      </c>
      <c r="L236" s="44" t="str">
        <f>LEFT(клиенты!$K236,FIND(" ",клиенты!$K236,1)-1)</f>
        <v>Эраст</v>
      </c>
      <c r="M236" s="44" t="str">
        <f>MID(K236,FIND(" ",клиенты!$K236,1)+1,(FIND(" ",клиенты!$K236,FIND(" ",клиенты!$K236,1)+1)-1)-FIND(" ",клиенты!$K236,1))</f>
        <v>Терентьевич</v>
      </c>
      <c r="N236" s="44" t="str">
        <f>RIGHT(K236,LEN(K236)-FIND(" ",клиенты!$K236,FIND(" ",клиенты!$K236,1)+1))</f>
        <v>Баранов</v>
      </c>
    </row>
    <row r="237" spans="1:14" x14ac:dyDescent="0.25">
      <c r="A237" s="40">
        <v>391</v>
      </c>
      <c r="B237" s="41" t="s">
        <v>539</v>
      </c>
      <c r="C237" s="41" t="s">
        <v>538</v>
      </c>
      <c r="D237" s="41" t="s">
        <v>143</v>
      </c>
      <c r="E237" s="42">
        <v>44675</v>
      </c>
      <c r="F237" s="41" t="str">
        <f>LEFT(клиенты!$B237,LEN(клиенты!$B237)-13)</f>
        <v>+992</v>
      </c>
      <c r="G237" s="41" t="str">
        <f>_xlfn.XLOOKUP(клиенты!$F237,'коды стран'!$B$2:$B$7,'коды стран'!$A$2:$A$7,"не найдено",0)</f>
        <v>Таджикистан</v>
      </c>
      <c r="H237" s="42">
        <f>_xlfn.MAXIFS(Продажи[дата создания чека],Продажи[id клиента],A237)</f>
        <v>45077</v>
      </c>
      <c r="I237" s="59">
        <f t="shared" si="6"/>
        <v>13.207392197125257</v>
      </c>
      <c r="J237" s="41" t="str">
        <f>IF(LEN(C237) - LEN(SUBSTITUTE(C237," ",""))&lt;3,C237,RIGHT(C237,LEN(C237)-FIND(" ",клиенты!$C237,1)))</f>
        <v>Вероника Геннадьевна Воронова</v>
      </c>
      <c r="K237" s="41" t="str">
        <f t="shared" si="7"/>
        <v>Вероника Геннадьевна Воронова</v>
      </c>
      <c r="L237" s="41" t="str">
        <f>LEFT(клиенты!$K237,FIND(" ",клиенты!$K237,1)-1)</f>
        <v>Вероника</v>
      </c>
      <c r="M237" s="41" t="str">
        <f>MID(K237,FIND(" ",клиенты!$K237,1)+1,(FIND(" ",клиенты!$K237,FIND(" ",клиенты!$K237,1)+1)-1)-FIND(" ",клиенты!$K237,1))</f>
        <v>Геннадьевна</v>
      </c>
      <c r="N237" s="41" t="str">
        <f>RIGHT(K237,LEN(K237)-FIND(" ",клиенты!$K237,FIND(" ",клиенты!$K237,1)+1))</f>
        <v>Воронова</v>
      </c>
    </row>
    <row r="238" spans="1:14" x14ac:dyDescent="0.25">
      <c r="A238" s="43">
        <v>355</v>
      </c>
      <c r="B238" s="44" t="s">
        <v>537</v>
      </c>
      <c r="C238" s="44" t="s">
        <v>536</v>
      </c>
      <c r="D238" s="44" t="s">
        <v>140</v>
      </c>
      <c r="E238" s="45">
        <v>44631</v>
      </c>
      <c r="F238" s="44" t="str">
        <f>LEFT(клиенты!$B238,LEN(клиенты!$B238)-13)</f>
        <v>+7</v>
      </c>
      <c r="G238" s="44" t="str">
        <f>_xlfn.XLOOKUP(клиенты!$F238,'коды стран'!$B$2:$B$7,'коды стран'!$A$2:$A$7,"не найдено",0)</f>
        <v>Россия</v>
      </c>
      <c r="H238" s="45">
        <f>_xlfn.MAXIFS(Продажи[дата создания чека],Продажи[id клиента],A238)</f>
        <v>45182</v>
      </c>
      <c r="I238" s="60">
        <f t="shared" si="6"/>
        <v>18.102669404517453</v>
      </c>
      <c r="J238" s="44" t="str">
        <f>IF(LEN(C238) - LEN(SUBSTITUTE(C238," ",""))&lt;3,C238,RIGHT(C238,LEN(C238)-FIND(" ",клиенты!$C238,1)))</f>
        <v>Назарова Ия Ивановна</v>
      </c>
      <c r="K238" s="44" t="str">
        <f t="shared" si="7"/>
        <v>Ия Ивановна Назарова</v>
      </c>
      <c r="L238" s="44" t="str">
        <f>LEFT(клиенты!$K238,FIND(" ",клиенты!$K238,1)-1)</f>
        <v>Ия</v>
      </c>
      <c r="M238" s="44" t="str">
        <f>MID(K238,FIND(" ",клиенты!$K238,1)+1,(FIND(" ",клиенты!$K238,FIND(" ",клиенты!$K238,1)+1)-1)-FIND(" ",клиенты!$K238,1))</f>
        <v>Ивановна</v>
      </c>
      <c r="N238" s="44" t="str">
        <f>RIGHT(K238,LEN(K238)-FIND(" ",клиенты!$K238,FIND(" ",клиенты!$K238,1)+1))</f>
        <v>Назарова</v>
      </c>
    </row>
    <row r="239" spans="1:14" x14ac:dyDescent="0.25">
      <c r="A239" s="40">
        <v>277</v>
      </c>
      <c r="B239" s="41" t="s">
        <v>535</v>
      </c>
      <c r="C239" s="41" t="s">
        <v>534</v>
      </c>
      <c r="D239" s="41" t="s">
        <v>143</v>
      </c>
      <c r="E239" s="42">
        <v>44750</v>
      </c>
      <c r="F239" s="41" t="str">
        <f>LEFT(клиенты!$B239,LEN(клиенты!$B239)-13)</f>
        <v>+7</v>
      </c>
      <c r="G239" s="41" t="str">
        <f>_xlfn.XLOOKUP(клиенты!$F239,'коды стран'!$B$2:$B$7,'коды стран'!$A$2:$A$7,"не найдено",0)</f>
        <v>Россия</v>
      </c>
      <c r="H239" s="42">
        <f>_xlfn.MAXIFS(Продажи[дата создания чека],Продажи[id клиента],A239)</f>
        <v>45361</v>
      </c>
      <c r="I239" s="59">
        <f t="shared" si="6"/>
        <v>20.073921971252567</v>
      </c>
      <c r="J239" s="41" t="str">
        <f>IF(LEN(C239) - LEN(SUBSTITUTE(C239," ",""))&lt;3,C239,RIGHT(C239,LEN(C239)-FIND(" ",клиенты!$C239,1)))</f>
        <v>Любомир Архипович Пономарев</v>
      </c>
      <c r="K239" s="41" t="str">
        <f t="shared" si="7"/>
        <v>Любомир Архипович Пономарев</v>
      </c>
      <c r="L239" s="41" t="str">
        <f>LEFT(клиенты!$K239,FIND(" ",клиенты!$K239,1)-1)</f>
        <v>Любомир</v>
      </c>
      <c r="M239" s="41" t="str">
        <f>MID(K239,FIND(" ",клиенты!$K239,1)+1,(FIND(" ",клиенты!$K239,FIND(" ",клиенты!$K239,1)+1)-1)-FIND(" ",клиенты!$K239,1))</f>
        <v>Архипович</v>
      </c>
      <c r="N239" s="41" t="str">
        <f>RIGHT(K239,LEN(K239)-FIND(" ",клиенты!$K239,FIND(" ",клиенты!$K239,1)+1))</f>
        <v>Пономарев</v>
      </c>
    </row>
    <row r="240" spans="1:14" x14ac:dyDescent="0.25">
      <c r="A240" s="43">
        <v>104</v>
      </c>
      <c r="B240" s="44" t="s">
        <v>533</v>
      </c>
      <c r="C240" s="44" t="s">
        <v>532</v>
      </c>
      <c r="D240" s="44" t="s">
        <v>140</v>
      </c>
      <c r="E240" s="45">
        <v>44772</v>
      </c>
      <c r="F240" s="44" t="str">
        <f>LEFT(клиенты!$B240,LEN(клиенты!$B240)-13)</f>
        <v>+998</v>
      </c>
      <c r="G240" s="44" t="str">
        <f>_xlfn.XLOOKUP(клиенты!$F240,'коды стран'!$B$2:$B$7,'коды стран'!$A$2:$A$7,"не найдено",0)</f>
        <v>Узбекистан</v>
      </c>
      <c r="H240" s="45">
        <f>_xlfn.MAXIFS(Продажи[дата создания чека],Продажи[id клиента],A240)</f>
        <v>45232</v>
      </c>
      <c r="I240" s="60">
        <f t="shared" si="6"/>
        <v>15.112936344969199</v>
      </c>
      <c r="J240" s="44" t="str">
        <f>IF(LEN(C240) - LEN(SUBSTITUTE(C240," ",""))&lt;3,C240,RIGHT(C240,LEN(C240)-FIND(" ",клиенты!$C240,1)))</f>
        <v>Елизавета Яковлевна Лапина</v>
      </c>
      <c r="K240" s="44" t="str">
        <f t="shared" si="7"/>
        <v>Елизавета Яковлевна Лапина</v>
      </c>
      <c r="L240" s="44" t="str">
        <f>LEFT(клиенты!$K240,FIND(" ",клиенты!$K240,1)-1)</f>
        <v>Елизавета</v>
      </c>
      <c r="M240" s="44" t="str">
        <f>MID(K240,FIND(" ",клиенты!$K240,1)+1,(FIND(" ",клиенты!$K240,FIND(" ",клиенты!$K240,1)+1)-1)-FIND(" ",клиенты!$K240,1))</f>
        <v>Яковлевна</v>
      </c>
      <c r="N240" s="44" t="str">
        <f>RIGHT(K240,LEN(K240)-FIND(" ",клиенты!$K240,FIND(" ",клиенты!$K240,1)+1))</f>
        <v>Лапина</v>
      </c>
    </row>
    <row r="241" spans="1:14" x14ac:dyDescent="0.25">
      <c r="A241" s="40">
        <v>109</v>
      </c>
      <c r="B241" s="41" t="s">
        <v>531</v>
      </c>
      <c r="C241" s="41" t="s">
        <v>530</v>
      </c>
      <c r="D241" s="41" t="s">
        <v>143</v>
      </c>
      <c r="E241" s="42">
        <v>44732</v>
      </c>
      <c r="F241" s="41" t="str">
        <f>LEFT(клиенты!$B241,LEN(клиенты!$B241)-13)</f>
        <v>+380</v>
      </c>
      <c r="G241" s="41" t="str">
        <f>_xlfn.XLOOKUP(клиенты!$F241,'коды стран'!$B$2:$B$7,'коды стран'!$A$2:$A$7,"не найдено",0)</f>
        <v>Украина</v>
      </c>
      <c r="H241" s="42">
        <f>_xlfn.MAXIFS(Продажи[дата создания чека],Продажи[id клиента],A241)</f>
        <v>45091</v>
      </c>
      <c r="I241" s="59">
        <f t="shared" si="6"/>
        <v>11.794661190965092</v>
      </c>
      <c r="J241" s="41" t="str">
        <f>IF(LEN(C241) - LEN(SUBSTITUTE(C241," ",""))&lt;3,C241,RIGHT(C241,LEN(C241)-FIND(" ",клиенты!$C241,1)))</f>
        <v>Гурьева Людмила Владимировна</v>
      </c>
      <c r="K241" s="41" t="str">
        <f t="shared" si="7"/>
        <v>Людмила Владимировна Гурьева</v>
      </c>
      <c r="L241" s="41" t="str">
        <f>LEFT(клиенты!$K241,FIND(" ",клиенты!$K241,1)-1)</f>
        <v>Людмила</v>
      </c>
      <c r="M241" s="41" t="str">
        <f>MID(K241,FIND(" ",клиенты!$K241,1)+1,(FIND(" ",клиенты!$K241,FIND(" ",клиенты!$K241,1)+1)-1)-FIND(" ",клиенты!$K241,1))</f>
        <v>Владимировна</v>
      </c>
      <c r="N241" s="41" t="str">
        <f>RIGHT(K241,LEN(K241)-FIND(" ",клиенты!$K241,FIND(" ",клиенты!$K241,1)+1))</f>
        <v>Гурьева</v>
      </c>
    </row>
    <row r="242" spans="1:14" x14ac:dyDescent="0.25">
      <c r="A242" s="43">
        <v>369</v>
      </c>
      <c r="B242" s="44" t="s">
        <v>529</v>
      </c>
      <c r="C242" s="44" t="s">
        <v>528</v>
      </c>
      <c r="D242" s="44" t="s">
        <v>143</v>
      </c>
      <c r="E242" s="45">
        <v>44678</v>
      </c>
      <c r="F242" s="44" t="str">
        <f>LEFT(клиенты!$B242,LEN(клиенты!$B242)-13)</f>
        <v>+7</v>
      </c>
      <c r="G242" s="44" t="str">
        <f>_xlfn.XLOOKUP(клиенты!$F242,'коды стран'!$B$2:$B$7,'коды стран'!$A$2:$A$7,"не найдено",0)</f>
        <v>Россия</v>
      </c>
      <c r="H242" s="45">
        <f>_xlfn.MAXIFS(Продажи[дата создания чека],Продажи[id клиента],A242)</f>
        <v>45116</v>
      </c>
      <c r="I242" s="60">
        <f t="shared" si="6"/>
        <v>14.390143737166325</v>
      </c>
      <c r="J242" s="44" t="str">
        <f>IF(LEN(C242) - LEN(SUBSTITUTE(C242," ",""))&lt;3,C242,RIGHT(C242,LEN(C242)-FIND(" ",клиенты!$C242,1)))</f>
        <v>Фёкла Натановна Дементьева</v>
      </c>
      <c r="K242" s="44" t="str">
        <f t="shared" si="7"/>
        <v>Фёкла Натановна Дементьева</v>
      </c>
      <c r="L242" s="44" t="str">
        <f>LEFT(клиенты!$K242,FIND(" ",клиенты!$K242,1)-1)</f>
        <v>Фёкла</v>
      </c>
      <c r="M242" s="44" t="str">
        <f>MID(K242,FIND(" ",клиенты!$K242,1)+1,(FIND(" ",клиенты!$K242,FIND(" ",клиенты!$K242,1)+1)-1)-FIND(" ",клиенты!$K242,1))</f>
        <v>Натановна</v>
      </c>
      <c r="N242" s="44" t="str">
        <f>RIGHT(K242,LEN(K242)-FIND(" ",клиенты!$K242,FIND(" ",клиенты!$K242,1)+1))</f>
        <v>Дементьева</v>
      </c>
    </row>
    <row r="243" spans="1:14" x14ac:dyDescent="0.25">
      <c r="A243" s="40">
        <v>78</v>
      </c>
      <c r="B243" s="41" t="s">
        <v>527</v>
      </c>
      <c r="C243" s="41" t="s">
        <v>526</v>
      </c>
      <c r="D243" s="41" t="s">
        <v>143</v>
      </c>
      <c r="E243" s="42">
        <v>44658</v>
      </c>
      <c r="F243" s="41" t="str">
        <f>LEFT(клиенты!$B243,LEN(клиенты!$B243)-13)</f>
        <v>+380</v>
      </c>
      <c r="G243" s="41" t="str">
        <f>_xlfn.XLOOKUP(клиенты!$F243,'коды стран'!$B$2:$B$7,'коды стран'!$A$2:$A$7,"не найдено",0)</f>
        <v>Украина</v>
      </c>
      <c r="H243" s="42">
        <f>_xlfn.MAXIFS(Продажи[дата создания чека],Продажи[id клиента],A243)</f>
        <v>45350</v>
      </c>
      <c r="I243" s="59">
        <f t="shared" si="6"/>
        <v>22.735112936344969</v>
      </c>
      <c r="J243" s="41" t="str">
        <f>IF(LEN(C243) - LEN(SUBSTITUTE(C243," ",""))&lt;3,C243,RIGHT(C243,LEN(C243)-FIND(" ",клиенты!$C243,1)))</f>
        <v>Маслова Иванна Макаровна</v>
      </c>
      <c r="K243" s="41" t="str">
        <f t="shared" si="7"/>
        <v>Иванна Макаровна Маслова</v>
      </c>
      <c r="L243" s="41" t="str">
        <f>LEFT(клиенты!$K243,FIND(" ",клиенты!$K243,1)-1)</f>
        <v>Иванна</v>
      </c>
      <c r="M243" s="41" t="str">
        <f>MID(K243,FIND(" ",клиенты!$K243,1)+1,(FIND(" ",клиенты!$K243,FIND(" ",клиенты!$K243,1)+1)-1)-FIND(" ",клиенты!$K243,1))</f>
        <v>Макаровна</v>
      </c>
      <c r="N243" s="41" t="str">
        <f>RIGHT(K243,LEN(K243)-FIND(" ",клиенты!$K243,FIND(" ",клиенты!$K243,1)+1))</f>
        <v>Маслова</v>
      </c>
    </row>
    <row r="244" spans="1:14" x14ac:dyDescent="0.25">
      <c r="A244" s="43">
        <v>66</v>
      </c>
      <c r="B244" s="44" t="s">
        <v>525</v>
      </c>
      <c r="C244" s="44" t="s">
        <v>524</v>
      </c>
      <c r="D244" s="44" t="s">
        <v>140</v>
      </c>
      <c r="E244" s="45">
        <v>44777</v>
      </c>
      <c r="F244" s="44" t="str">
        <f>LEFT(клиенты!$B244,LEN(клиенты!$B244)-13)</f>
        <v>+7</v>
      </c>
      <c r="G244" s="44" t="str">
        <f>_xlfn.XLOOKUP(клиенты!$F244,'коды стран'!$B$2:$B$7,'коды стран'!$A$2:$A$7,"не найдено",0)</f>
        <v>Россия</v>
      </c>
      <c r="H244" s="45">
        <f>_xlfn.MAXIFS(Продажи[дата создания чека],Продажи[id клиента],A244)</f>
        <v>45102</v>
      </c>
      <c r="I244" s="60">
        <f t="shared" si="6"/>
        <v>10.677618069815194</v>
      </c>
      <c r="J244" s="44" t="str">
        <f>IF(LEN(C244) - LEN(SUBSTITUTE(C244," ",""))&lt;3,C244,RIGHT(C244,LEN(C244)-FIND(" ",клиенты!$C244,1)))</f>
        <v>Клавдия Богдановна Ковалева</v>
      </c>
      <c r="K244" s="44" t="str">
        <f t="shared" si="7"/>
        <v>Клавдия Богдановна Ковалева</v>
      </c>
      <c r="L244" s="44" t="str">
        <f>LEFT(клиенты!$K244,FIND(" ",клиенты!$K244,1)-1)</f>
        <v>Клавдия</v>
      </c>
      <c r="M244" s="44" t="str">
        <f>MID(K244,FIND(" ",клиенты!$K244,1)+1,(FIND(" ",клиенты!$K244,FIND(" ",клиенты!$K244,1)+1)-1)-FIND(" ",клиенты!$K244,1))</f>
        <v>Богдановна</v>
      </c>
      <c r="N244" s="44" t="str">
        <f>RIGHT(K244,LEN(K244)-FIND(" ",клиенты!$K244,FIND(" ",клиенты!$K244,1)+1))</f>
        <v>Ковалева</v>
      </c>
    </row>
    <row r="245" spans="1:14" x14ac:dyDescent="0.25">
      <c r="A245" s="40">
        <v>261</v>
      </c>
      <c r="B245" s="41" t="s">
        <v>523</v>
      </c>
      <c r="C245" s="41" t="s">
        <v>522</v>
      </c>
      <c r="D245" s="41" t="s">
        <v>143</v>
      </c>
      <c r="E245" s="42">
        <v>44848</v>
      </c>
      <c r="F245" s="41" t="str">
        <f>LEFT(клиенты!$B245,LEN(клиенты!$B245)-13)</f>
        <v>+7</v>
      </c>
      <c r="G245" s="41" t="str">
        <f>_xlfn.XLOOKUP(клиенты!$F245,'коды стран'!$B$2:$B$7,'коды стран'!$A$2:$A$7,"не найдено",0)</f>
        <v>Россия</v>
      </c>
      <c r="H245" s="42">
        <f>_xlfn.MAXIFS(Продажи[дата создания чека],Продажи[id клиента],A245)</f>
        <v>45314</v>
      </c>
      <c r="I245" s="59">
        <f t="shared" si="6"/>
        <v>15.31006160164271</v>
      </c>
      <c r="J245" s="41" t="str">
        <f>IF(LEN(C245) - LEN(SUBSTITUTE(C245," ",""))&lt;3,C245,RIGHT(C245,LEN(C245)-FIND(" ",клиенты!$C245,1)))</f>
        <v>Евсеев Ратмир Артемьевич</v>
      </c>
      <c r="K245" s="41" t="str">
        <f t="shared" si="7"/>
        <v>Ратмир Артемьевич Евсеев</v>
      </c>
      <c r="L245" s="41" t="str">
        <f>LEFT(клиенты!$K245,FIND(" ",клиенты!$K245,1)-1)</f>
        <v>Ратмир</v>
      </c>
      <c r="M245" s="41" t="str">
        <f>MID(K245,FIND(" ",клиенты!$K245,1)+1,(FIND(" ",клиенты!$K245,FIND(" ",клиенты!$K245,1)+1)-1)-FIND(" ",клиенты!$K245,1))</f>
        <v>Артемьевич</v>
      </c>
      <c r="N245" s="41" t="str">
        <f>RIGHT(K245,LEN(K245)-FIND(" ",клиенты!$K245,FIND(" ",клиенты!$K245,1)+1))</f>
        <v>Евсеев</v>
      </c>
    </row>
    <row r="246" spans="1:14" x14ac:dyDescent="0.25">
      <c r="A246" s="43">
        <v>307</v>
      </c>
      <c r="B246" s="44" t="s">
        <v>521</v>
      </c>
      <c r="C246" s="44" t="s">
        <v>520</v>
      </c>
      <c r="D246" s="44" t="s">
        <v>143</v>
      </c>
      <c r="E246" s="45">
        <v>44764</v>
      </c>
      <c r="F246" s="44" t="str">
        <f>LEFT(клиенты!$B246,LEN(клиенты!$B246)-13)</f>
        <v>+375</v>
      </c>
      <c r="G246" s="44" t="str">
        <f>_xlfn.XLOOKUP(клиенты!$F246,'коды стран'!$B$2:$B$7,'коды стран'!$A$2:$A$7,"не найдено",0)</f>
        <v>Беларусь</v>
      </c>
      <c r="H246" s="45">
        <f>_xlfn.MAXIFS(Продажи[дата создания чека],Продажи[id клиента],A246)</f>
        <v>45274</v>
      </c>
      <c r="I246" s="60">
        <f t="shared" si="6"/>
        <v>16.755646817248461</v>
      </c>
      <c r="J246" s="44" t="str">
        <f>IF(LEN(C246) - LEN(SUBSTITUTE(C246," ",""))&lt;3,C246,RIGHT(C246,LEN(C246)-FIND(" ",клиенты!$C246,1)))</f>
        <v>Клавдия Константиновна Хохлова</v>
      </c>
      <c r="K246" s="44" t="str">
        <f t="shared" si="7"/>
        <v>Клавдия Константиновна Хохлова</v>
      </c>
      <c r="L246" s="44" t="str">
        <f>LEFT(клиенты!$K246,FIND(" ",клиенты!$K246,1)-1)</f>
        <v>Клавдия</v>
      </c>
      <c r="M246" s="44" t="str">
        <f>MID(K246,FIND(" ",клиенты!$K246,1)+1,(FIND(" ",клиенты!$K246,FIND(" ",клиенты!$K246,1)+1)-1)-FIND(" ",клиенты!$K246,1))</f>
        <v>Константиновна</v>
      </c>
      <c r="N246" s="44" t="str">
        <f>RIGHT(K246,LEN(K246)-FIND(" ",клиенты!$K246,FIND(" ",клиенты!$K246,1)+1))</f>
        <v>Хохлова</v>
      </c>
    </row>
    <row r="247" spans="1:14" x14ac:dyDescent="0.25">
      <c r="A247" s="40">
        <v>144</v>
      </c>
      <c r="B247" s="41" t="s">
        <v>519</v>
      </c>
      <c r="C247" s="41" t="s">
        <v>518</v>
      </c>
      <c r="D247" s="41" t="s">
        <v>143</v>
      </c>
      <c r="E247" s="42">
        <v>44705</v>
      </c>
      <c r="F247" s="41" t="str">
        <f>LEFT(клиенты!$B247,LEN(клиенты!$B247)-13)</f>
        <v>+380</v>
      </c>
      <c r="G247" s="41" t="str">
        <f>_xlfn.XLOOKUP(клиенты!$F247,'коды стран'!$B$2:$B$7,'коды стран'!$A$2:$A$7,"не найдено",0)</f>
        <v>Украина</v>
      </c>
      <c r="H247" s="42">
        <f>_xlfn.MAXIFS(Продажи[дата создания чека],Продажи[id клиента],A247)</f>
        <v>45193</v>
      </c>
      <c r="I247" s="59">
        <f t="shared" si="6"/>
        <v>16.032854209445585</v>
      </c>
      <c r="J247" s="41" t="str">
        <f>IF(LEN(C247) - LEN(SUBSTITUTE(C247," ",""))&lt;3,C247,RIGHT(C247,LEN(C247)-FIND(" ",клиенты!$C247,1)))</f>
        <v>Анастасия Альбертовна Фролова</v>
      </c>
      <c r="K247" s="41" t="str">
        <f t="shared" si="7"/>
        <v>Анастасия Альбертовна Фролова</v>
      </c>
      <c r="L247" s="41" t="str">
        <f>LEFT(клиенты!$K247,FIND(" ",клиенты!$K247,1)-1)</f>
        <v>Анастасия</v>
      </c>
      <c r="M247" s="41" t="str">
        <f>MID(K247,FIND(" ",клиенты!$K247,1)+1,(FIND(" ",клиенты!$K247,FIND(" ",клиенты!$K247,1)+1)-1)-FIND(" ",клиенты!$K247,1))</f>
        <v>Альбертовна</v>
      </c>
      <c r="N247" s="41" t="str">
        <f>RIGHT(K247,LEN(K247)-FIND(" ",клиенты!$K247,FIND(" ",клиенты!$K247,1)+1))</f>
        <v>Фролова</v>
      </c>
    </row>
    <row r="248" spans="1:14" x14ac:dyDescent="0.25">
      <c r="A248" s="43">
        <v>76</v>
      </c>
      <c r="B248" s="44" t="s">
        <v>517</v>
      </c>
      <c r="C248" s="44" t="s">
        <v>516</v>
      </c>
      <c r="D248" s="44" t="s">
        <v>143</v>
      </c>
      <c r="E248" s="45">
        <v>44575</v>
      </c>
      <c r="F248" s="44" t="str">
        <f>LEFT(клиенты!$B248,LEN(клиенты!$B248)-13)</f>
        <v>+375</v>
      </c>
      <c r="G248" s="44" t="str">
        <f>_xlfn.XLOOKUP(клиенты!$F248,'коды стран'!$B$2:$B$7,'коды стран'!$A$2:$A$7,"не найдено",0)</f>
        <v>Беларусь</v>
      </c>
      <c r="H248" s="45">
        <f>_xlfn.MAXIFS(Продажи[дата создания чека],Продажи[id клиента],A248)</f>
        <v>45282</v>
      </c>
      <c r="I248" s="60">
        <f t="shared" si="6"/>
        <v>23.227926078028748</v>
      </c>
      <c r="J248" s="44" t="str">
        <f>IF(LEN(C248) - LEN(SUBSTITUTE(C248," ",""))&lt;3,C248,RIGHT(C248,LEN(C248)-FIND(" ",клиенты!$C248,1)))</f>
        <v>Федосеева Василиса Аскольдовна</v>
      </c>
      <c r="K248" s="44" t="str">
        <f t="shared" si="7"/>
        <v>Василиса Аскольдовна Федосеева</v>
      </c>
      <c r="L248" s="44" t="str">
        <f>LEFT(клиенты!$K248,FIND(" ",клиенты!$K248,1)-1)</f>
        <v>Василиса</v>
      </c>
      <c r="M248" s="44" t="str">
        <f>MID(K248,FIND(" ",клиенты!$K248,1)+1,(FIND(" ",клиенты!$K248,FIND(" ",клиенты!$K248,1)+1)-1)-FIND(" ",клиенты!$K248,1))</f>
        <v>Аскольдовна</v>
      </c>
      <c r="N248" s="44" t="str">
        <f>RIGHT(K248,LEN(K248)-FIND(" ",клиенты!$K248,FIND(" ",клиенты!$K248,1)+1))</f>
        <v>Федосеева</v>
      </c>
    </row>
    <row r="249" spans="1:14" x14ac:dyDescent="0.25">
      <c r="A249" s="40">
        <v>84</v>
      </c>
      <c r="B249" s="41" t="s">
        <v>515</v>
      </c>
      <c r="C249" s="41" t="s">
        <v>514</v>
      </c>
      <c r="D249" s="41" t="s">
        <v>140</v>
      </c>
      <c r="E249" s="42">
        <v>44805</v>
      </c>
      <c r="F249" s="41" t="str">
        <f>LEFT(клиенты!$B249,LEN(клиенты!$B249)-13)</f>
        <v>+992</v>
      </c>
      <c r="G249" s="41" t="str">
        <f>_xlfn.XLOOKUP(клиенты!$F249,'коды стран'!$B$2:$B$7,'коды стран'!$A$2:$A$7,"не найдено",0)</f>
        <v>Таджикистан</v>
      </c>
      <c r="H249" s="42">
        <f>_xlfn.MAXIFS(Продажи[дата создания чека],Продажи[id клиента],A249)</f>
        <v>45199</v>
      </c>
      <c r="I249" s="59">
        <f t="shared" si="6"/>
        <v>12.944558521560575</v>
      </c>
      <c r="J249" s="41" t="str">
        <f>IF(LEN(C249) - LEN(SUBSTITUTE(C249," ",""))&lt;3,C249,RIGHT(C249,LEN(C249)-FIND(" ",клиенты!$C249,1)))</f>
        <v>Евгения Георгиевна Рожкова</v>
      </c>
      <c r="K249" s="41" t="str">
        <f t="shared" si="7"/>
        <v>Евгения Георгиевна Рожкова</v>
      </c>
      <c r="L249" s="41" t="str">
        <f>LEFT(клиенты!$K249,FIND(" ",клиенты!$K249,1)-1)</f>
        <v>Евгения</v>
      </c>
      <c r="M249" s="41" t="str">
        <f>MID(K249,FIND(" ",клиенты!$K249,1)+1,(FIND(" ",клиенты!$K249,FIND(" ",клиенты!$K249,1)+1)-1)-FIND(" ",клиенты!$K249,1))</f>
        <v>Георгиевна</v>
      </c>
      <c r="N249" s="41" t="str">
        <f>RIGHT(K249,LEN(K249)-FIND(" ",клиенты!$K249,FIND(" ",клиенты!$K249,1)+1))</f>
        <v>Рожкова</v>
      </c>
    </row>
    <row r="250" spans="1:14" x14ac:dyDescent="0.25">
      <c r="A250" s="43">
        <v>81</v>
      </c>
      <c r="B250" s="44" t="s">
        <v>513</v>
      </c>
      <c r="C250" s="44" t="s">
        <v>512</v>
      </c>
      <c r="D250" s="44" t="s">
        <v>143</v>
      </c>
      <c r="E250" s="45">
        <v>44825</v>
      </c>
      <c r="F250" s="44" t="str">
        <f>LEFT(клиенты!$B250,LEN(клиенты!$B250)-13)</f>
        <v>+7</v>
      </c>
      <c r="G250" s="44" t="str">
        <f>_xlfn.XLOOKUP(клиенты!$F250,'коды стран'!$B$2:$B$7,'коды стран'!$A$2:$A$7,"не найдено",0)</f>
        <v>Россия</v>
      </c>
      <c r="H250" s="45">
        <f>_xlfn.MAXIFS(Продажи[дата создания чека],Продажи[id клиента],A250)</f>
        <v>45394</v>
      </c>
      <c r="I250" s="60">
        <f t="shared" si="6"/>
        <v>18.694045174537987</v>
      </c>
      <c r="J250" s="44" t="str">
        <f>IF(LEN(C250) - LEN(SUBSTITUTE(C250," ",""))&lt;3,C250,RIGHT(C250,LEN(C250)-FIND(" ",клиенты!$C250,1)))</f>
        <v>Ксения Кузьминична Авдеева</v>
      </c>
      <c r="K250" s="44" t="str">
        <f t="shared" si="7"/>
        <v>Ксения Кузьминична Авдеева</v>
      </c>
      <c r="L250" s="44" t="str">
        <f>LEFT(клиенты!$K250,FIND(" ",клиенты!$K250,1)-1)</f>
        <v>Ксения</v>
      </c>
      <c r="M250" s="44" t="str">
        <f>MID(K250,FIND(" ",клиенты!$K250,1)+1,(FIND(" ",клиенты!$K250,FIND(" ",клиенты!$K250,1)+1)-1)-FIND(" ",клиенты!$K250,1))</f>
        <v>Кузьминична</v>
      </c>
      <c r="N250" s="44" t="str">
        <f>RIGHT(K250,LEN(K250)-FIND(" ",клиенты!$K250,FIND(" ",клиенты!$K250,1)+1))</f>
        <v>Авдеева</v>
      </c>
    </row>
    <row r="251" spans="1:14" x14ac:dyDescent="0.25">
      <c r="A251" s="40">
        <v>157</v>
      </c>
      <c r="B251" s="41" t="s">
        <v>511</v>
      </c>
      <c r="C251" s="41" t="s">
        <v>510</v>
      </c>
      <c r="D251" s="41" t="s">
        <v>140</v>
      </c>
      <c r="E251" s="42">
        <v>44783</v>
      </c>
      <c r="F251" s="41" t="str">
        <f>LEFT(клиенты!$B251,LEN(клиенты!$B251)-13)</f>
        <v>+7</v>
      </c>
      <c r="G251" s="41" t="str">
        <f>_xlfn.XLOOKUP(клиенты!$F251,'коды стран'!$B$2:$B$7,'коды стран'!$A$2:$A$7,"не найдено",0)</f>
        <v>Россия</v>
      </c>
      <c r="H251" s="42">
        <f>_xlfn.MAXIFS(Продажи[дата создания чека],Продажи[id клиента],A251)</f>
        <v>45144</v>
      </c>
      <c r="I251" s="59">
        <f t="shared" si="6"/>
        <v>11.860369609856264</v>
      </c>
      <c r="J251" s="41" t="str">
        <f>IF(LEN(C251) - LEN(SUBSTITUTE(C251," ",""))&lt;3,C251,RIGHT(C251,LEN(C251)-FIND(" ",клиенты!$C251,1)))</f>
        <v>Елена Эдуардовна Кудряшова</v>
      </c>
      <c r="K251" s="41" t="str">
        <f t="shared" si="7"/>
        <v>Елена Эдуардовна Кудряшова</v>
      </c>
      <c r="L251" s="41" t="str">
        <f>LEFT(клиенты!$K251,FIND(" ",клиенты!$K251,1)-1)</f>
        <v>Елена</v>
      </c>
      <c r="M251" s="41" t="str">
        <f>MID(K251,FIND(" ",клиенты!$K251,1)+1,(FIND(" ",клиенты!$K251,FIND(" ",клиенты!$K251,1)+1)-1)-FIND(" ",клиенты!$K251,1))</f>
        <v>Эдуардовна</v>
      </c>
      <c r="N251" s="41" t="str">
        <f>RIGHT(K251,LEN(K251)-FIND(" ",клиенты!$K251,FIND(" ",клиенты!$K251,1)+1))</f>
        <v>Кудряшова</v>
      </c>
    </row>
    <row r="252" spans="1:14" x14ac:dyDescent="0.25">
      <c r="A252" s="43">
        <v>57</v>
      </c>
      <c r="B252" s="44" t="s">
        <v>509</v>
      </c>
      <c r="C252" s="44" t="s">
        <v>508</v>
      </c>
      <c r="D252" s="44" t="s">
        <v>140</v>
      </c>
      <c r="E252" s="45">
        <v>44669</v>
      </c>
      <c r="F252" s="44" t="str">
        <f>LEFT(клиенты!$B252,LEN(клиенты!$B252)-13)</f>
        <v>+7</v>
      </c>
      <c r="G252" s="44" t="str">
        <f>_xlfn.XLOOKUP(клиенты!$F252,'коды стран'!$B$2:$B$7,'коды стран'!$A$2:$A$7,"не найдено",0)</f>
        <v>Россия</v>
      </c>
      <c r="H252" s="45">
        <f>_xlfn.MAXIFS(Продажи[дата создания чека],Продажи[id клиента],A252)</f>
        <v>45105</v>
      </c>
      <c r="I252" s="60">
        <f t="shared" si="6"/>
        <v>14.324435318275153</v>
      </c>
      <c r="J252" s="44" t="str">
        <f>IF(LEN(C252) - LEN(SUBSTITUTE(C252," ",""))&lt;3,C252,RIGHT(C252,LEN(C252)-FIND(" ",клиенты!$C252,1)))</f>
        <v>Константин Ефимьевич Колесников</v>
      </c>
      <c r="K252" s="44" t="str">
        <f t="shared" si="7"/>
        <v>Константин Ефимьевич Колесников</v>
      </c>
      <c r="L252" s="44" t="str">
        <f>LEFT(клиенты!$K252,FIND(" ",клиенты!$K252,1)-1)</f>
        <v>Константин</v>
      </c>
      <c r="M252" s="44" t="str">
        <f>MID(K252,FIND(" ",клиенты!$K252,1)+1,(FIND(" ",клиенты!$K252,FIND(" ",клиенты!$K252,1)+1)-1)-FIND(" ",клиенты!$K252,1))</f>
        <v>Ефимьевич</v>
      </c>
      <c r="N252" s="44" t="str">
        <f>RIGHT(K252,LEN(K252)-FIND(" ",клиенты!$K252,FIND(" ",клиенты!$K252,1)+1))</f>
        <v>Колесников</v>
      </c>
    </row>
    <row r="253" spans="1:14" x14ac:dyDescent="0.25">
      <c r="A253" s="40">
        <v>479</v>
      </c>
      <c r="B253" s="41" t="s">
        <v>507</v>
      </c>
      <c r="C253" s="41" t="s">
        <v>506</v>
      </c>
      <c r="D253" s="41" t="s">
        <v>143</v>
      </c>
      <c r="E253" s="42">
        <v>44793</v>
      </c>
      <c r="F253" s="41" t="str">
        <f>LEFT(клиенты!$B253,LEN(клиенты!$B253)-13)</f>
        <v>+7</v>
      </c>
      <c r="G253" s="41" t="str">
        <f>_xlfn.XLOOKUP(клиенты!$F253,'коды стран'!$B$2:$B$7,'коды стран'!$A$2:$A$7,"не найдено",0)</f>
        <v>Россия</v>
      </c>
      <c r="H253" s="42">
        <f>_xlfn.MAXIFS(Продажи[дата создания чека],Продажи[id клиента],A253)</f>
        <v>45310</v>
      </c>
      <c r="I253" s="59">
        <f t="shared" si="6"/>
        <v>16.985626283367555</v>
      </c>
      <c r="J253" s="41" t="str">
        <f>IF(LEN(C253) - LEN(SUBSTITUTE(C253," ",""))&lt;3,C253,RIGHT(C253,LEN(C253)-FIND(" ",клиенты!$C253,1)))</f>
        <v>Евпраксия Федоровна Фомина</v>
      </c>
      <c r="K253" s="41" t="str">
        <f t="shared" si="7"/>
        <v>Евпраксия Федоровна Фомина</v>
      </c>
      <c r="L253" s="41" t="str">
        <f>LEFT(клиенты!$K253,FIND(" ",клиенты!$K253,1)-1)</f>
        <v>Евпраксия</v>
      </c>
      <c r="M253" s="41" t="str">
        <f>MID(K253,FIND(" ",клиенты!$K253,1)+1,(FIND(" ",клиенты!$K253,FIND(" ",клиенты!$K253,1)+1)-1)-FIND(" ",клиенты!$K253,1))</f>
        <v>Федоровна</v>
      </c>
      <c r="N253" s="41" t="str">
        <f>RIGHT(K253,LEN(K253)-FIND(" ",клиенты!$K253,FIND(" ",клиенты!$K253,1)+1))</f>
        <v>Фомина</v>
      </c>
    </row>
    <row r="254" spans="1:14" x14ac:dyDescent="0.25">
      <c r="A254" s="43">
        <v>406</v>
      </c>
      <c r="B254" s="44" t="s">
        <v>505</v>
      </c>
      <c r="C254" s="44" t="s">
        <v>504</v>
      </c>
      <c r="D254" s="44" t="s">
        <v>143</v>
      </c>
      <c r="E254" s="45">
        <v>44895</v>
      </c>
      <c r="F254" s="44" t="str">
        <f>LEFT(клиенты!$B254,LEN(клиенты!$B254)-13)</f>
        <v>+380</v>
      </c>
      <c r="G254" s="44" t="str">
        <f>_xlfn.XLOOKUP(клиенты!$F254,'коды стран'!$B$2:$B$7,'коды стран'!$A$2:$A$7,"не найдено",0)</f>
        <v>Украина</v>
      </c>
      <c r="H254" s="45">
        <f>_xlfn.MAXIFS(Продажи[дата создания чека],Продажи[id клиента],A254)</f>
        <v>45301</v>
      </c>
      <c r="I254" s="60">
        <f t="shared" si="6"/>
        <v>13.338809034907598</v>
      </c>
      <c r="J254" s="44" t="str">
        <f>IF(LEN(C254) - LEN(SUBSTITUTE(C254," ",""))&lt;3,C254,RIGHT(C254,LEN(C254)-FIND(" ",клиенты!$C254,1)))</f>
        <v>Дмитрий Трифонович Денисов</v>
      </c>
      <c r="K254" s="44" t="str">
        <f t="shared" si="7"/>
        <v>Дмитрий Трифонович Денисов</v>
      </c>
      <c r="L254" s="44" t="str">
        <f>LEFT(клиенты!$K254,FIND(" ",клиенты!$K254,1)-1)</f>
        <v>Дмитрий</v>
      </c>
      <c r="M254" s="44" t="str">
        <f>MID(K254,FIND(" ",клиенты!$K254,1)+1,(FIND(" ",клиенты!$K254,FIND(" ",клиенты!$K254,1)+1)-1)-FIND(" ",клиенты!$K254,1))</f>
        <v>Трифонович</v>
      </c>
      <c r="N254" s="44" t="str">
        <f>RIGHT(K254,LEN(K254)-FIND(" ",клиенты!$K254,FIND(" ",клиенты!$K254,1)+1))</f>
        <v>Денисов</v>
      </c>
    </row>
    <row r="255" spans="1:14" x14ac:dyDescent="0.25">
      <c r="A255" s="40">
        <v>56</v>
      </c>
      <c r="B255" s="41" t="s">
        <v>503</v>
      </c>
      <c r="C255" s="41" t="s">
        <v>502</v>
      </c>
      <c r="D255" s="41" t="s">
        <v>140</v>
      </c>
      <c r="E255" s="42">
        <v>44662</v>
      </c>
      <c r="F255" s="41" t="str">
        <f>LEFT(клиенты!$B255,LEN(клиенты!$B255)-13)</f>
        <v>+992</v>
      </c>
      <c r="G255" s="41" t="str">
        <f>_xlfn.XLOOKUP(клиенты!$F255,'коды стран'!$B$2:$B$7,'коды стран'!$A$2:$A$7,"не найдено",0)</f>
        <v>Таджикистан</v>
      </c>
      <c r="H255" s="42">
        <f>_xlfn.MAXIFS(Продажи[дата создания чека],Продажи[id клиента],A255)</f>
        <v>45385</v>
      </c>
      <c r="I255" s="59">
        <f t="shared" si="6"/>
        <v>23.753593429158112</v>
      </c>
      <c r="J255" s="41" t="str">
        <f>IF(LEN(C255) - LEN(SUBSTITUTE(C255," ",""))&lt;3,C255,RIGHT(C255,LEN(C255)-FIND(" ",клиенты!$C255,1)))</f>
        <v>Пелагея Антоновна Цветкова</v>
      </c>
      <c r="K255" s="41" t="str">
        <f t="shared" si="7"/>
        <v>Пелагея Антоновна Цветкова</v>
      </c>
      <c r="L255" s="41" t="str">
        <f>LEFT(клиенты!$K255,FIND(" ",клиенты!$K255,1)-1)</f>
        <v>Пелагея</v>
      </c>
      <c r="M255" s="41" t="str">
        <f>MID(K255,FIND(" ",клиенты!$K255,1)+1,(FIND(" ",клиенты!$K255,FIND(" ",клиенты!$K255,1)+1)-1)-FIND(" ",клиенты!$K255,1))</f>
        <v>Антоновна</v>
      </c>
      <c r="N255" s="41" t="str">
        <f>RIGHT(K255,LEN(K255)-FIND(" ",клиенты!$K255,FIND(" ",клиенты!$K255,1)+1))</f>
        <v>Цветкова</v>
      </c>
    </row>
    <row r="256" spans="1:14" x14ac:dyDescent="0.25">
      <c r="A256" s="43">
        <v>10</v>
      </c>
      <c r="B256" s="44" t="s">
        <v>501</v>
      </c>
      <c r="C256" s="44" t="s">
        <v>500</v>
      </c>
      <c r="D256" s="44" t="s">
        <v>140</v>
      </c>
      <c r="E256" s="45">
        <v>44881</v>
      </c>
      <c r="F256" s="44" t="str">
        <f>LEFT(клиенты!$B256,LEN(клиенты!$B256)-13)</f>
        <v>+380</v>
      </c>
      <c r="G256" s="44" t="str">
        <f>_xlfn.XLOOKUP(клиенты!$F256,'коды стран'!$B$2:$B$7,'коды стран'!$A$2:$A$7,"не найдено",0)</f>
        <v>Украина</v>
      </c>
      <c r="H256" s="45">
        <f>_xlfn.MAXIFS(Продажи[дата создания чека],Продажи[id клиента],A256)</f>
        <v>45402</v>
      </c>
      <c r="I256" s="60">
        <f t="shared" si="6"/>
        <v>17.117043121149898</v>
      </c>
      <c r="J256" s="44" t="str">
        <f>IF(LEN(C256) - LEN(SUBSTITUTE(C256," ",""))&lt;3,C256,RIGHT(C256,LEN(C256)-FIND(" ",клиенты!$C256,1)))</f>
        <v>Давыдов Амос Владиславович</v>
      </c>
      <c r="K256" s="44" t="str">
        <f t="shared" si="7"/>
        <v>Амос Владиславович Давыдов</v>
      </c>
      <c r="L256" s="44" t="str">
        <f>LEFT(клиенты!$K256,FIND(" ",клиенты!$K256,1)-1)</f>
        <v>Амос</v>
      </c>
      <c r="M256" s="44" t="str">
        <f>MID(K256,FIND(" ",клиенты!$K256,1)+1,(FIND(" ",клиенты!$K256,FIND(" ",клиенты!$K256,1)+1)-1)-FIND(" ",клиенты!$K256,1))</f>
        <v>Владиславович</v>
      </c>
      <c r="N256" s="44" t="str">
        <f>RIGHT(K256,LEN(K256)-FIND(" ",клиенты!$K256,FIND(" ",клиенты!$K256,1)+1))</f>
        <v>Давыдов</v>
      </c>
    </row>
    <row r="257" spans="1:14" x14ac:dyDescent="0.25">
      <c r="A257" s="40">
        <v>174</v>
      </c>
      <c r="B257" s="41" t="s">
        <v>499</v>
      </c>
      <c r="C257" s="41" t="s">
        <v>498</v>
      </c>
      <c r="D257" s="41" t="s">
        <v>143</v>
      </c>
      <c r="E257" s="42">
        <v>44779</v>
      </c>
      <c r="F257" s="41" t="str">
        <f>LEFT(клиенты!$B257,LEN(клиенты!$B257)-13)</f>
        <v>+992</v>
      </c>
      <c r="G257" s="41" t="str">
        <f>_xlfn.XLOOKUP(клиенты!$F257,'коды стран'!$B$2:$B$7,'коды стран'!$A$2:$A$7,"не найдено",0)</f>
        <v>Таджикистан</v>
      </c>
      <c r="H257" s="42">
        <f>_xlfn.MAXIFS(Продажи[дата создания чека],Продажи[id клиента],A257)</f>
        <v>45054</v>
      </c>
      <c r="I257" s="59">
        <f t="shared" si="6"/>
        <v>9.0349075975359341</v>
      </c>
      <c r="J257" s="41" t="str">
        <f>IF(LEN(C257) - LEN(SUBSTITUTE(C257," ",""))&lt;3,C257,RIGHT(C257,LEN(C257)-FIND(" ",клиенты!$C257,1)))</f>
        <v>Лазарев Аникей Венедиктович</v>
      </c>
      <c r="K257" s="41" t="str">
        <f t="shared" si="7"/>
        <v>Аникей Венедиктович Лазарев</v>
      </c>
      <c r="L257" s="41" t="str">
        <f>LEFT(клиенты!$K257,FIND(" ",клиенты!$K257,1)-1)</f>
        <v>Аникей</v>
      </c>
      <c r="M257" s="41" t="str">
        <f>MID(K257,FIND(" ",клиенты!$K257,1)+1,(FIND(" ",клиенты!$K257,FIND(" ",клиенты!$K257,1)+1)-1)-FIND(" ",клиенты!$K257,1))</f>
        <v>Венедиктович</v>
      </c>
      <c r="N257" s="41" t="str">
        <f>RIGHT(K257,LEN(K257)-FIND(" ",клиенты!$K257,FIND(" ",клиенты!$K257,1)+1))</f>
        <v>Лазарев</v>
      </c>
    </row>
    <row r="258" spans="1:14" x14ac:dyDescent="0.25">
      <c r="A258" s="43">
        <v>72</v>
      </c>
      <c r="B258" s="44" t="s">
        <v>497</v>
      </c>
      <c r="C258" s="44" t="s">
        <v>496</v>
      </c>
      <c r="D258" s="44" t="s">
        <v>143</v>
      </c>
      <c r="E258" s="45">
        <v>44906</v>
      </c>
      <c r="F258" s="44" t="str">
        <f>LEFT(клиенты!$B258,LEN(клиенты!$B258)-13)</f>
        <v>+992</v>
      </c>
      <c r="G258" s="44" t="str">
        <f>_xlfn.XLOOKUP(клиенты!$F258,'коды стран'!$B$2:$B$7,'коды стран'!$A$2:$A$7,"не найдено",0)</f>
        <v>Таджикистан</v>
      </c>
      <c r="H258" s="45">
        <f>_xlfn.MAXIFS(Продажи[дата создания чека],Продажи[id клиента],A258)</f>
        <v>45316</v>
      </c>
      <c r="I258" s="60">
        <f t="shared" si="6"/>
        <v>13.470225872689939</v>
      </c>
      <c r="J258" s="44" t="str">
        <f>IF(LEN(C258) - LEN(SUBSTITUTE(C258," ",""))&lt;3,C258,RIGHT(C258,LEN(C258)-FIND(" ",клиенты!$C258,1)))</f>
        <v>Фомина Антонина Павловна</v>
      </c>
      <c r="K258" s="44" t="str">
        <f t="shared" si="7"/>
        <v>Антонина Павловна Фомина</v>
      </c>
      <c r="L258" s="44" t="str">
        <f>LEFT(клиенты!$K258,FIND(" ",клиенты!$K258,1)-1)</f>
        <v>Антонина</v>
      </c>
      <c r="M258" s="44" t="str">
        <f>MID(K258,FIND(" ",клиенты!$K258,1)+1,(FIND(" ",клиенты!$K258,FIND(" ",клиенты!$K258,1)+1)-1)-FIND(" ",клиенты!$K258,1))</f>
        <v>Павловна</v>
      </c>
      <c r="N258" s="44" t="str">
        <f>RIGHT(K258,LEN(K258)-FIND(" ",клиенты!$K258,FIND(" ",клиенты!$K258,1)+1))</f>
        <v>Фомина</v>
      </c>
    </row>
    <row r="259" spans="1:14" x14ac:dyDescent="0.25">
      <c r="A259" s="40">
        <v>38</v>
      </c>
      <c r="B259" s="41" t="s">
        <v>495</v>
      </c>
      <c r="C259" s="41" t="s">
        <v>494</v>
      </c>
      <c r="D259" s="41" t="s">
        <v>140</v>
      </c>
      <c r="E259" s="42">
        <v>44819</v>
      </c>
      <c r="F259" s="41" t="str">
        <f>LEFT(клиенты!$B259,LEN(клиенты!$B259)-13)</f>
        <v>+992</v>
      </c>
      <c r="G259" s="41" t="str">
        <f>_xlfn.XLOOKUP(клиенты!$F259,'коды стран'!$B$2:$B$7,'коды стран'!$A$2:$A$7,"не найдено",0)</f>
        <v>Таджикистан</v>
      </c>
      <c r="H259" s="42">
        <f>_xlfn.MAXIFS(Продажи[дата создания чека],Продажи[id клиента],A259)</f>
        <v>45386</v>
      </c>
      <c r="I259" s="59">
        <f t="shared" ref="I259:I322" si="8">IFERROR((H259-E259)/30.4375,0)</f>
        <v>18.628336755646817</v>
      </c>
      <c r="J259" s="41" t="str">
        <f>IF(LEN(C259) - LEN(SUBSTITUTE(C259," ",""))&lt;3,C259,RIGHT(C259,LEN(C259)-FIND(" ",клиенты!$C259,1)))</f>
        <v>Ираида Феликсовна Белоусова</v>
      </c>
      <c r="K259" s="41" t="str">
        <f t="shared" ref="K259:K322" si="9">IF(OR(
    RIGHT(MID(C259,FIND(" ",C259)+1,FIND(" ",C259,FIND(" ",C259)+1)-FIND(" ",C259)-1),2)="ич",
    RIGHT(MID(C259,FIND(" ",C259)+1,FIND(" ",C259,FIND(" ",C259)+1)-FIND(" ",C259)-1),3)="вна",
    RIGHT(MID(C259,FIND(" ",C259)+1,FIND(" ",C259,FIND(" ",C259)+1)-FIND(" ",C259)-1),3)="чна"
),
C259,
MID(C259,FIND(" ",C259)+1,FIND(" ",C259,FIND(" ",C259)+1)-FIND(" ",C259)-1)&amp;" "&amp;
RIGHT(C259,LEN(C259)-FIND("☐",SUBSTITUTE(C259," ","☐",2)))&amp;" "&amp;
LEFT(C259,FIND(" ",C259)-1)
)</f>
        <v>Ираида Феликсовна Белоусова</v>
      </c>
      <c r="L259" s="41" t="str">
        <f>LEFT(клиенты!$K259,FIND(" ",клиенты!$K259,1)-1)</f>
        <v>Ираида</v>
      </c>
      <c r="M259" s="41" t="str">
        <f>MID(K259,FIND(" ",клиенты!$K259,1)+1,(FIND(" ",клиенты!$K259,FIND(" ",клиенты!$K259,1)+1)-1)-FIND(" ",клиенты!$K259,1))</f>
        <v>Феликсовна</v>
      </c>
      <c r="N259" s="41" t="str">
        <f>RIGHT(K259,LEN(K259)-FIND(" ",клиенты!$K259,FIND(" ",клиенты!$K259,1)+1))</f>
        <v>Белоусова</v>
      </c>
    </row>
    <row r="260" spans="1:14" x14ac:dyDescent="0.25">
      <c r="A260" s="43">
        <v>18</v>
      </c>
      <c r="B260" s="44" t="s">
        <v>493</v>
      </c>
      <c r="C260" s="44" t="s">
        <v>492</v>
      </c>
      <c r="D260" s="44" t="s">
        <v>140</v>
      </c>
      <c r="E260" s="45">
        <v>44578</v>
      </c>
      <c r="F260" s="44" t="str">
        <f>LEFT(клиенты!$B260,LEN(клиенты!$B260)-13)</f>
        <v>+380</v>
      </c>
      <c r="G260" s="44" t="str">
        <f>_xlfn.XLOOKUP(клиенты!$F260,'коды стран'!$B$2:$B$7,'коды стран'!$A$2:$A$7,"не найдено",0)</f>
        <v>Украина</v>
      </c>
      <c r="H260" s="45">
        <f>_xlfn.MAXIFS(Продажи[дата создания чека],Продажи[id клиента],A260)</f>
        <v>45390</v>
      </c>
      <c r="I260" s="60">
        <f t="shared" si="8"/>
        <v>26.677618069815196</v>
      </c>
      <c r="J260" s="44" t="str">
        <f>IF(LEN(C260) - LEN(SUBSTITUTE(C260," ",""))&lt;3,C260,RIGHT(C260,LEN(C260)-FIND(" ",клиенты!$C260,1)))</f>
        <v>Кира Степановна Рогова</v>
      </c>
      <c r="K260" s="44" t="str">
        <f t="shared" si="9"/>
        <v>Кира Степановна Рогова</v>
      </c>
      <c r="L260" s="44" t="str">
        <f>LEFT(клиенты!$K260,FIND(" ",клиенты!$K260,1)-1)</f>
        <v>Кира</v>
      </c>
      <c r="M260" s="44" t="str">
        <f>MID(K260,FIND(" ",клиенты!$K260,1)+1,(FIND(" ",клиенты!$K260,FIND(" ",клиенты!$K260,1)+1)-1)-FIND(" ",клиенты!$K260,1))</f>
        <v>Степановна</v>
      </c>
      <c r="N260" s="44" t="str">
        <f>RIGHT(K260,LEN(K260)-FIND(" ",клиенты!$K260,FIND(" ",клиенты!$K260,1)+1))</f>
        <v>Рогова</v>
      </c>
    </row>
    <row r="261" spans="1:14" x14ac:dyDescent="0.25">
      <c r="A261" s="40">
        <v>88</v>
      </c>
      <c r="B261" s="41" t="s">
        <v>491</v>
      </c>
      <c r="C261" s="41" t="s">
        <v>490</v>
      </c>
      <c r="D261" s="41" t="s">
        <v>143</v>
      </c>
      <c r="E261" s="42">
        <v>44630</v>
      </c>
      <c r="F261" s="41" t="str">
        <f>LEFT(клиенты!$B261,LEN(клиенты!$B261)-13)</f>
        <v>+380</v>
      </c>
      <c r="G261" s="41" t="str">
        <f>_xlfn.XLOOKUP(клиенты!$F261,'коды стран'!$B$2:$B$7,'коды стран'!$A$2:$A$7,"не найдено",0)</f>
        <v>Украина</v>
      </c>
      <c r="H261" s="42">
        <f>_xlfn.MAXIFS(Продажи[дата создания чека],Продажи[id клиента],A261)</f>
        <v>45382</v>
      </c>
      <c r="I261" s="59">
        <f t="shared" si="8"/>
        <v>24.706365503080082</v>
      </c>
      <c r="J261" s="41" t="str">
        <f>IF(LEN(C261) - LEN(SUBSTITUTE(C261," ",""))&lt;3,C261,RIGHT(C261,LEN(C261)-FIND(" ",клиенты!$C261,1)))</f>
        <v>Кузнецов Севастьян Валерьевич</v>
      </c>
      <c r="K261" s="41" t="str">
        <f t="shared" si="9"/>
        <v>Севастьян Валерьевич Кузнецов</v>
      </c>
      <c r="L261" s="41" t="str">
        <f>LEFT(клиенты!$K261,FIND(" ",клиенты!$K261,1)-1)</f>
        <v>Севастьян</v>
      </c>
      <c r="M261" s="41" t="str">
        <f>MID(K261,FIND(" ",клиенты!$K261,1)+1,(FIND(" ",клиенты!$K261,FIND(" ",клиенты!$K261,1)+1)-1)-FIND(" ",клиенты!$K261,1))</f>
        <v>Валерьевич</v>
      </c>
      <c r="N261" s="41" t="str">
        <f>RIGHT(K261,LEN(K261)-FIND(" ",клиенты!$K261,FIND(" ",клиенты!$K261,1)+1))</f>
        <v>Кузнецов</v>
      </c>
    </row>
    <row r="262" spans="1:14" x14ac:dyDescent="0.25">
      <c r="A262" s="43">
        <v>129</v>
      </c>
      <c r="B262" s="44" t="s">
        <v>489</v>
      </c>
      <c r="C262" s="44" t="s">
        <v>488</v>
      </c>
      <c r="D262" s="44" t="s">
        <v>140</v>
      </c>
      <c r="E262" s="45">
        <v>44868</v>
      </c>
      <c r="F262" s="44" t="str">
        <f>LEFT(клиенты!$B262,LEN(клиенты!$B262)-13)</f>
        <v>+375</v>
      </c>
      <c r="G262" s="44" t="str">
        <f>_xlfn.XLOOKUP(клиенты!$F262,'коды стран'!$B$2:$B$7,'коды стран'!$A$2:$A$7,"не найдено",0)</f>
        <v>Беларусь</v>
      </c>
      <c r="H262" s="45">
        <f>_xlfn.MAXIFS(Продажи[дата создания чека],Продажи[id клиента],A262)</f>
        <v>45413</v>
      </c>
      <c r="I262" s="60">
        <f t="shared" si="8"/>
        <v>17.905544147843944</v>
      </c>
      <c r="J262" s="44" t="str">
        <f>IF(LEN(C262) - LEN(SUBSTITUTE(C262," ",""))&lt;3,C262,RIGHT(C262,LEN(C262)-FIND(" ",клиенты!$C262,1)))</f>
        <v>Ираида Егоровна Родионова</v>
      </c>
      <c r="K262" s="44" t="str">
        <f t="shared" si="9"/>
        <v>Ираида Егоровна Родионова</v>
      </c>
      <c r="L262" s="44" t="str">
        <f>LEFT(клиенты!$K262,FIND(" ",клиенты!$K262,1)-1)</f>
        <v>Ираида</v>
      </c>
      <c r="M262" s="44" t="str">
        <f>MID(K262,FIND(" ",клиенты!$K262,1)+1,(FIND(" ",клиенты!$K262,FIND(" ",клиенты!$K262,1)+1)-1)-FIND(" ",клиенты!$K262,1))</f>
        <v>Егоровна</v>
      </c>
      <c r="N262" s="44" t="str">
        <f>RIGHT(K262,LEN(K262)-FIND(" ",клиенты!$K262,FIND(" ",клиенты!$K262,1)+1))</f>
        <v>Родионова</v>
      </c>
    </row>
    <row r="263" spans="1:14" x14ac:dyDescent="0.25">
      <c r="A263" s="40">
        <v>19</v>
      </c>
      <c r="B263" s="41" t="s">
        <v>487</v>
      </c>
      <c r="C263" s="41" t="s">
        <v>486</v>
      </c>
      <c r="D263" s="41" t="s">
        <v>143</v>
      </c>
      <c r="E263" s="42">
        <v>44902</v>
      </c>
      <c r="F263" s="41" t="str">
        <f>LEFT(клиенты!$B263,LEN(клиенты!$B263)-13)</f>
        <v>+7</v>
      </c>
      <c r="G263" s="41" t="str">
        <f>_xlfn.XLOOKUP(клиенты!$F263,'коды стран'!$B$2:$B$7,'коды стран'!$A$2:$A$7,"не найдено",0)</f>
        <v>Россия</v>
      </c>
      <c r="H263" s="42">
        <f>_xlfn.MAXIFS(Продажи[дата создания чека],Продажи[id клиента],A263)</f>
        <v>45277</v>
      </c>
      <c r="I263" s="59">
        <f t="shared" si="8"/>
        <v>12.320328542094456</v>
      </c>
      <c r="J263" s="41" t="str">
        <f>IF(LEN(C263) - LEN(SUBSTITUTE(C263," ",""))&lt;3,C263,RIGHT(C263,LEN(C263)-FIND(" ",клиенты!$C263,1)))</f>
        <v>Шубин Орест Августович</v>
      </c>
      <c r="K263" s="41" t="str">
        <f t="shared" si="9"/>
        <v>Орест Августович Шубин</v>
      </c>
      <c r="L263" s="41" t="str">
        <f>LEFT(клиенты!$K263,FIND(" ",клиенты!$K263,1)-1)</f>
        <v>Орест</v>
      </c>
      <c r="M263" s="41" t="str">
        <f>MID(K263,FIND(" ",клиенты!$K263,1)+1,(FIND(" ",клиенты!$K263,FIND(" ",клиенты!$K263,1)+1)-1)-FIND(" ",клиенты!$K263,1))</f>
        <v>Августович</v>
      </c>
      <c r="N263" s="41" t="str">
        <f>RIGHT(K263,LEN(K263)-FIND(" ",клиенты!$K263,FIND(" ",клиенты!$K263,1)+1))</f>
        <v>Шубин</v>
      </c>
    </row>
    <row r="264" spans="1:14" x14ac:dyDescent="0.25">
      <c r="A264" s="43">
        <v>304</v>
      </c>
      <c r="B264" s="44" t="s">
        <v>485</v>
      </c>
      <c r="C264" s="44" t="s">
        <v>484</v>
      </c>
      <c r="D264" s="44" t="s">
        <v>140</v>
      </c>
      <c r="E264" s="45">
        <v>44886</v>
      </c>
      <c r="F264" s="44" t="str">
        <f>LEFT(клиенты!$B264,LEN(клиенты!$B264)-13)</f>
        <v>+7</v>
      </c>
      <c r="G264" s="44" t="str">
        <f>_xlfn.XLOOKUP(клиенты!$F264,'коды стран'!$B$2:$B$7,'коды стран'!$A$2:$A$7,"не найдено",0)</f>
        <v>Россия</v>
      </c>
      <c r="H264" s="45">
        <f>_xlfn.MAXIFS(Продажи[дата создания чека],Продажи[id клиента],A264)</f>
        <v>45098</v>
      </c>
      <c r="I264" s="60">
        <f t="shared" si="8"/>
        <v>6.9650924024640659</v>
      </c>
      <c r="J264" s="44" t="str">
        <f>IF(LEN(C264) - LEN(SUBSTITUTE(C264," ",""))&lt;3,C264,RIGHT(C264,LEN(C264)-FIND(" ",клиенты!$C264,1)))</f>
        <v>Сорокина Марфа Викторовна</v>
      </c>
      <c r="K264" s="44" t="str">
        <f t="shared" si="9"/>
        <v>Марфа Викторовна Сорокина</v>
      </c>
      <c r="L264" s="44" t="str">
        <f>LEFT(клиенты!$K264,FIND(" ",клиенты!$K264,1)-1)</f>
        <v>Марфа</v>
      </c>
      <c r="M264" s="44" t="str">
        <f>MID(K264,FIND(" ",клиенты!$K264,1)+1,(FIND(" ",клиенты!$K264,FIND(" ",клиенты!$K264,1)+1)-1)-FIND(" ",клиенты!$K264,1))</f>
        <v>Викторовна</v>
      </c>
      <c r="N264" s="44" t="str">
        <f>RIGHT(K264,LEN(K264)-FIND(" ",клиенты!$K264,FIND(" ",клиенты!$K264,1)+1))</f>
        <v>Сорокина</v>
      </c>
    </row>
    <row r="265" spans="1:14" x14ac:dyDescent="0.25">
      <c r="A265" s="40">
        <v>285</v>
      </c>
      <c r="B265" s="41" t="s">
        <v>483</v>
      </c>
      <c r="C265" s="41" t="s">
        <v>482</v>
      </c>
      <c r="D265" s="41" t="s">
        <v>140</v>
      </c>
      <c r="E265" s="42">
        <v>44922</v>
      </c>
      <c r="F265" s="41" t="str">
        <f>LEFT(клиенты!$B265,LEN(клиенты!$B265)-13)</f>
        <v>+992</v>
      </c>
      <c r="G265" s="41" t="str">
        <f>_xlfn.XLOOKUP(клиенты!$F265,'коды стран'!$B$2:$B$7,'коды стран'!$A$2:$A$7,"не найдено",0)</f>
        <v>Таджикистан</v>
      </c>
      <c r="H265" s="42">
        <f>_xlfn.MAXIFS(Продажи[дата создания чека],Продажи[id клиента],A265)</f>
        <v>44993</v>
      </c>
      <c r="I265" s="59">
        <f t="shared" si="8"/>
        <v>2.3326488706365502</v>
      </c>
      <c r="J265" s="41" t="str">
        <f>IF(LEN(C265) - LEN(SUBSTITUTE(C265," ",""))&lt;3,C265,RIGHT(C265,LEN(C265)-FIND(" ",клиенты!$C265,1)))</f>
        <v>Лариса Степановна Гурьева</v>
      </c>
      <c r="K265" s="41" t="str">
        <f t="shared" si="9"/>
        <v>Лариса Степановна Гурьева</v>
      </c>
      <c r="L265" s="41" t="str">
        <f>LEFT(клиенты!$K265,FIND(" ",клиенты!$K265,1)-1)</f>
        <v>Лариса</v>
      </c>
      <c r="M265" s="41" t="str">
        <f>MID(K265,FIND(" ",клиенты!$K265,1)+1,(FIND(" ",клиенты!$K265,FIND(" ",клиенты!$K265,1)+1)-1)-FIND(" ",клиенты!$K265,1))</f>
        <v>Степановна</v>
      </c>
      <c r="N265" s="41" t="str">
        <f>RIGHT(K265,LEN(K265)-FIND(" ",клиенты!$K265,FIND(" ",клиенты!$K265,1)+1))</f>
        <v>Гурьева</v>
      </c>
    </row>
    <row r="266" spans="1:14" x14ac:dyDescent="0.25">
      <c r="A266" s="43">
        <v>461</v>
      </c>
      <c r="B266" s="44" t="s">
        <v>481</v>
      </c>
      <c r="C266" s="44" t="s">
        <v>480</v>
      </c>
      <c r="D266" s="44" t="s">
        <v>143</v>
      </c>
      <c r="E266" s="45">
        <v>44667</v>
      </c>
      <c r="F266" s="44" t="str">
        <f>LEFT(клиенты!$B266,LEN(клиенты!$B266)-13)</f>
        <v>+998</v>
      </c>
      <c r="G266" s="44" t="str">
        <f>_xlfn.XLOOKUP(клиенты!$F266,'коды стран'!$B$2:$B$7,'коды стран'!$A$2:$A$7,"не найдено",0)</f>
        <v>Узбекистан</v>
      </c>
      <c r="H266" s="45">
        <f>_xlfn.MAXIFS(Продажи[дата создания чека],Продажи[id клиента],A266)</f>
        <v>45192</v>
      </c>
      <c r="I266" s="60">
        <f t="shared" si="8"/>
        <v>17.248459958932237</v>
      </c>
      <c r="J266" s="44" t="str">
        <f>IF(LEN(C266) - LEN(SUBSTITUTE(C266," ",""))&lt;3,C266,RIGHT(C266,LEN(C266)-FIND(" ",клиенты!$C266,1)))</f>
        <v>Олимпиада Львовна Михайлова</v>
      </c>
      <c r="K266" s="44" t="str">
        <f t="shared" si="9"/>
        <v>Олимпиада Львовна Михайлова</v>
      </c>
      <c r="L266" s="44" t="str">
        <f>LEFT(клиенты!$K266,FIND(" ",клиенты!$K266,1)-1)</f>
        <v>Олимпиада</v>
      </c>
      <c r="M266" s="44" t="str">
        <f>MID(K266,FIND(" ",клиенты!$K266,1)+1,(FIND(" ",клиенты!$K266,FIND(" ",клиенты!$K266,1)+1)-1)-FIND(" ",клиенты!$K266,1))</f>
        <v>Львовна</v>
      </c>
      <c r="N266" s="44" t="str">
        <f>RIGHT(K266,LEN(K266)-FIND(" ",клиенты!$K266,FIND(" ",клиенты!$K266,1)+1))</f>
        <v>Михайлова</v>
      </c>
    </row>
    <row r="267" spans="1:14" x14ac:dyDescent="0.25">
      <c r="A267" s="40">
        <v>278</v>
      </c>
      <c r="B267" s="41" t="s">
        <v>479</v>
      </c>
      <c r="C267" s="41" t="s">
        <v>478</v>
      </c>
      <c r="D267" s="41" t="s">
        <v>140</v>
      </c>
      <c r="E267" s="42">
        <v>44920</v>
      </c>
      <c r="F267" s="41" t="str">
        <f>LEFT(клиенты!$B267,LEN(клиенты!$B267)-13)</f>
        <v>+998</v>
      </c>
      <c r="G267" s="41" t="str">
        <f>_xlfn.XLOOKUP(клиенты!$F267,'коды стран'!$B$2:$B$7,'коды стран'!$A$2:$A$7,"не найдено",0)</f>
        <v>Узбекистан</v>
      </c>
      <c r="H267" s="42">
        <f>_xlfn.MAXIFS(Продажи[дата создания чека],Продажи[id клиента],A267)</f>
        <v>45011</v>
      </c>
      <c r="I267" s="59">
        <f t="shared" si="8"/>
        <v>2.9897330595482545</v>
      </c>
      <c r="J267" s="41" t="str">
        <f>IF(LEN(C267) - LEN(SUBSTITUTE(C267," ",""))&lt;3,C267,RIGHT(C267,LEN(C267)-FIND(" ",клиенты!$C267,1)))</f>
        <v>Савватий Богданович Фролов</v>
      </c>
      <c r="K267" s="41" t="str">
        <f t="shared" si="9"/>
        <v>Савватий Богданович Фролов</v>
      </c>
      <c r="L267" s="41" t="str">
        <f>LEFT(клиенты!$K267,FIND(" ",клиенты!$K267,1)-1)</f>
        <v>Савватий</v>
      </c>
      <c r="M267" s="41" t="str">
        <f>MID(K267,FIND(" ",клиенты!$K267,1)+1,(FIND(" ",клиенты!$K267,FIND(" ",клиенты!$K267,1)+1)-1)-FIND(" ",клиенты!$K267,1))</f>
        <v>Богданович</v>
      </c>
      <c r="N267" s="41" t="str">
        <f>RIGHT(K267,LEN(K267)-FIND(" ",клиенты!$K267,FIND(" ",клиенты!$K267,1)+1))</f>
        <v>Фролов</v>
      </c>
    </row>
    <row r="268" spans="1:14" x14ac:dyDescent="0.25">
      <c r="A268" s="43">
        <v>246</v>
      </c>
      <c r="B268" s="44" t="s">
        <v>477</v>
      </c>
      <c r="C268" s="44" t="s">
        <v>476</v>
      </c>
      <c r="D268" s="44" t="s">
        <v>140</v>
      </c>
      <c r="E268" s="45">
        <v>44805</v>
      </c>
      <c r="F268" s="44" t="str">
        <f>LEFT(клиенты!$B268,LEN(клиенты!$B268)-13)</f>
        <v>+998</v>
      </c>
      <c r="G268" s="44" t="str">
        <f>_xlfn.XLOOKUP(клиенты!$F268,'коды стран'!$B$2:$B$7,'коды стран'!$A$2:$A$7,"не найдено",0)</f>
        <v>Узбекистан</v>
      </c>
      <c r="H268" s="45">
        <f>_xlfn.MAXIFS(Продажи[дата создания чека],Продажи[id клиента],A268)</f>
        <v>45184</v>
      </c>
      <c r="I268" s="60">
        <f t="shared" si="8"/>
        <v>12.451745379876797</v>
      </c>
      <c r="J268" s="44" t="str">
        <f>IF(LEN(C268) - LEN(SUBSTITUTE(C268," ",""))&lt;3,C268,RIGHT(C268,LEN(C268)-FIND(" ",клиенты!$C268,1)))</f>
        <v>Евфросиния Тимофеевна Миронова</v>
      </c>
      <c r="K268" s="44" t="str">
        <f t="shared" si="9"/>
        <v>Евфросиния Тимофеевна Миронова</v>
      </c>
      <c r="L268" s="44" t="str">
        <f>LEFT(клиенты!$K268,FIND(" ",клиенты!$K268,1)-1)</f>
        <v>Евфросиния</v>
      </c>
      <c r="M268" s="44" t="str">
        <f>MID(K268,FIND(" ",клиенты!$K268,1)+1,(FIND(" ",клиенты!$K268,FIND(" ",клиенты!$K268,1)+1)-1)-FIND(" ",клиенты!$K268,1))</f>
        <v>Тимофеевна</v>
      </c>
      <c r="N268" s="44" t="str">
        <f>RIGHT(K268,LEN(K268)-FIND(" ",клиенты!$K268,FIND(" ",клиенты!$K268,1)+1))</f>
        <v>Миронова</v>
      </c>
    </row>
    <row r="269" spans="1:14" x14ac:dyDescent="0.25">
      <c r="A269" s="40">
        <v>205</v>
      </c>
      <c r="B269" s="41" t="s">
        <v>475</v>
      </c>
      <c r="C269" s="41" t="s">
        <v>474</v>
      </c>
      <c r="D269" s="41" t="s">
        <v>143</v>
      </c>
      <c r="E269" s="42">
        <v>44918</v>
      </c>
      <c r="F269" s="41" t="str">
        <f>LEFT(клиенты!$B269,LEN(клиенты!$B269)-13)</f>
        <v>+7</v>
      </c>
      <c r="G269" s="41" t="str">
        <f>_xlfn.XLOOKUP(клиенты!$F269,'коды стран'!$B$2:$B$7,'коды стран'!$A$2:$A$7,"не найдено",0)</f>
        <v>Россия</v>
      </c>
      <c r="H269" s="42">
        <f>_xlfn.MAXIFS(Продажи[дата создания чека],Продажи[id клиента],A269)</f>
        <v>45254</v>
      </c>
      <c r="I269" s="59">
        <f t="shared" si="8"/>
        <v>11.039014373716633</v>
      </c>
      <c r="J269" s="41" t="str">
        <f>IF(LEN(C269) - LEN(SUBSTITUTE(C269," ",""))&lt;3,C269,RIGHT(C269,LEN(C269)-FIND(" ",клиенты!$C269,1)))</f>
        <v>Назаров Пантелеймон Трофимович</v>
      </c>
      <c r="K269" s="41" t="str">
        <f t="shared" si="9"/>
        <v>Пантелеймон Трофимович Назаров</v>
      </c>
      <c r="L269" s="41" t="str">
        <f>LEFT(клиенты!$K269,FIND(" ",клиенты!$K269,1)-1)</f>
        <v>Пантелеймон</v>
      </c>
      <c r="M269" s="41" t="str">
        <f>MID(K269,FIND(" ",клиенты!$K269,1)+1,(FIND(" ",клиенты!$K269,FIND(" ",клиенты!$K269,1)+1)-1)-FIND(" ",клиенты!$K269,1))</f>
        <v>Трофимович</v>
      </c>
      <c r="N269" s="41" t="str">
        <f>RIGHT(K269,LEN(K269)-FIND(" ",клиенты!$K269,FIND(" ",клиенты!$K269,1)+1))</f>
        <v>Назаров</v>
      </c>
    </row>
    <row r="270" spans="1:14" x14ac:dyDescent="0.25">
      <c r="A270" s="43">
        <v>357</v>
      </c>
      <c r="B270" s="44" t="s">
        <v>473</v>
      </c>
      <c r="C270" s="44" t="s">
        <v>472</v>
      </c>
      <c r="D270" s="44" t="s">
        <v>143</v>
      </c>
      <c r="E270" s="45">
        <v>44913</v>
      </c>
      <c r="F270" s="44" t="str">
        <f>LEFT(клиенты!$B270,LEN(клиенты!$B270)-13)</f>
        <v>+998</v>
      </c>
      <c r="G270" s="44" t="str">
        <f>_xlfn.XLOOKUP(клиенты!$F270,'коды стран'!$B$2:$B$7,'коды стран'!$A$2:$A$7,"не найдено",0)</f>
        <v>Узбекистан</v>
      </c>
      <c r="H270" s="45">
        <f>_xlfn.MAXIFS(Продажи[дата создания чека],Продажи[id клиента],A270)</f>
        <v>45264</v>
      </c>
      <c r="I270" s="60">
        <f t="shared" si="8"/>
        <v>11.53182751540041</v>
      </c>
      <c r="J270" s="44" t="str">
        <f>IF(LEN(C270) - LEN(SUBSTITUTE(C270," ",""))&lt;3,C270,RIGHT(C270,LEN(C270)-FIND(" ",клиенты!$C270,1)))</f>
        <v>Любим Зиновьевич Брагин</v>
      </c>
      <c r="K270" s="44" t="str">
        <f t="shared" si="9"/>
        <v>Любим Зиновьевич Брагин</v>
      </c>
      <c r="L270" s="44" t="str">
        <f>LEFT(клиенты!$K270,FIND(" ",клиенты!$K270,1)-1)</f>
        <v>Любим</v>
      </c>
      <c r="M270" s="44" t="str">
        <f>MID(K270,FIND(" ",клиенты!$K270,1)+1,(FIND(" ",клиенты!$K270,FIND(" ",клиенты!$K270,1)+1)-1)-FIND(" ",клиенты!$K270,1))</f>
        <v>Зиновьевич</v>
      </c>
      <c r="N270" s="44" t="str">
        <f>RIGHT(K270,LEN(K270)-FIND(" ",клиенты!$K270,FIND(" ",клиенты!$K270,1)+1))</f>
        <v>Брагин</v>
      </c>
    </row>
    <row r="271" spans="1:14" x14ac:dyDescent="0.25">
      <c r="A271" s="40">
        <v>152</v>
      </c>
      <c r="B271" s="41" t="s">
        <v>471</v>
      </c>
      <c r="C271" s="41" t="s">
        <v>470</v>
      </c>
      <c r="D271" s="41" t="s">
        <v>140</v>
      </c>
      <c r="E271" s="42">
        <v>44791</v>
      </c>
      <c r="F271" s="41" t="str">
        <f>LEFT(клиенты!$B271,LEN(клиенты!$B271)-13)</f>
        <v>+375</v>
      </c>
      <c r="G271" s="41" t="str">
        <f>_xlfn.XLOOKUP(клиенты!$F271,'коды стран'!$B$2:$B$7,'коды стран'!$A$2:$A$7,"не найдено",0)</f>
        <v>Беларусь</v>
      </c>
      <c r="H271" s="42">
        <f>_xlfn.MAXIFS(Продажи[дата создания чека],Продажи[id клиента],A271)</f>
        <v>45373</v>
      </c>
      <c r="I271" s="59">
        <f t="shared" si="8"/>
        <v>19.121149897330596</v>
      </c>
      <c r="J271" s="41" t="str">
        <f>IF(LEN(C271) - LEN(SUBSTITUTE(C271," ",""))&lt;3,C271,RIGHT(C271,LEN(C271)-FIND(" ",клиенты!$C271,1)))</f>
        <v>Вероника Сергеевна Блинова</v>
      </c>
      <c r="K271" s="41" t="str">
        <f t="shared" si="9"/>
        <v>Вероника Сергеевна Блинова</v>
      </c>
      <c r="L271" s="41" t="str">
        <f>LEFT(клиенты!$K271,FIND(" ",клиенты!$K271,1)-1)</f>
        <v>Вероника</v>
      </c>
      <c r="M271" s="41" t="str">
        <f>MID(K271,FIND(" ",клиенты!$K271,1)+1,(FIND(" ",клиенты!$K271,FIND(" ",клиенты!$K271,1)+1)-1)-FIND(" ",клиенты!$K271,1))</f>
        <v>Сергеевна</v>
      </c>
      <c r="N271" s="41" t="str">
        <f>RIGHT(K271,LEN(K271)-FIND(" ",клиенты!$K271,FIND(" ",клиенты!$K271,1)+1))</f>
        <v>Блинова</v>
      </c>
    </row>
    <row r="272" spans="1:14" x14ac:dyDescent="0.25">
      <c r="A272" s="43">
        <v>323</v>
      </c>
      <c r="B272" s="44" t="s">
        <v>469</v>
      </c>
      <c r="C272" s="44" t="s">
        <v>468</v>
      </c>
      <c r="D272" s="44" t="s">
        <v>143</v>
      </c>
      <c r="E272" s="45">
        <v>44821</v>
      </c>
      <c r="F272" s="44" t="str">
        <f>LEFT(клиенты!$B272,LEN(клиенты!$B272)-13)</f>
        <v>+992</v>
      </c>
      <c r="G272" s="44" t="str">
        <f>_xlfn.XLOOKUP(клиенты!$F272,'коды стран'!$B$2:$B$7,'коды стран'!$A$2:$A$7,"не найдено",0)</f>
        <v>Таджикистан</v>
      </c>
      <c r="H272" s="45">
        <f>_xlfn.MAXIFS(Продажи[дата создания чека],Продажи[id клиента],A272)</f>
        <v>45392</v>
      </c>
      <c r="I272" s="60">
        <f t="shared" si="8"/>
        <v>18.759753593429156</v>
      </c>
      <c r="J272" s="44" t="str">
        <f>IF(LEN(C272) - LEN(SUBSTITUTE(C272," ",""))&lt;3,C272,RIGHT(C272,LEN(C272)-FIND(" ",клиенты!$C272,1)))</f>
        <v>Прасковья Яковлевна Белоусова</v>
      </c>
      <c r="K272" s="44" t="str">
        <f t="shared" si="9"/>
        <v>Прасковья Яковлевна Белоусова</v>
      </c>
      <c r="L272" s="44" t="str">
        <f>LEFT(клиенты!$K272,FIND(" ",клиенты!$K272,1)-1)</f>
        <v>Прасковья</v>
      </c>
      <c r="M272" s="44" t="str">
        <f>MID(K272,FIND(" ",клиенты!$K272,1)+1,(FIND(" ",клиенты!$K272,FIND(" ",клиенты!$K272,1)+1)-1)-FIND(" ",клиенты!$K272,1))</f>
        <v>Яковлевна</v>
      </c>
      <c r="N272" s="44" t="str">
        <f>RIGHT(K272,LEN(K272)-FIND(" ",клиенты!$K272,FIND(" ",клиенты!$K272,1)+1))</f>
        <v>Белоусова</v>
      </c>
    </row>
    <row r="273" spans="1:14" x14ac:dyDescent="0.25">
      <c r="A273" s="40">
        <v>185</v>
      </c>
      <c r="B273" s="41" t="s">
        <v>467</v>
      </c>
      <c r="C273" s="41" t="s">
        <v>466</v>
      </c>
      <c r="D273" s="41" t="s">
        <v>140</v>
      </c>
      <c r="E273" s="42">
        <v>44683</v>
      </c>
      <c r="F273" s="41" t="str">
        <f>LEFT(клиенты!$B273,LEN(клиенты!$B273)-13)</f>
        <v>+998</v>
      </c>
      <c r="G273" s="41" t="str">
        <f>_xlfn.XLOOKUP(клиенты!$F273,'коды стран'!$B$2:$B$7,'коды стран'!$A$2:$A$7,"не найдено",0)</f>
        <v>Узбекистан</v>
      </c>
      <c r="H273" s="42">
        <f>_xlfn.MAXIFS(Продажи[дата создания чека],Продажи[id клиента],A273)</f>
        <v>45332</v>
      </c>
      <c r="I273" s="59">
        <f t="shared" si="8"/>
        <v>21.322381930184804</v>
      </c>
      <c r="J273" s="41" t="str">
        <f>IF(LEN(C273) - LEN(SUBSTITUTE(C273," ",""))&lt;3,C273,RIGHT(C273,LEN(C273)-FIND(" ",клиенты!$C273,1)))</f>
        <v>Родион Яковлевич Коновалов</v>
      </c>
      <c r="K273" s="41" t="str">
        <f t="shared" si="9"/>
        <v>Родион Яковлевич Коновалов</v>
      </c>
      <c r="L273" s="41" t="str">
        <f>LEFT(клиенты!$K273,FIND(" ",клиенты!$K273,1)-1)</f>
        <v>Родион</v>
      </c>
      <c r="M273" s="41" t="str">
        <f>MID(K273,FIND(" ",клиенты!$K273,1)+1,(FIND(" ",клиенты!$K273,FIND(" ",клиенты!$K273,1)+1)-1)-FIND(" ",клиенты!$K273,1))</f>
        <v>Яковлевич</v>
      </c>
      <c r="N273" s="41" t="str">
        <f>RIGHT(K273,LEN(K273)-FIND(" ",клиенты!$K273,FIND(" ",клиенты!$K273,1)+1))</f>
        <v>Коновалов</v>
      </c>
    </row>
    <row r="274" spans="1:14" x14ac:dyDescent="0.25">
      <c r="A274" s="43">
        <v>314</v>
      </c>
      <c r="B274" s="44" t="s">
        <v>465</v>
      </c>
      <c r="C274" s="44" t="s">
        <v>464</v>
      </c>
      <c r="D274" s="44" t="s">
        <v>140</v>
      </c>
      <c r="E274" s="45">
        <v>44899</v>
      </c>
      <c r="F274" s="44" t="str">
        <f>LEFT(клиенты!$B274,LEN(клиенты!$B274)-13)</f>
        <v>+7</v>
      </c>
      <c r="G274" s="44" t="str">
        <f>_xlfn.XLOOKUP(клиенты!$F274,'коды стран'!$B$2:$B$7,'коды стран'!$A$2:$A$7,"не найдено",0)</f>
        <v>Россия</v>
      </c>
      <c r="H274" s="45">
        <f>_xlfn.MAXIFS(Продажи[дата создания чека],Продажи[id клиента],A274)</f>
        <v>45289</v>
      </c>
      <c r="I274" s="60">
        <f t="shared" si="8"/>
        <v>12.813141683778234</v>
      </c>
      <c r="J274" s="44" t="str">
        <f>IF(LEN(C274) - LEN(SUBSTITUTE(C274," ",""))&lt;3,C274,RIGHT(C274,LEN(C274)-FIND(" ",клиенты!$C274,1)))</f>
        <v>Артемьева София Ильинична</v>
      </c>
      <c r="K274" s="44" t="str">
        <f t="shared" si="9"/>
        <v>София Ильинична Артемьева</v>
      </c>
      <c r="L274" s="44" t="str">
        <f>LEFT(клиенты!$K274,FIND(" ",клиенты!$K274,1)-1)</f>
        <v>София</v>
      </c>
      <c r="M274" s="44" t="str">
        <f>MID(K274,FIND(" ",клиенты!$K274,1)+1,(FIND(" ",клиенты!$K274,FIND(" ",клиенты!$K274,1)+1)-1)-FIND(" ",клиенты!$K274,1))</f>
        <v>Ильинична</v>
      </c>
      <c r="N274" s="44" t="str">
        <f>RIGHT(K274,LEN(K274)-FIND(" ",клиенты!$K274,FIND(" ",клиенты!$K274,1)+1))</f>
        <v>Артемьева</v>
      </c>
    </row>
    <row r="275" spans="1:14" x14ac:dyDescent="0.25">
      <c r="A275" s="40">
        <v>476</v>
      </c>
      <c r="B275" s="41" t="s">
        <v>463</v>
      </c>
      <c r="C275" s="41" t="s">
        <v>462</v>
      </c>
      <c r="D275" s="41" t="s">
        <v>143</v>
      </c>
      <c r="E275" s="42">
        <v>44703</v>
      </c>
      <c r="F275" s="41" t="str">
        <f>LEFT(клиенты!$B275,LEN(клиенты!$B275)-13)</f>
        <v>+380</v>
      </c>
      <c r="G275" s="41" t="str">
        <f>_xlfn.XLOOKUP(клиенты!$F275,'коды стран'!$B$2:$B$7,'коды стран'!$A$2:$A$7,"не найдено",0)</f>
        <v>Украина</v>
      </c>
      <c r="H275" s="42">
        <f>_xlfn.MAXIFS(Продажи[дата создания чека],Продажи[id клиента],A275)</f>
        <v>45375</v>
      </c>
      <c r="I275" s="59">
        <f t="shared" si="8"/>
        <v>22.078028747433265</v>
      </c>
      <c r="J275" s="41" t="str">
        <f>IF(LEN(C275) - LEN(SUBSTITUTE(C275," ",""))&lt;3,C275,RIGHT(C275,LEN(C275)-FIND(" ",клиенты!$C275,1)))</f>
        <v>Дьячков Серафим Дорофеевич</v>
      </c>
      <c r="K275" s="41" t="str">
        <f t="shared" si="9"/>
        <v>Серафим Дорофеевич Дьячков</v>
      </c>
      <c r="L275" s="41" t="str">
        <f>LEFT(клиенты!$K275,FIND(" ",клиенты!$K275,1)-1)</f>
        <v>Серафим</v>
      </c>
      <c r="M275" s="41" t="str">
        <f>MID(K275,FIND(" ",клиенты!$K275,1)+1,(FIND(" ",клиенты!$K275,FIND(" ",клиенты!$K275,1)+1)-1)-FIND(" ",клиенты!$K275,1))</f>
        <v>Дорофеевич</v>
      </c>
      <c r="N275" s="41" t="str">
        <f>RIGHT(K275,LEN(K275)-FIND(" ",клиенты!$K275,FIND(" ",клиенты!$K275,1)+1))</f>
        <v>Дьячков</v>
      </c>
    </row>
    <row r="276" spans="1:14" x14ac:dyDescent="0.25">
      <c r="A276" s="43">
        <v>375</v>
      </c>
      <c r="B276" s="44" t="s">
        <v>461</v>
      </c>
      <c r="C276" s="44" t="s">
        <v>460</v>
      </c>
      <c r="D276" s="44" t="s">
        <v>143</v>
      </c>
      <c r="E276" s="45">
        <v>44674</v>
      </c>
      <c r="F276" s="44" t="str">
        <f>LEFT(клиенты!$B276,LEN(клиенты!$B276)-13)</f>
        <v>+7</v>
      </c>
      <c r="G276" s="44" t="str">
        <f>_xlfn.XLOOKUP(клиенты!$F276,'коды стран'!$B$2:$B$7,'коды стран'!$A$2:$A$7,"не найдено",0)</f>
        <v>Россия</v>
      </c>
      <c r="H276" s="45">
        <f>_xlfn.MAXIFS(Продажи[дата создания чека],Продажи[id клиента],A276)</f>
        <v>45111</v>
      </c>
      <c r="I276" s="60">
        <f t="shared" si="8"/>
        <v>14.35728952772074</v>
      </c>
      <c r="J276" s="44" t="str">
        <f>IF(LEN(C276) - LEN(SUBSTITUTE(C276," ",""))&lt;3,C276,RIGHT(C276,LEN(C276)-FIND(" ",клиенты!$C276,1)))</f>
        <v>Боян Дорофеевич Калашников</v>
      </c>
      <c r="K276" s="44" t="str">
        <f t="shared" si="9"/>
        <v>Боян Дорофеевич Калашников</v>
      </c>
      <c r="L276" s="44" t="str">
        <f>LEFT(клиенты!$K276,FIND(" ",клиенты!$K276,1)-1)</f>
        <v>Боян</v>
      </c>
      <c r="M276" s="44" t="str">
        <f>MID(K276,FIND(" ",клиенты!$K276,1)+1,(FIND(" ",клиенты!$K276,FIND(" ",клиенты!$K276,1)+1)-1)-FIND(" ",клиенты!$K276,1))</f>
        <v>Дорофеевич</v>
      </c>
      <c r="N276" s="44" t="str">
        <f>RIGHT(K276,LEN(K276)-FIND(" ",клиенты!$K276,FIND(" ",клиенты!$K276,1)+1))</f>
        <v>Калашников</v>
      </c>
    </row>
    <row r="277" spans="1:14" x14ac:dyDescent="0.25">
      <c r="A277" s="40">
        <v>233</v>
      </c>
      <c r="B277" s="41" t="s">
        <v>459</v>
      </c>
      <c r="C277" s="41" t="s">
        <v>458</v>
      </c>
      <c r="D277" s="41" t="s">
        <v>143</v>
      </c>
      <c r="E277" s="42">
        <v>44616</v>
      </c>
      <c r="F277" s="41" t="str">
        <f>LEFT(клиенты!$B277,LEN(клиенты!$B277)-13)</f>
        <v>+992</v>
      </c>
      <c r="G277" s="41" t="str">
        <f>_xlfn.XLOOKUP(клиенты!$F277,'коды стран'!$B$2:$B$7,'коды стран'!$A$2:$A$7,"не найдено",0)</f>
        <v>Таджикистан</v>
      </c>
      <c r="H277" s="42">
        <f>_xlfn.MAXIFS(Продажи[дата создания чека],Продажи[id клиента],A277)</f>
        <v>45368</v>
      </c>
      <c r="I277" s="59">
        <f t="shared" si="8"/>
        <v>24.706365503080082</v>
      </c>
      <c r="J277" s="41" t="str">
        <f>IF(LEN(C277) - LEN(SUBSTITUTE(C277," ",""))&lt;3,C277,RIGHT(C277,LEN(C277)-FIND(" ",клиенты!$C277,1)))</f>
        <v>Синклитикия Никифоровна Овчинникова</v>
      </c>
      <c r="K277" s="41" t="str">
        <f t="shared" si="9"/>
        <v>Синклитикия Никифоровна Овчинникова</v>
      </c>
      <c r="L277" s="41" t="str">
        <f>LEFT(клиенты!$K277,FIND(" ",клиенты!$K277,1)-1)</f>
        <v>Синклитикия</v>
      </c>
      <c r="M277" s="41" t="str">
        <f>MID(K277,FIND(" ",клиенты!$K277,1)+1,(FIND(" ",клиенты!$K277,FIND(" ",клиенты!$K277,1)+1)-1)-FIND(" ",клиенты!$K277,1))</f>
        <v>Никифоровна</v>
      </c>
      <c r="N277" s="41" t="str">
        <f>RIGHT(K277,LEN(K277)-FIND(" ",клиенты!$K277,FIND(" ",клиенты!$K277,1)+1))</f>
        <v>Овчинникова</v>
      </c>
    </row>
    <row r="278" spans="1:14" x14ac:dyDescent="0.25">
      <c r="A278" s="43">
        <v>69</v>
      </c>
      <c r="B278" s="44" t="s">
        <v>457</v>
      </c>
      <c r="C278" s="44" t="s">
        <v>456</v>
      </c>
      <c r="D278" s="44" t="s">
        <v>140</v>
      </c>
      <c r="E278" s="45">
        <v>44587</v>
      </c>
      <c r="F278" s="44" t="str">
        <f>LEFT(клиенты!$B278,LEN(клиенты!$B278)-13)</f>
        <v>+992</v>
      </c>
      <c r="G278" s="44" t="str">
        <f>_xlfn.XLOOKUP(клиенты!$F278,'коды стран'!$B$2:$B$7,'коды стран'!$A$2:$A$7,"не найдено",0)</f>
        <v>Таджикистан</v>
      </c>
      <c r="H278" s="45">
        <f>_xlfn.MAXIFS(Продажи[дата создания чека],Продажи[id клиента],A278)</f>
        <v>45256</v>
      </c>
      <c r="I278" s="60">
        <f t="shared" si="8"/>
        <v>21.979466119096511</v>
      </c>
      <c r="J278" s="44" t="str">
        <f>IF(LEN(C278) - LEN(SUBSTITUTE(C278," ",""))&lt;3,C278,RIGHT(C278,LEN(C278)-FIND(" ",клиенты!$C278,1)))</f>
        <v>Елизар Архипович Щербаков</v>
      </c>
      <c r="K278" s="44" t="str">
        <f t="shared" si="9"/>
        <v>Елизар Архипович Щербаков</v>
      </c>
      <c r="L278" s="44" t="str">
        <f>LEFT(клиенты!$K278,FIND(" ",клиенты!$K278,1)-1)</f>
        <v>Елизар</v>
      </c>
      <c r="M278" s="44" t="str">
        <f>MID(K278,FIND(" ",клиенты!$K278,1)+1,(FIND(" ",клиенты!$K278,FIND(" ",клиенты!$K278,1)+1)-1)-FIND(" ",клиенты!$K278,1))</f>
        <v>Архипович</v>
      </c>
      <c r="N278" s="44" t="str">
        <f>RIGHT(K278,LEN(K278)-FIND(" ",клиенты!$K278,FIND(" ",клиенты!$K278,1)+1))</f>
        <v>Щербаков</v>
      </c>
    </row>
    <row r="279" spans="1:14" x14ac:dyDescent="0.25">
      <c r="A279" s="40">
        <v>254</v>
      </c>
      <c r="B279" s="41" t="s">
        <v>455</v>
      </c>
      <c r="C279" s="41" t="s">
        <v>454</v>
      </c>
      <c r="D279" s="41" t="s">
        <v>143</v>
      </c>
      <c r="E279" s="42">
        <v>44862</v>
      </c>
      <c r="F279" s="41" t="str">
        <f>LEFT(клиенты!$B279,LEN(клиенты!$B279)-13)</f>
        <v>+375</v>
      </c>
      <c r="G279" s="41" t="str">
        <f>_xlfn.XLOOKUP(клиенты!$F279,'коды стран'!$B$2:$B$7,'коды стран'!$A$2:$A$7,"не найдено",0)</f>
        <v>Беларусь</v>
      </c>
      <c r="H279" s="42">
        <f>_xlfn.MAXIFS(Продажи[дата создания чека],Продажи[id клиента],A279)</f>
        <v>45196</v>
      </c>
      <c r="I279" s="59">
        <f t="shared" si="8"/>
        <v>10.973305954825461</v>
      </c>
      <c r="J279" s="41" t="str">
        <f>IF(LEN(C279) - LEN(SUBSTITUTE(C279," ",""))&lt;3,C279,RIGHT(C279,LEN(C279)-FIND(" ",клиенты!$C279,1)))</f>
        <v>Любовь Павловна Капустина</v>
      </c>
      <c r="K279" s="41" t="str">
        <f t="shared" si="9"/>
        <v>Любовь Павловна Капустина</v>
      </c>
      <c r="L279" s="41" t="str">
        <f>LEFT(клиенты!$K279,FIND(" ",клиенты!$K279,1)-1)</f>
        <v>Любовь</v>
      </c>
      <c r="M279" s="41" t="str">
        <f>MID(K279,FIND(" ",клиенты!$K279,1)+1,(FIND(" ",клиенты!$K279,FIND(" ",клиенты!$K279,1)+1)-1)-FIND(" ",клиенты!$K279,1))</f>
        <v>Павловна</v>
      </c>
      <c r="N279" s="41" t="str">
        <f>RIGHT(K279,LEN(K279)-FIND(" ",клиенты!$K279,FIND(" ",клиенты!$K279,1)+1))</f>
        <v>Капустина</v>
      </c>
    </row>
    <row r="280" spans="1:14" x14ac:dyDescent="0.25">
      <c r="A280" s="43">
        <v>219</v>
      </c>
      <c r="B280" s="44" t="s">
        <v>453</v>
      </c>
      <c r="C280" s="44" t="s">
        <v>452</v>
      </c>
      <c r="D280" s="44" t="s">
        <v>143</v>
      </c>
      <c r="E280" s="45">
        <v>44585</v>
      </c>
      <c r="F280" s="44" t="str">
        <f>LEFT(клиенты!$B280,LEN(клиенты!$B280)-13)</f>
        <v>+992</v>
      </c>
      <c r="G280" s="44" t="str">
        <f>_xlfn.XLOOKUP(клиенты!$F280,'коды стран'!$B$2:$B$7,'коды стран'!$A$2:$A$7,"не найдено",0)</f>
        <v>Таджикистан</v>
      </c>
      <c r="H280" s="45">
        <f>_xlfn.MAXIFS(Продажи[дата создания чека],Продажи[id клиента],A280)</f>
        <v>45332</v>
      </c>
      <c r="I280" s="60">
        <f t="shared" si="8"/>
        <v>24.542094455852155</v>
      </c>
      <c r="J280" s="44" t="str">
        <f>IF(LEN(C280) - LEN(SUBSTITUTE(C280," ",""))&lt;3,C280,RIGHT(C280,LEN(C280)-FIND(" ",клиенты!$C280,1)))</f>
        <v>Арсений Ермолаевич Емельянов</v>
      </c>
      <c r="K280" s="44" t="str">
        <f t="shared" si="9"/>
        <v>Арсений Ермолаевич Емельянов</v>
      </c>
      <c r="L280" s="44" t="str">
        <f>LEFT(клиенты!$K280,FIND(" ",клиенты!$K280,1)-1)</f>
        <v>Арсений</v>
      </c>
      <c r="M280" s="44" t="str">
        <f>MID(K280,FIND(" ",клиенты!$K280,1)+1,(FIND(" ",клиенты!$K280,FIND(" ",клиенты!$K280,1)+1)-1)-FIND(" ",клиенты!$K280,1))</f>
        <v>Ермолаевич</v>
      </c>
      <c r="N280" s="44" t="str">
        <f>RIGHT(K280,LEN(K280)-FIND(" ",клиенты!$K280,FIND(" ",клиенты!$K280,1)+1))</f>
        <v>Емельянов</v>
      </c>
    </row>
    <row r="281" spans="1:14" x14ac:dyDescent="0.25">
      <c r="A281" s="40">
        <v>232</v>
      </c>
      <c r="B281" s="41" t="s">
        <v>451</v>
      </c>
      <c r="C281" s="41" t="s">
        <v>450</v>
      </c>
      <c r="D281" s="41" t="s">
        <v>143</v>
      </c>
      <c r="E281" s="42">
        <v>44923</v>
      </c>
      <c r="F281" s="41" t="str">
        <f>LEFT(клиенты!$B281,LEN(клиенты!$B281)-13)</f>
        <v>+992</v>
      </c>
      <c r="G281" s="41" t="str">
        <f>_xlfn.XLOOKUP(клиенты!$F281,'коды стран'!$B$2:$B$7,'коды стран'!$A$2:$A$7,"не найдено",0)</f>
        <v>Таджикистан</v>
      </c>
      <c r="H281" s="42">
        <f>_xlfn.MAXIFS(Продажи[дата создания чека],Продажи[id клиента],A281)</f>
        <v>45258</v>
      </c>
      <c r="I281" s="59">
        <f t="shared" si="8"/>
        <v>11.006160164271048</v>
      </c>
      <c r="J281" s="41" t="str">
        <f>IF(LEN(C281) - LEN(SUBSTITUTE(C281," ",""))&lt;3,C281,RIGHT(C281,LEN(C281)-FIND(" ",клиенты!$C281,1)))</f>
        <v>Мария Анатольевна Смирнова</v>
      </c>
      <c r="K281" s="41" t="str">
        <f t="shared" si="9"/>
        <v>Мария Анатольевна Смирнова</v>
      </c>
      <c r="L281" s="41" t="str">
        <f>LEFT(клиенты!$K281,FIND(" ",клиенты!$K281,1)-1)</f>
        <v>Мария</v>
      </c>
      <c r="M281" s="41" t="str">
        <f>MID(K281,FIND(" ",клиенты!$K281,1)+1,(FIND(" ",клиенты!$K281,FIND(" ",клиенты!$K281,1)+1)-1)-FIND(" ",клиенты!$K281,1))</f>
        <v>Анатольевна</v>
      </c>
      <c r="N281" s="41" t="str">
        <f>RIGHT(K281,LEN(K281)-FIND(" ",клиенты!$K281,FIND(" ",клиенты!$K281,1)+1))</f>
        <v>Смирнова</v>
      </c>
    </row>
    <row r="282" spans="1:14" x14ac:dyDescent="0.25">
      <c r="A282" s="43">
        <v>372</v>
      </c>
      <c r="B282" s="44" t="s">
        <v>449</v>
      </c>
      <c r="C282" s="44" t="s">
        <v>448</v>
      </c>
      <c r="D282" s="44" t="s">
        <v>140</v>
      </c>
      <c r="E282" s="45">
        <v>44772</v>
      </c>
      <c r="F282" s="44" t="str">
        <f>LEFT(клиенты!$B282,LEN(клиенты!$B282)-13)</f>
        <v>+992</v>
      </c>
      <c r="G282" s="44" t="str">
        <f>_xlfn.XLOOKUP(клиенты!$F282,'коды стран'!$B$2:$B$7,'коды стран'!$A$2:$A$7,"не найдено",0)</f>
        <v>Таджикистан</v>
      </c>
      <c r="H282" s="45">
        <f>_xlfn.MAXIFS(Продажи[дата создания чека],Продажи[id клиента],A282)</f>
        <v>45348</v>
      </c>
      <c r="I282" s="60">
        <f t="shared" si="8"/>
        <v>18.924024640657084</v>
      </c>
      <c r="J282" s="44" t="str">
        <f>IF(LEN(C282) - LEN(SUBSTITUTE(C282," ",""))&lt;3,C282,RIGHT(C282,LEN(C282)-FIND(" ",клиенты!$C282,1)))</f>
        <v>Эдуард Фадеевич Сергеев</v>
      </c>
      <c r="K282" s="44" t="str">
        <f t="shared" si="9"/>
        <v>Эдуард Фадеевич Сергеев</v>
      </c>
      <c r="L282" s="44" t="str">
        <f>LEFT(клиенты!$K282,FIND(" ",клиенты!$K282,1)-1)</f>
        <v>Эдуард</v>
      </c>
      <c r="M282" s="44" t="str">
        <f>MID(K282,FIND(" ",клиенты!$K282,1)+1,(FIND(" ",клиенты!$K282,FIND(" ",клиенты!$K282,1)+1)-1)-FIND(" ",клиенты!$K282,1))</f>
        <v>Фадеевич</v>
      </c>
      <c r="N282" s="44" t="str">
        <f>RIGHT(K282,LEN(K282)-FIND(" ",клиенты!$K282,FIND(" ",клиенты!$K282,1)+1))</f>
        <v>Сергеев</v>
      </c>
    </row>
    <row r="283" spans="1:14" x14ac:dyDescent="0.25">
      <c r="A283" s="40">
        <v>432</v>
      </c>
      <c r="B283" s="41" t="s">
        <v>447</v>
      </c>
      <c r="C283" s="41" t="s">
        <v>446</v>
      </c>
      <c r="D283" s="41" t="s">
        <v>140</v>
      </c>
      <c r="E283" s="42">
        <v>44718</v>
      </c>
      <c r="F283" s="41" t="str">
        <f>LEFT(клиенты!$B283,LEN(клиенты!$B283)-13)</f>
        <v>+992</v>
      </c>
      <c r="G283" s="41" t="str">
        <f>_xlfn.XLOOKUP(клиенты!$F283,'коды стран'!$B$2:$B$7,'коды стран'!$A$2:$A$7,"не найдено",0)</f>
        <v>Таджикистан</v>
      </c>
      <c r="H283" s="42">
        <f>_xlfn.MAXIFS(Продажи[дата создания чека],Продажи[id клиента],A283)</f>
        <v>45233</v>
      </c>
      <c r="I283" s="59">
        <f t="shared" si="8"/>
        <v>16.919917864476385</v>
      </c>
      <c r="J283" s="41" t="str">
        <f>IF(LEN(C283) - LEN(SUBSTITUTE(C283," ",""))&lt;3,C283,RIGHT(C283,LEN(C283)-FIND(" ",клиенты!$C283,1)))</f>
        <v>Анастасия Игоревна Белова</v>
      </c>
      <c r="K283" s="41" t="str">
        <f t="shared" si="9"/>
        <v>Анастасия Игоревна Белова</v>
      </c>
      <c r="L283" s="41" t="str">
        <f>LEFT(клиенты!$K283,FIND(" ",клиенты!$K283,1)-1)</f>
        <v>Анастасия</v>
      </c>
      <c r="M283" s="41" t="str">
        <f>MID(K283,FIND(" ",клиенты!$K283,1)+1,(FIND(" ",клиенты!$K283,FIND(" ",клиенты!$K283,1)+1)-1)-FIND(" ",клиенты!$K283,1))</f>
        <v>Игоревна</v>
      </c>
      <c r="N283" s="41" t="str">
        <f>RIGHT(K283,LEN(K283)-FIND(" ",клиенты!$K283,FIND(" ",клиенты!$K283,1)+1))</f>
        <v>Белова</v>
      </c>
    </row>
    <row r="284" spans="1:14" x14ac:dyDescent="0.25">
      <c r="A284" s="43">
        <v>221</v>
      </c>
      <c r="B284" s="44" t="s">
        <v>445</v>
      </c>
      <c r="C284" s="44" t="s">
        <v>444</v>
      </c>
      <c r="D284" s="44" t="s">
        <v>143</v>
      </c>
      <c r="E284" s="45">
        <v>44820</v>
      </c>
      <c r="F284" s="44" t="str">
        <f>LEFT(клиенты!$B284,LEN(клиенты!$B284)-13)</f>
        <v>+992</v>
      </c>
      <c r="G284" s="44" t="str">
        <f>_xlfn.XLOOKUP(клиенты!$F284,'коды стран'!$B$2:$B$7,'коды стран'!$A$2:$A$7,"не найдено",0)</f>
        <v>Таджикистан</v>
      </c>
      <c r="H284" s="45">
        <f>_xlfn.MAXIFS(Продажи[дата создания чека],Продажи[id клиента],A284)</f>
        <v>45369</v>
      </c>
      <c r="I284" s="60">
        <f t="shared" si="8"/>
        <v>18.036960985626283</v>
      </c>
      <c r="J284" s="44" t="str">
        <f>IF(LEN(C284) - LEN(SUBSTITUTE(C284," ",""))&lt;3,C284,RIGHT(C284,LEN(C284)-FIND(" ",клиенты!$C284,1)))</f>
        <v>Демид Антонович Мясников</v>
      </c>
      <c r="K284" s="44" t="str">
        <f t="shared" si="9"/>
        <v>Демид Антонович Мясников</v>
      </c>
      <c r="L284" s="44" t="str">
        <f>LEFT(клиенты!$K284,FIND(" ",клиенты!$K284,1)-1)</f>
        <v>Демид</v>
      </c>
      <c r="M284" s="44" t="str">
        <f>MID(K284,FIND(" ",клиенты!$K284,1)+1,(FIND(" ",клиенты!$K284,FIND(" ",клиенты!$K284,1)+1)-1)-FIND(" ",клиенты!$K284,1))</f>
        <v>Антонович</v>
      </c>
      <c r="N284" s="44" t="str">
        <f>RIGHT(K284,LEN(K284)-FIND(" ",клиенты!$K284,FIND(" ",клиенты!$K284,1)+1))</f>
        <v>Мясников</v>
      </c>
    </row>
    <row r="285" spans="1:14" x14ac:dyDescent="0.25">
      <c r="A285" s="40">
        <v>148</v>
      </c>
      <c r="B285" s="41" t="s">
        <v>443</v>
      </c>
      <c r="C285" s="41" t="s">
        <v>442</v>
      </c>
      <c r="D285" s="41" t="s">
        <v>143</v>
      </c>
      <c r="E285" s="42">
        <v>44700</v>
      </c>
      <c r="F285" s="41" t="str">
        <f>LEFT(клиенты!$B285,LEN(клиенты!$B285)-13)</f>
        <v>+7</v>
      </c>
      <c r="G285" s="41" t="str">
        <f>_xlfn.XLOOKUP(клиенты!$F285,'коды стран'!$B$2:$B$7,'коды стран'!$A$2:$A$7,"не найдено",0)</f>
        <v>Россия</v>
      </c>
      <c r="H285" s="42">
        <f>_xlfn.MAXIFS(Продажи[дата создания чека],Продажи[id клиента],A285)</f>
        <v>45381</v>
      </c>
      <c r="I285" s="59">
        <f t="shared" si="8"/>
        <v>22.373716632443532</v>
      </c>
      <c r="J285" s="41" t="str">
        <f>IF(LEN(C285) - LEN(SUBSTITUTE(C285," ",""))&lt;3,C285,RIGHT(C285,LEN(C285)-FIND(" ",клиенты!$C285,1)))</f>
        <v>Феврония Антоновна Кулагина</v>
      </c>
      <c r="K285" s="41" t="str">
        <f t="shared" si="9"/>
        <v>Феврония Антоновна Кулагина</v>
      </c>
      <c r="L285" s="41" t="str">
        <f>LEFT(клиенты!$K285,FIND(" ",клиенты!$K285,1)-1)</f>
        <v>Феврония</v>
      </c>
      <c r="M285" s="41" t="str">
        <f>MID(K285,FIND(" ",клиенты!$K285,1)+1,(FIND(" ",клиенты!$K285,FIND(" ",клиенты!$K285,1)+1)-1)-FIND(" ",клиенты!$K285,1))</f>
        <v>Антоновна</v>
      </c>
      <c r="N285" s="41" t="str">
        <f>RIGHT(K285,LEN(K285)-FIND(" ",клиенты!$K285,FIND(" ",клиенты!$K285,1)+1))</f>
        <v>Кулагина</v>
      </c>
    </row>
    <row r="286" spans="1:14" x14ac:dyDescent="0.25">
      <c r="A286" s="43">
        <v>209</v>
      </c>
      <c r="B286" s="44" t="s">
        <v>441</v>
      </c>
      <c r="C286" s="44" t="s">
        <v>440</v>
      </c>
      <c r="D286" s="44" t="s">
        <v>140</v>
      </c>
      <c r="E286" s="45">
        <v>44628</v>
      </c>
      <c r="F286" s="44" t="str">
        <f>LEFT(клиенты!$B286,LEN(клиенты!$B286)-13)</f>
        <v>+7</v>
      </c>
      <c r="G286" s="44" t="str">
        <f>_xlfn.XLOOKUP(клиенты!$F286,'коды стран'!$B$2:$B$7,'коды стран'!$A$2:$A$7,"не найдено",0)</f>
        <v>Россия</v>
      </c>
      <c r="H286" s="45">
        <f>_xlfn.MAXIFS(Продажи[дата создания чека],Продажи[id клиента],A286)</f>
        <v>45052</v>
      </c>
      <c r="I286" s="60">
        <f t="shared" si="8"/>
        <v>13.930184804928132</v>
      </c>
      <c r="J286" s="44" t="str">
        <f>IF(LEN(C286) - LEN(SUBSTITUTE(C286," ",""))&lt;3,C286,RIGHT(C286,LEN(C286)-FIND(" ",клиенты!$C286,1)))</f>
        <v>Ермакова Дарья Алексеевна</v>
      </c>
      <c r="K286" s="44" t="str">
        <f t="shared" si="9"/>
        <v>Дарья Алексеевна Ермакова</v>
      </c>
      <c r="L286" s="44" t="str">
        <f>LEFT(клиенты!$K286,FIND(" ",клиенты!$K286,1)-1)</f>
        <v>Дарья</v>
      </c>
      <c r="M286" s="44" t="str">
        <f>MID(K286,FIND(" ",клиенты!$K286,1)+1,(FIND(" ",клиенты!$K286,FIND(" ",клиенты!$K286,1)+1)-1)-FIND(" ",клиенты!$K286,1))</f>
        <v>Алексеевна</v>
      </c>
      <c r="N286" s="44" t="str">
        <f>RIGHT(K286,LEN(K286)-FIND(" ",клиенты!$K286,FIND(" ",клиенты!$K286,1)+1))</f>
        <v>Ермакова</v>
      </c>
    </row>
    <row r="287" spans="1:14" x14ac:dyDescent="0.25">
      <c r="A287" s="40">
        <v>263</v>
      </c>
      <c r="B287" s="41" t="s">
        <v>439</v>
      </c>
      <c r="C287" s="41" t="s">
        <v>438</v>
      </c>
      <c r="D287" s="41" t="s">
        <v>143</v>
      </c>
      <c r="E287" s="42">
        <v>44612</v>
      </c>
      <c r="F287" s="41" t="str">
        <f>LEFT(клиенты!$B287,LEN(клиенты!$B287)-13)</f>
        <v>+992</v>
      </c>
      <c r="G287" s="41" t="str">
        <f>_xlfn.XLOOKUP(клиенты!$F287,'коды стран'!$B$2:$B$7,'коды стран'!$A$2:$A$7,"не найдено",0)</f>
        <v>Таджикистан</v>
      </c>
      <c r="H287" s="42">
        <f>_xlfn.MAXIFS(Продажи[дата создания чека],Продажи[id клиента],A287)</f>
        <v>45357</v>
      </c>
      <c r="I287" s="59">
        <f t="shared" si="8"/>
        <v>24.476386036960985</v>
      </c>
      <c r="J287" s="41" t="str">
        <f>IF(LEN(C287) - LEN(SUBSTITUTE(C287," ",""))&lt;3,C287,RIGHT(C287,LEN(C287)-FIND(" ",клиенты!$C287,1)))</f>
        <v>Шестакова Элеонора Дмитриевна</v>
      </c>
      <c r="K287" s="41" t="str">
        <f t="shared" si="9"/>
        <v>Элеонора Дмитриевна Шестакова</v>
      </c>
      <c r="L287" s="41" t="str">
        <f>LEFT(клиенты!$K287,FIND(" ",клиенты!$K287,1)-1)</f>
        <v>Элеонора</v>
      </c>
      <c r="M287" s="41" t="str">
        <f>MID(K287,FIND(" ",клиенты!$K287,1)+1,(FIND(" ",клиенты!$K287,FIND(" ",клиенты!$K287,1)+1)-1)-FIND(" ",клиенты!$K287,1))</f>
        <v>Дмитриевна</v>
      </c>
      <c r="N287" s="41" t="str">
        <f>RIGHT(K287,LEN(K287)-FIND(" ",клиенты!$K287,FIND(" ",клиенты!$K287,1)+1))</f>
        <v>Шестакова</v>
      </c>
    </row>
    <row r="288" spans="1:14" x14ac:dyDescent="0.25">
      <c r="A288" s="43">
        <v>101</v>
      </c>
      <c r="B288" s="44" t="s">
        <v>437</v>
      </c>
      <c r="C288" s="44" t="s">
        <v>436</v>
      </c>
      <c r="D288" s="44" t="s">
        <v>140</v>
      </c>
      <c r="E288" s="45">
        <v>44727</v>
      </c>
      <c r="F288" s="44" t="str">
        <f>LEFT(клиенты!$B288,LEN(клиенты!$B288)-13)</f>
        <v>+7</v>
      </c>
      <c r="G288" s="44" t="str">
        <f>_xlfn.XLOOKUP(клиенты!$F288,'коды стран'!$B$2:$B$7,'коды стран'!$A$2:$A$7,"не найдено",0)</f>
        <v>Россия</v>
      </c>
      <c r="H288" s="45">
        <f>_xlfn.MAXIFS(Продажи[дата создания чека],Продажи[id клиента],A288)</f>
        <v>45210</v>
      </c>
      <c r="I288" s="60">
        <f t="shared" si="8"/>
        <v>15.868583162217659</v>
      </c>
      <c r="J288" s="44" t="str">
        <f>IF(LEN(C288) - LEN(SUBSTITUTE(C288," ",""))&lt;3,C288,RIGHT(C288,LEN(C288)-FIND(" ",клиенты!$C288,1)))</f>
        <v>Михей Феликсович Лихачев</v>
      </c>
      <c r="K288" s="44" t="str">
        <f t="shared" si="9"/>
        <v>Михей Феликсович Лихачев</v>
      </c>
      <c r="L288" s="44" t="str">
        <f>LEFT(клиенты!$K288,FIND(" ",клиенты!$K288,1)-1)</f>
        <v>Михей</v>
      </c>
      <c r="M288" s="44" t="str">
        <f>MID(K288,FIND(" ",клиенты!$K288,1)+1,(FIND(" ",клиенты!$K288,FIND(" ",клиенты!$K288,1)+1)-1)-FIND(" ",клиенты!$K288,1))</f>
        <v>Феликсович</v>
      </c>
      <c r="N288" s="44" t="str">
        <f>RIGHT(K288,LEN(K288)-FIND(" ",клиенты!$K288,FIND(" ",клиенты!$K288,1)+1))</f>
        <v>Лихачев</v>
      </c>
    </row>
    <row r="289" spans="1:14" x14ac:dyDescent="0.25">
      <c r="A289" s="40">
        <v>124</v>
      </c>
      <c r="B289" s="41" t="s">
        <v>435</v>
      </c>
      <c r="C289" s="41" t="s">
        <v>434</v>
      </c>
      <c r="D289" s="41" t="s">
        <v>143</v>
      </c>
      <c r="E289" s="42">
        <v>44795</v>
      </c>
      <c r="F289" s="41" t="str">
        <f>LEFT(клиенты!$B289,LEN(клиенты!$B289)-13)</f>
        <v>+7</v>
      </c>
      <c r="G289" s="41" t="str">
        <f>_xlfn.XLOOKUP(клиенты!$F289,'коды стран'!$B$2:$B$7,'коды стран'!$A$2:$A$7,"не найдено",0)</f>
        <v>Россия</v>
      </c>
      <c r="H289" s="42">
        <f>_xlfn.MAXIFS(Продажи[дата создания чека],Продажи[id клиента],A289)</f>
        <v>45411</v>
      </c>
      <c r="I289" s="59">
        <f t="shared" si="8"/>
        <v>20.238193018480494</v>
      </c>
      <c r="J289" s="41" t="str">
        <f>IF(LEN(C289) - LEN(SUBSTITUTE(C289," ",""))&lt;3,C289,RIGHT(C289,LEN(C289)-FIND(" ",клиенты!$C289,1)))</f>
        <v>Ираклий Изотович Авдеев</v>
      </c>
      <c r="K289" s="41" t="str">
        <f t="shared" si="9"/>
        <v>Ираклий Изотович Авдеев</v>
      </c>
      <c r="L289" s="41" t="str">
        <f>LEFT(клиенты!$K289,FIND(" ",клиенты!$K289,1)-1)</f>
        <v>Ираклий</v>
      </c>
      <c r="M289" s="41" t="str">
        <f>MID(K289,FIND(" ",клиенты!$K289,1)+1,(FIND(" ",клиенты!$K289,FIND(" ",клиенты!$K289,1)+1)-1)-FIND(" ",клиенты!$K289,1))</f>
        <v>Изотович</v>
      </c>
      <c r="N289" s="41" t="str">
        <f>RIGHT(K289,LEN(K289)-FIND(" ",клиенты!$K289,FIND(" ",клиенты!$K289,1)+1))</f>
        <v>Авдеев</v>
      </c>
    </row>
    <row r="290" spans="1:14" x14ac:dyDescent="0.25">
      <c r="A290" s="43">
        <v>257</v>
      </c>
      <c r="B290" s="44" t="s">
        <v>433</v>
      </c>
      <c r="C290" s="44" t="s">
        <v>432</v>
      </c>
      <c r="D290" s="44" t="s">
        <v>140</v>
      </c>
      <c r="E290" s="45">
        <v>44701</v>
      </c>
      <c r="F290" s="44" t="str">
        <f>LEFT(клиенты!$B290,LEN(клиенты!$B290)-13)</f>
        <v>+7</v>
      </c>
      <c r="G290" s="44" t="str">
        <f>_xlfn.XLOOKUP(клиенты!$F290,'коды стран'!$B$2:$B$7,'коды стран'!$A$2:$A$7,"не найдено",0)</f>
        <v>Россия</v>
      </c>
      <c r="H290" s="45">
        <f>_xlfn.MAXIFS(Продажи[дата создания чека],Продажи[id клиента],A290)</f>
        <v>45018</v>
      </c>
      <c r="I290" s="60">
        <f t="shared" si="8"/>
        <v>10.414784394250514</v>
      </c>
      <c r="J290" s="44" t="str">
        <f>IF(LEN(C290) - LEN(SUBSTITUTE(C290," ",""))&lt;3,C290,RIGHT(C290,LEN(C290)-FIND(" ",клиенты!$C290,1)))</f>
        <v>Кононова Прасковья Павловна</v>
      </c>
      <c r="K290" s="44" t="str">
        <f t="shared" si="9"/>
        <v>Прасковья Павловна Кононова</v>
      </c>
      <c r="L290" s="44" t="str">
        <f>LEFT(клиенты!$K290,FIND(" ",клиенты!$K290,1)-1)</f>
        <v>Прасковья</v>
      </c>
      <c r="M290" s="44" t="str">
        <f>MID(K290,FIND(" ",клиенты!$K290,1)+1,(FIND(" ",клиенты!$K290,FIND(" ",клиенты!$K290,1)+1)-1)-FIND(" ",клиенты!$K290,1))</f>
        <v>Павловна</v>
      </c>
      <c r="N290" s="44" t="str">
        <f>RIGHT(K290,LEN(K290)-FIND(" ",клиенты!$K290,FIND(" ",клиенты!$K290,1)+1))</f>
        <v>Кононова</v>
      </c>
    </row>
    <row r="291" spans="1:14" x14ac:dyDescent="0.25">
      <c r="A291" s="40">
        <v>309</v>
      </c>
      <c r="B291" s="41" t="s">
        <v>431</v>
      </c>
      <c r="C291" s="41" t="s">
        <v>430</v>
      </c>
      <c r="D291" s="41" t="s">
        <v>140</v>
      </c>
      <c r="E291" s="42">
        <v>44711</v>
      </c>
      <c r="F291" s="41" t="str">
        <f>LEFT(клиенты!$B291,LEN(клиенты!$B291)-13)</f>
        <v>+7</v>
      </c>
      <c r="G291" s="41" t="str">
        <f>_xlfn.XLOOKUP(клиенты!$F291,'коды стран'!$B$2:$B$7,'коды стран'!$A$2:$A$7,"не найдено",0)</f>
        <v>Россия</v>
      </c>
      <c r="H291" s="42">
        <f>_xlfn.MAXIFS(Продажи[дата создания чека],Продажи[id клиента],A291)</f>
        <v>45202</v>
      </c>
      <c r="I291" s="59">
        <f t="shared" si="8"/>
        <v>16.131416837782339</v>
      </c>
      <c r="J291" s="41" t="str">
        <f>IF(LEN(C291) - LEN(SUBSTITUTE(C291," ",""))&lt;3,C291,RIGHT(C291,LEN(C291)-FIND(" ",клиенты!$C291,1)))</f>
        <v>Любомир Валерианович Туров</v>
      </c>
      <c r="K291" s="41" t="str">
        <f t="shared" si="9"/>
        <v>Любомир Валерианович Туров</v>
      </c>
      <c r="L291" s="41" t="str">
        <f>LEFT(клиенты!$K291,FIND(" ",клиенты!$K291,1)-1)</f>
        <v>Любомир</v>
      </c>
      <c r="M291" s="41" t="str">
        <f>MID(K291,FIND(" ",клиенты!$K291,1)+1,(FIND(" ",клиенты!$K291,FIND(" ",клиенты!$K291,1)+1)-1)-FIND(" ",клиенты!$K291,1))</f>
        <v>Валерианович</v>
      </c>
      <c r="N291" s="41" t="str">
        <f>RIGHT(K291,LEN(K291)-FIND(" ",клиенты!$K291,FIND(" ",клиенты!$K291,1)+1))</f>
        <v>Туров</v>
      </c>
    </row>
    <row r="292" spans="1:14" x14ac:dyDescent="0.25">
      <c r="A292" s="43">
        <v>103</v>
      </c>
      <c r="B292" s="44" t="s">
        <v>429</v>
      </c>
      <c r="C292" s="44" t="s">
        <v>428</v>
      </c>
      <c r="D292" s="44" t="s">
        <v>143</v>
      </c>
      <c r="E292" s="45">
        <v>44787</v>
      </c>
      <c r="F292" s="44" t="str">
        <f>LEFT(клиенты!$B292,LEN(клиенты!$B292)-13)</f>
        <v>+998</v>
      </c>
      <c r="G292" s="44" t="str">
        <f>_xlfn.XLOOKUP(клиенты!$F292,'коды стран'!$B$2:$B$7,'коды стран'!$A$2:$A$7,"не найдено",0)</f>
        <v>Узбекистан</v>
      </c>
      <c r="H292" s="45">
        <f>_xlfn.MAXIFS(Продажи[дата создания чека],Продажи[id клиента],A292)</f>
        <v>45198</v>
      </c>
      <c r="I292" s="60">
        <f t="shared" si="8"/>
        <v>13.503080082135524</v>
      </c>
      <c r="J292" s="44" t="str">
        <f>IF(LEN(C292) - LEN(SUBSTITUTE(C292," ",""))&lt;3,C292,RIGHT(C292,LEN(C292)-FIND(" ",клиенты!$C292,1)))</f>
        <v>Сергеев Панкратий Теймуразович</v>
      </c>
      <c r="K292" s="44" t="str">
        <f t="shared" si="9"/>
        <v>Панкратий Теймуразович Сергеев</v>
      </c>
      <c r="L292" s="44" t="str">
        <f>LEFT(клиенты!$K292,FIND(" ",клиенты!$K292,1)-1)</f>
        <v>Панкратий</v>
      </c>
      <c r="M292" s="44" t="str">
        <f>MID(K292,FIND(" ",клиенты!$K292,1)+1,(FIND(" ",клиенты!$K292,FIND(" ",клиенты!$K292,1)+1)-1)-FIND(" ",клиенты!$K292,1))</f>
        <v>Теймуразович</v>
      </c>
      <c r="N292" s="44" t="str">
        <f>RIGHT(K292,LEN(K292)-FIND(" ",клиенты!$K292,FIND(" ",клиенты!$K292,1)+1))</f>
        <v>Сергеев</v>
      </c>
    </row>
    <row r="293" spans="1:14" x14ac:dyDescent="0.25">
      <c r="A293" s="40">
        <v>31</v>
      </c>
      <c r="B293" s="41" t="s">
        <v>427</v>
      </c>
      <c r="C293" s="41" t="s">
        <v>426</v>
      </c>
      <c r="D293" s="41" t="s">
        <v>140</v>
      </c>
      <c r="E293" s="42">
        <v>44580</v>
      </c>
      <c r="F293" s="41" t="str">
        <f>LEFT(клиенты!$B293,LEN(клиенты!$B293)-13)</f>
        <v>+380</v>
      </c>
      <c r="G293" s="41" t="str">
        <f>_xlfn.XLOOKUP(клиенты!$F293,'коды стран'!$B$2:$B$7,'коды стран'!$A$2:$A$7,"не найдено",0)</f>
        <v>Украина</v>
      </c>
      <c r="H293" s="42">
        <f>_xlfn.MAXIFS(Продажи[дата создания чека],Продажи[id клиента],A293)</f>
        <v>45183</v>
      </c>
      <c r="I293" s="59">
        <f t="shared" si="8"/>
        <v>19.811088295687885</v>
      </c>
      <c r="J293" s="41" t="str">
        <f>IF(LEN(C293) - LEN(SUBSTITUTE(C293," ",""))&lt;3,C293,RIGHT(C293,LEN(C293)-FIND(" ",клиенты!$C293,1)))</f>
        <v>Татьяна Павловна Павлова</v>
      </c>
      <c r="K293" s="41" t="str">
        <f t="shared" si="9"/>
        <v>Татьяна Павловна Павлова</v>
      </c>
      <c r="L293" s="41" t="str">
        <f>LEFT(клиенты!$K293,FIND(" ",клиенты!$K293,1)-1)</f>
        <v>Татьяна</v>
      </c>
      <c r="M293" s="41" t="str">
        <f>MID(K293,FIND(" ",клиенты!$K293,1)+1,(FIND(" ",клиенты!$K293,FIND(" ",клиенты!$K293,1)+1)-1)-FIND(" ",клиенты!$K293,1))</f>
        <v>Павловна</v>
      </c>
      <c r="N293" s="41" t="str">
        <f>RIGHT(K293,LEN(K293)-FIND(" ",клиенты!$K293,FIND(" ",клиенты!$K293,1)+1))</f>
        <v>Павлова</v>
      </c>
    </row>
    <row r="294" spans="1:14" x14ac:dyDescent="0.25">
      <c r="A294" s="43">
        <v>306</v>
      </c>
      <c r="B294" s="44" t="s">
        <v>425</v>
      </c>
      <c r="C294" s="44" t="s">
        <v>424</v>
      </c>
      <c r="D294" s="44" t="s">
        <v>143</v>
      </c>
      <c r="E294" s="45">
        <v>44872</v>
      </c>
      <c r="F294" s="44" t="str">
        <f>LEFT(клиенты!$B294,LEN(клиенты!$B294)-13)</f>
        <v>+380</v>
      </c>
      <c r="G294" s="44" t="str">
        <f>_xlfn.XLOOKUP(клиенты!$F294,'коды стран'!$B$2:$B$7,'коды стран'!$A$2:$A$7,"не найдено",0)</f>
        <v>Украина</v>
      </c>
      <c r="H294" s="45">
        <f>_xlfn.MAXIFS(Продажи[дата создания чека],Продажи[id клиента],A294)</f>
        <v>45377</v>
      </c>
      <c r="I294" s="60">
        <f t="shared" si="8"/>
        <v>16.591375770020534</v>
      </c>
      <c r="J294" s="44" t="str">
        <f>IF(LEN(C294) - LEN(SUBSTITUTE(C294," ",""))&lt;3,C294,RIGHT(C294,LEN(C294)-FIND(" ",клиенты!$C294,1)))</f>
        <v>Поляков Силантий Адамович</v>
      </c>
      <c r="K294" s="44" t="str">
        <f t="shared" si="9"/>
        <v>Силантий Адамович Поляков</v>
      </c>
      <c r="L294" s="44" t="str">
        <f>LEFT(клиенты!$K294,FIND(" ",клиенты!$K294,1)-1)</f>
        <v>Силантий</v>
      </c>
      <c r="M294" s="44" t="str">
        <f>MID(K294,FIND(" ",клиенты!$K294,1)+1,(FIND(" ",клиенты!$K294,FIND(" ",клиенты!$K294,1)+1)-1)-FIND(" ",клиенты!$K294,1))</f>
        <v>Адамович</v>
      </c>
      <c r="N294" s="44" t="str">
        <f>RIGHT(K294,LEN(K294)-FIND(" ",клиенты!$K294,FIND(" ",клиенты!$K294,1)+1))</f>
        <v>Поляков</v>
      </c>
    </row>
    <row r="295" spans="1:14" x14ac:dyDescent="0.25">
      <c r="A295" s="40">
        <v>383</v>
      </c>
      <c r="B295" s="41" t="s">
        <v>423</v>
      </c>
      <c r="C295" s="41" t="s">
        <v>422</v>
      </c>
      <c r="D295" s="41" t="s">
        <v>140</v>
      </c>
      <c r="E295" s="42">
        <v>44876</v>
      </c>
      <c r="F295" s="41" t="str">
        <f>LEFT(клиенты!$B295,LEN(клиенты!$B295)-13)</f>
        <v>+380</v>
      </c>
      <c r="G295" s="41" t="str">
        <f>_xlfn.XLOOKUP(клиенты!$F295,'коды стран'!$B$2:$B$7,'коды стран'!$A$2:$A$7,"не найдено",0)</f>
        <v>Украина</v>
      </c>
      <c r="H295" s="42">
        <f>_xlfn.MAXIFS(Продажи[дата создания чека],Продажи[id клиента],A295)</f>
        <v>45142</v>
      </c>
      <c r="I295" s="59">
        <f t="shared" si="8"/>
        <v>8.7392197125256672</v>
      </c>
      <c r="J295" s="41" t="str">
        <f>IF(LEN(C295) - LEN(SUBSTITUTE(C295," ",""))&lt;3,C295,RIGHT(C295,LEN(C295)-FIND(" ",клиенты!$C295,1)))</f>
        <v>Герасимов Родион Харитонович</v>
      </c>
      <c r="K295" s="41" t="str">
        <f t="shared" si="9"/>
        <v>Родион Харитонович Герасимов</v>
      </c>
      <c r="L295" s="41" t="str">
        <f>LEFT(клиенты!$K295,FIND(" ",клиенты!$K295,1)-1)</f>
        <v>Родион</v>
      </c>
      <c r="M295" s="41" t="str">
        <f>MID(K295,FIND(" ",клиенты!$K295,1)+1,(FIND(" ",клиенты!$K295,FIND(" ",клиенты!$K295,1)+1)-1)-FIND(" ",клиенты!$K295,1))</f>
        <v>Харитонович</v>
      </c>
      <c r="N295" s="41" t="str">
        <f>RIGHT(K295,LEN(K295)-FIND(" ",клиенты!$K295,FIND(" ",клиенты!$K295,1)+1))</f>
        <v>Герасимов</v>
      </c>
    </row>
    <row r="296" spans="1:14" x14ac:dyDescent="0.25">
      <c r="A296" s="43">
        <v>367</v>
      </c>
      <c r="B296" s="44" t="s">
        <v>421</v>
      </c>
      <c r="C296" s="44" t="s">
        <v>420</v>
      </c>
      <c r="D296" s="44" t="s">
        <v>140</v>
      </c>
      <c r="E296" s="45">
        <v>44867</v>
      </c>
      <c r="F296" s="44" t="str">
        <f>LEFT(клиенты!$B296,LEN(клиенты!$B296)-13)</f>
        <v>+992</v>
      </c>
      <c r="G296" s="44" t="str">
        <f>_xlfn.XLOOKUP(клиенты!$F296,'коды стран'!$B$2:$B$7,'коды стран'!$A$2:$A$7,"не найдено",0)</f>
        <v>Таджикистан</v>
      </c>
      <c r="H296" s="45">
        <f>_xlfn.MAXIFS(Продажи[дата создания чека],Продажи[id клиента],A296)</f>
        <v>45120</v>
      </c>
      <c r="I296" s="60">
        <f t="shared" si="8"/>
        <v>8.3121149897330593</v>
      </c>
      <c r="J296" s="44" t="str">
        <f>IF(LEN(C296) - LEN(SUBSTITUTE(C296," ",""))&lt;3,C296,RIGHT(C296,LEN(C296)-FIND(" ",клиенты!$C296,1)))</f>
        <v>Эмилия Вадимовна Александрова</v>
      </c>
      <c r="K296" s="44" t="str">
        <f t="shared" si="9"/>
        <v>Эмилия Вадимовна Александрова</v>
      </c>
      <c r="L296" s="44" t="str">
        <f>LEFT(клиенты!$K296,FIND(" ",клиенты!$K296,1)-1)</f>
        <v>Эмилия</v>
      </c>
      <c r="M296" s="44" t="str">
        <f>MID(K296,FIND(" ",клиенты!$K296,1)+1,(FIND(" ",клиенты!$K296,FIND(" ",клиенты!$K296,1)+1)-1)-FIND(" ",клиенты!$K296,1))</f>
        <v>Вадимовна</v>
      </c>
      <c r="N296" s="44" t="str">
        <f>RIGHT(K296,LEN(K296)-FIND(" ",клиенты!$K296,FIND(" ",клиенты!$K296,1)+1))</f>
        <v>Александрова</v>
      </c>
    </row>
    <row r="297" spans="1:14" x14ac:dyDescent="0.25">
      <c r="A297" s="40">
        <v>138</v>
      </c>
      <c r="B297" s="41" t="s">
        <v>419</v>
      </c>
      <c r="C297" s="41" t="s">
        <v>418</v>
      </c>
      <c r="D297" s="41" t="s">
        <v>143</v>
      </c>
      <c r="E297" s="42">
        <v>44723</v>
      </c>
      <c r="F297" s="41" t="str">
        <f>LEFT(клиенты!$B297,LEN(клиенты!$B297)-13)</f>
        <v>+380</v>
      </c>
      <c r="G297" s="41" t="str">
        <f>_xlfn.XLOOKUP(клиенты!$F297,'коды стран'!$B$2:$B$7,'коды стран'!$A$2:$A$7,"не найдено",0)</f>
        <v>Украина</v>
      </c>
      <c r="H297" s="42">
        <f>_xlfn.MAXIFS(Продажи[дата создания чека],Продажи[id клиента],A297)</f>
        <v>45203</v>
      </c>
      <c r="I297" s="59">
        <f t="shared" si="8"/>
        <v>15.770020533880903</v>
      </c>
      <c r="J297" s="41" t="str">
        <f>IF(LEN(C297) - LEN(SUBSTITUTE(C297," ",""))&lt;3,C297,RIGHT(C297,LEN(C297)-FIND(" ",клиенты!$C297,1)))</f>
        <v>Нинель Кузьминична Журавлева</v>
      </c>
      <c r="K297" s="41" t="str">
        <f t="shared" si="9"/>
        <v>Нинель Кузьминична Журавлева</v>
      </c>
      <c r="L297" s="41" t="str">
        <f>LEFT(клиенты!$K297,FIND(" ",клиенты!$K297,1)-1)</f>
        <v>Нинель</v>
      </c>
      <c r="M297" s="41" t="str">
        <f>MID(K297,FIND(" ",клиенты!$K297,1)+1,(FIND(" ",клиенты!$K297,FIND(" ",клиенты!$K297,1)+1)-1)-FIND(" ",клиенты!$K297,1))</f>
        <v>Кузьминична</v>
      </c>
      <c r="N297" s="41" t="str">
        <f>RIGHT(K297,LEN(K297)-FIND(" ",клиенты!$K297,FIND(" ",клиенты!$K297,1)+1))</f>
        <v>Журавлева</v>
      </c>
    </row>
    <row r="298" spans="1:14" x14ac:dyDescent="0.25">
      <c r="A298" s="43">
        <v>158</v>
      </c>
      <c r="B298" s="44" t="s">
        <v>417</v>
      </c>
      <c r="C298" s="44" t="s">
        <v>416</v>
      </c>
      <c r="D298" s="44" t="s">
        <v>140</v>
      </c>
      <c r="E298" s="45">
        <v>44752</v>
      </c>
      <c r="F298" s="44" t="str">
        <f>LEFT(клиенты!$B298,LEN(клиенты!$B298)-13)</f>
        <v>+998</v>
      </c>
      <c r="G298" s="44" t="str">
        <f>_xlfn.XLOOKUP(клиенты!$F298,'коды стран'!$B$2:$B$7,'коды стран'!$A$2:$A$7,"не найдено",0)</f>
        <v>Узбекистан</v>
      </c>
      <c r="H298" s="45">
        <f>_xlfn.MAXIFS(Продажи[дата создания чека],Продажи[id клиента],A298)</f>
        <v>45351</v>
      </c>
      <c r="I298" s="60">
        <f t="shared" si="8"/>
        <v>19.679671457905545</v>
      </c>
      <c r="J298" s="44" t="str">
        <f>IF(LEN(C298) - LEN(SUBSTITUTE(C298," ",""))&lt;3,C298,RIGHT(C298,LEN(C298)-FIND(" ",клиенты!$C298,1)))</f>
        <v>Маркова Ксения Максимовна</v>
      </c>
      <c r="K298" s="44" t="str">
        <f t="shared" si="9"/>
        <v>Ксения Максимовна Маркова</v>
      </c>
      <c r="L298" s="44" t="str">
        <f>LEFT(клиенты!$K298,FIND(" ",клиенты!$K298,1)-1)</f>
        <v>Ксения</v>
      </c>
      <c r="M298" s="44" t="str">
        <f>MID(K298,FIND(" ",клиенты!$K298,1)+1,(FIND(" ",клиенты!$K298,FIND(" ",клиенты!$K298,1)+1)-1)-FIND(" ",клиенты!$K298,1))</f>
        <v>Максимовна</v>
      </c>
      <c r="N298" s="44" t="str">
        <f>RIGHT(K298,LEN(K298)-FIND(" ",клиенты!$K298,FIND(" ",клиенты!$K298,1)+1))</f>
        <v>Маркова</v>
      </c>
    </row>
    <row r="299" spans="1:14" x14ac:dyDescent="0.25">
      <c r="A299" s="40">
        <v>217</v>
      </c>
      <c r="B299" s="41" t="s">
        <v>415</v>
      </c>
      <c r="C299" s="41" t="s">
        <v>414</v>
      </c>
      <c r="D299" s="41" t="s">
        <v>140</v>
      </c>
      <c r="E299" s="42">
        <v>44826</v>
      </c>
      <c r="F299" s="41" t="str">
        <f>LEFT(клиенты!$B299,LEN(клиенты!$B299)-13)</f>
        <v>+7</v>
      </c>
      <c r="G299" s="41" t="str">
        <f>_xlfn.XLOOKUP(клиенты!$F299,'коды стран'!$B$2:$B$7,'коды стран'!$A$2:$A$7,"не найдено",0)</f>
        <v>Россия</v>
      </c>
      <c r="H299" s="42">
        <f>_xlfn.MAXIFS(Продажи[дата создания чека],Продажи[id клиента],A299)</f>
        <v>45183</v>
      </c>
      <c r="I299" s="59">
        <f t="shared" si="8"/>
        <v>11.728952772073923</v>
      </c>
      <c r="J299" s="41" t="str">
        <f>IF(LEN(C299) - LEN(SUBSTITUTE(C299," ",""))&lt;3,C299,RIGHT(C299,LEN(C299)-FIND(" ",клиенты!$C299,1)))</f>
        <v>Фомичев Ипполит Артурович</v>
      </c>
      <c r="K299" s="41" t="str">
        <f t="shared" si="9"/>
        <v>Ипполит Артурович Фомичев</v>
      </c>
      <c r="L299" s="41" t="str">
        <f>LEFT(клиенты!$K299,FIND(" ",клиенты!$K299,1)-1)</f>
        <v>Ипполит</v>
      </c>
      <c r="M299" s="41" t="str">
        <f>MID(K299,FIND(" ",клиенты!$K299,1)+1,(FIND(" ",клиенты!$K299,FIND(" ",клиенты!$K299,1)+1)-1)-FIND(" ",клиенты!$K299,1))</f>
        <v>Артурович</v>
      </c>
      <c r="N299" s="41" t="str">
        <f>RIGHT(K299,LEN(K299)-FIND(" ",клиенты!$K299,FIND(" ",клиенты!$K299,1)+1))</f>
        <v>Фомичев</v>
      </c>
    </row>
    <row r="300" spans="1:14" x14ac:dyDescent="0.25">
      <c r="A300" s="43">
        <v>102</v>
      </c>
      <c r="B300" s="44" t="s">
        <v>413</v>
      </c>
      <c r="C300" s="44" t="s">
        <v>412</v>
      </c>
      <c r="D300" s="44" t="s">
        <v>140</v>
      </c>
      <c r="E300" s="45">
        <v>44723</v>
      </c>
      <c r="F300" s="44" t="str">
        <f>LEFT(клиенты!$B300,LEN(клиенты!$B300)-13)</f>
        <v>+998</v>
      </c>
      <c r="G300" s="44" t="str">
        <f>_xlfn.XLOOKUP(клиенты!$F300,'коды стран'!$B$2:$B$7,'коды стран'!$A$2:$A$7,"не найдено",0)</f>
        <v>Узбекистан</v>
      </c>
      <c r="H300" s="45">
        <f>_xlfn.MAXIFS(Продажи[дата создания чека],Продажи[id клиента],A300)</f>
        <v>45397</v>
      </c>
      <c r="I300" s="60">
        <f t="shared" si="8"/>
        <v>22.143737166324435</v>
      </c>
      <c r="J300" s="44" t="str">
        <f>IF(LEN(C300) - LEN(SUBSTITUTE(C300," ",""))&lt;3,C300,RIGHT(C300,LEN(C300)-FIND(" ",клиенты!$C300,1)))</f>
        <v>Галактион Жанович Новиков</v>
      </c>
      <c r="K300" s="44" t="str">
        <f t="shared" si="9"/>
        <v>Галактион Жанович Новиков</v>
      </c>
      <c r="L300" s="44" t="str">
        <f>LEFT(клиенты!$K300,FIND(" ",клиенты!$K300,1)-1)</f>
        <v>Галактион</v>
      </c>
      <c r="M300" s="44" t="str">
        <f>MID(K300,FIND(" ",клиенты!$K300,1)+1,(FIND(" ",клиенты!$K300,FIND(" ",клиенты!$K300,1)+1)-1)-FIND(" ",клиенты!$K300,1))</f>
        <v>Жанович</v>
      </c>
      <c r="N300" s="44" t="str">
        <f>RIGHT(K300,LEN(K300)-FIND(" ",клиенты!$K300,FIND(" ",клиенты!$K300,1)+1))</f>
        <v>Новиков</v>
      </c>
    </row>
    <row r="301" spans="1:14" x14ac:dyDescent="0.25">
      <c r="A301" s="40">
        <v>425</v>
      </c>
      <c r="B301" s="41" t="s">
        <v>411</v>
      </c>
      <c r="C301" s="41" t="s">
        <v>410</v>
      </c>
      <c r="D301" s="41" t="s">
        <v>140</v>
      </c>
      <c r="E301" s="42">
        <v>44782</v>
      </c>
      <c r="F301" s="41" t="str">
        <f>LEFT(клиенты!$B301,LEN(клиенты!$B301)-13)</f>
        <v>+998</v>
      </c>
      <c r="G301" s="41" t="str">
        <f>_xlfn.XLOOKUP(клиенты!$F301,'коды стран'!$B$2:$B$7,'коды стран'!$A$2:$A$7,"не найдено",0)</f>
        <v>Узбекистан</v>
      </c>
      <c r="H301" s="42">
        <f>_xlfn.MAXIFS(Продажи[дата создания чека],Продажи[id клиента],A301)</f>
        <v>45206</v>
      </c>
      <c r="I301" s="59">
        <f t="shared" si="8"/>
        <v>13.930184804928132</v>
      </c>
      <c r="J301" s="41" t="str">
        <f>IF(LEN(C301) - LEN(SUBSTITUTE(C301," ",""))&lt;3,C301,RIGHT(C301,LEN(C301)-FIND(" ",клиенты!$C301,1)))</f>
        <v>Алевтина Ефимовна Белякова</v>
      </c>
      <c r="K301" s="41" t="str">
        <f t="shared" si="9"/>
        <v>Алевтина Ефимовна Белякова</v>
      </c>
      <c r="L301" s="41" t="str">
        <f>LEFT(клиенты!$K301,FIND(" ",клиенты!$K301,1)-1)</f>
        <v>Алевтина</v>
      </c>
      <c r="M301" s="41" t="str">
        <f>MID(K301,FIND(" ",клиенты!$K301,1)+1,(FIND(" ",клиенты!$K301,FIND(" ",клиенты!$K301,1)+1)-1)-FIND(" ",клиенты!$K301,1))</f>
        <v>Ефимовна</v>
      </c>
      <c r="N301" s="41" t="str">
        <f>RIGHT(K301,LEN(K301)-FIND(" ",клиенты!$K301,FIND(" ",клиенты!$K301,1)+1))</f>
        <v>Белякова</v>
      </c>
    </row>
    <row r="302" spans="1:14" x14ac:dyDescent="0.25">
      <c r="A302" s="43">
        <v>43</v>
      </c>
      <c r="B302" s="44" t="s">
        <v>409</v>
      </c>
      <c r="C302" s="44" t="s">
        <v>408</v>
      </c>
      <c r="D302" s="44" t="s">
        <v>143</v>
      </c>
      <c r="E302" s="45">
        <v>44912</v>
      </c>
      <c r="F302" s="44" t="str">
        <f>LEFT(клиенты!$B302,LEN(клиенты!$B302)-13)</f>
        <v>+7</v>
      </c>
      <c r="G302" s="44" t="str">
        <f>_xlfn.XLOOKUP(клиенты!$F302,'коды стран'!$B$2:$B$7,'коды стран'!$A$2:$A$7,"не найдено",0)</f>
        <v>Россия</v>
      </c>
      <c r="H302" s="45">
        <f>_xlfn.MAXIFS(Продажи[дата создания чека],Продажи[id клиента],A302)</f>
        <v>45425</v>
      </c>
      <c r="I302" s="60">
        <f t="shared" si="8"/>
        <v>16.854209445585216</v>
      </c>
      <c r="J302" s="44" t="str">
        <f>IF(LEN(C302) - LEN(SUBSTITUTE(C302," ",""))&lt;3,C302,RIGHT(C302,LEN(C302)-FIND(" ",клиенты!$C302,1)))</f>
        <v>Куликова Евгения Григорьевна</v>
      </c>
      <c r="K302" s="44" t="str">
        <f t="shared" si="9"/>
        <v>Евгения Григорьевна Куликова</v>
      </c>
      <c r="L302" s="44" t="str">
        <f>LEFT(клиенты!$K302,FIND(" ",клиенты!$K302,1)-1)</f>
        <v>Евгения</v>
      </c>
      <c r="M302" s="44" t="str">
        <f>MID(K302,FIND(" ",клиенты!$K302,1)+1,(FIND(" ",клиенты!$K302,FIND(" ",клиенты!$K302,1)+1)-1)-FIND(" ",клиенты!$K302,1))</f>
        <v>Григорьевна</v>
      </c>
      <c r="N302" s="44" t="str">
        <f>RIGHT(K302,LEN(K302)-FIND(" ",клиенты!$K302,FIND(" ",клиенты!$K302,1)+1))</f>
        <v>Куликова</v>
      </c>
    </row>
    <row r="303" spans="1:14" x14ac:dyDescent="0.25">
      <c r="A303" s="40">
        <v>326</v>
      </c>
      <c r="B303" s="41" t="s">
        <v>407</v>
      </c>
      <c r="C303" s="41" t="s">
        <v>406</v>
      </c>
      <c r="D303" s="41" t="s">
        <v>140</v>
      </c>
      <c r="E303" s="42">
        <v>44655</v>
      </c>
      <c r="F303" s="41" t="str">
        <f>LEFT(клиенты!$B303,LEN(клиенты!$B303)-13)</f>
        <v>+7</v>
      </c>
      <c r="G303" s="41" t="str">
        <f>_xlfn.XLOOKUP(клиенты!$F303,'коды стран'!$B$2:$B$7,'коды стран'!$A$2:$A$7,"не найдено",0)</f>
        <v>Россия</v>
      </c>
      <c r="H303" s="42">
        <f>_xlfn.MAXIFS(Продажи[дата создания чека],Продажи[id клиента],A303)</f>
        <v>45289</v>
      </c>
      <c r="I303" s="59">
        <f t="shared" si="8"/>
        <v>20.829568788501028</v>
      </c>
      <c r="J303" s="41" t="str">
        <f>IF(LEN(C303) - LEN(SUBSTITUTE(C303," ",""))&lt;3,C303,RIGHT(C303,LEN(C303)-FIND(" ",клиенты!$C303,1)))</f>
        <v>Кошелева Марина Рудольфовна</v>
      </c>
      <c r="K303" s="41" t="str">
        <f t="shared" si="9"/>
        <v>Марина Рудольфовна Кошелева</v>
      </c>
      <c r="L303" s="41" t="str">
        <f>LEFT(клиенты!$K303,FIND(" ",клиенты!$K303,1)-1)</f>
        <v>Марина</v>
      </c>
      <c r="M303" s="41" t="str">
        <f>MID(K303,FIND(" ",клиенты!$K303,1)+1,(FIND(" ",клиенты!$K303,FIND(" ",клиенты!$K303,1)+1)-1)-FIND(" ",клиенты!$K303,1))</f>
        <v>Рудольфовна</v>
      </c>
      <c r="N303" s="41" t="str">
        <f>RIGHT(K303,LEN(K303)-FIND(" ",клиенты!$K303,FIND(" ",клиенты!$K303,1)+1))</f>
        <v>Кошелева</v>
      </c>
    </row>
    <row r="304" spans="1:14" x14ac:dyDescent="0.25">
      <c r="A304" s="43">
        <v>402</v>
      </c>
      <c r="B304" s="44" t="s">
        <v>405</v>
      </c>
      <c r="C304" s="44" t="s">
        <v>404</v>
      </c>
      <c r="D304" s="44" t="s">
        <v>143</v>
      </c>
      <c r="E304" s="45">
        <v>44742</v>
      </c>
      <c r="F304" s="44" t="str">
        <f>LEFT(клиенты!$B304,LEN(клиенты!$B304)-13)</f>
        <v>+998</v>
      </c>
      <c r="G304" s="44" t="str">
        <f>_xlfn.XLOOKUP(клиенты!$F304,'коды стран'!$B$2:$B$7,'коды стран'!$A$2:$A$7,"не найдено",0)</f>
        <v>Узбекистан</v>
      </c>
      <c r="H304" s="45">
        <f>_xlfn.MAXIFS(Продажи[дата создания чека],Продажи[id клиента],A304)</f>
        <v>45094</v>
      </c>
      <c r="I304" s="60">
        <f t="shared" si="8"/>
        <v>11.564681724845997</v>
      </c>
      <c r="J304" s="44" t="str">
        <f>IF(LEN(C304) - LEN(SUBSTITUTE(C304," ",""))&lt;3,C304,RIGHT(C304,LEN(C304)-FIND(" ",клиенты!$C304,1)))</f>
        <v>Пахом Даниилович Кузьмин</v>
      </c>
      <c r="K304" s="44" t="str">
        <f t="shared" si="9"/>
        <v>Пахом Даниилович Кузьмин</v>
      </c>
      <c r="L304" s="44" t="str">
        <f>LEFT(клиенты!$K304,FIND(" ",клиенты!$K304,1)-1)</f>
        <v>Пахом</v>
      </c>
      <c r="M304" s="44" t="str">
        <f>MID(K304,FIND(" ",клиенты!$K304,1)+1,(FIND(" ",клиенты!$K304,FIND(" ",клиенты!$K304,1)+1)-1)-FIND(" ",клиенты!$K304,1))</f>
        <v>Даниилович</v>
      </c>
      <c r="N304" s="44" t="str">
        <f>RIGHT(K304,LEN(K304)-FIND(" ",клиенты!$K304,FIND(" ",клиенты!$K304,1)+1))</f>
        <v>Кузьмин</v>
      </c>
    </row>
    <row r="305" spans="1:14" x14ac:dyDescent="0.25">
      <c r="A305" s="40">
        <v>23</v>
      </c>
      <c r="B305" s="41" t="s">
        <v>403</v>
      </c>
      <c r="C305" s="41" t="s">
        <v>402</v>
      </c>
      <c r="D305" s="41" t="s">
        <v>140</v>
      </c>
      <c r="E305" s="42">
        <v>44706</v>
      </c>
      <c r="F305" s="41" t="str">
        <f>LEFT(клиенты!$B305,LEN(клиенты!$B305)-13)</f>
        <v>+7</v>
      </c>
      <c r="G305" s="41" t="str">
        <f>_xlfn.XLOOKUP(клиенты!$F305,'коды стран'!$B$2:$B$7,'коды стран'!$A$2:$A$7,"не найдено",0)</f>
        <v>Россия</v>
      </c>
      <c r="H305" s="42">
        <f>_xlfn.MAXIFS(Продажи[дата создания чека],Продажи[id клиента],A305)</f>
        <v>44935</v>
      </c>
      <c r="I305" s="59">
        <f t="shared" si="8"/>
        <v>7.523613963039014</v>
      </c>
      <c r="J305" s="41" t="str">
        <f>IF(LEN(C305) - LEN(SUBSTITUTE(C305," ",""))&lt;3,C305,RIGHT(C305,LEN(C305)-FIND(" ",клиенты!$C305,1)))</f>
        <v>Морозова Феврония Николаевна</v>
      </c>
      <c r="K305" s="41" t="str">
        <f t="shared" si="9"/>
        <v>Феврония Николаевна Морозова</v>
      </c>
      <c r="L305" s="41" t="str">
        <f>LEFT(клиенты!$K305,FIND(" ",клиенты!$K305,1)-1)</f>
        <v>Феврония</v>
      </c>
      <c r="M305" s="41" t="str">
        <f>MID(K305,FIND(" ",клиенты!$K305,1)+1,(FIND(" ",клиенты!$K305,FIND(" ",клиенты!$K305,1)+1)-1)-FIND(" ",клиенты!$K305,1))</f>
        <v>Николаевна</v>
      </c>
      <c r="N305" s="41" t="str">
        <f>RIGHT(K305,LEN(K305)-FIND(" ",клиенты!$K305,FIND(" ",клиенты!$K305,1)+1))</f>
        <v>Морозова</v>
      </c>
    </row>
    <row r="306" spans="1:14" x14ac:dyDescent="0.25">
      <c r="A306" s="43">
        <v>468</v>
      </c>
      <c r="B306" s="44" t="s">
        <v>401</v>
      </c>
      <c r="C306" s="44" t="s">
        <v>400</v>
      </c>
      <c r="D306" s="44" t="s">
        <v>143</v>
      </c>
      <c r="E306" s="45">
        <v>44619</v>
      </c>
      <c r="F306" s="44" t="str">
        <f>LEFT(клиенты!$B306,LEN(клиенты!$B306)-13)</f>
        <v>+998</v>
      </c>
      <c r="G306" s="44" t="str">
        <f>_xlfn.XLOOKUP(клиенты!$F306,'коды стран'!$B$2:$B$7,'коды стран'!$A$2:$A$7,"не найдено",0)</f>
        <v>Узбекистан</v>
      </c>
      <c r="H306" s="45">
        <f>_xlfn.MAXIFS(Продажи[дата создания чека],Продажи[id клиента],A306)</f>
        <v>45102</v>
      </c>
      <c r="I306" s="60">
        <f t="shared" si="8"/>
        <v>15.868583162217659</v>
      </c>
      <c r="J306" s="44" t="str">
        <f>IF(LEN(C306) - LEN(SUBSTITUTE(C306," ",""))&lt;3,C306,RIGHT(C306,LEN(C306)-FIND(" ",клиенты!$C306,1)))</f>
        <v>Дарья Степановна Потапова</v>
      </c>
      <c r="K306" s="44" t="str">
        <f t="shared" si="9"/>
        <v>Дарья Степановна Потапова</v>
      </c>
      <c r="L306" s="44" t="str">
        <f>LEFT(клиенты!$K306,FIND(" ",клиенты!$K306,1)-1)</f>
        <v>Дарья</v>
      </c>
      <c r="M306" s="44" t="str">
        <f>MID(K306,FIND(" ",клиенты!$K306,1)+1,(FIND(" ",клиенты!$K306,FIND(" ",клиенты!$K306,1)+1)-1)-FIND(" ",клиенты!$K306,1))</f>
        <v>Степановна</v>
      </c>
      <c r="N306" s="44" t="str">
        <f>RIGHT(K306,LEN(K306)-FIND(" ",клиенты!$K306,FIND(" ",клиенты!$K306,1)+1))</f>
        <v>Потапова</v>
      </c>
    </row>
    <row r="307" spans="1:14" x14ac:dyDescent="0.25">
      <c r="A307" s="40">
        <v>141</v>
      </c>
      <c r="B307" s="41" t="s">
        <v>399</v>
      </c>
      <c r="C307" s="41" t="s">
        <v>398</v>
      </c>
      <c r="D307" s="41" t="s">
        <v>143</v>
      </c>
      <c r="E307" s="42">
        <v>44743</v>
      </c>
      <c r="F307" s="41" t="str">
        <f>LEFT(клиенты!$B307,LEN(клиенты!$B307)-13)</f>
        <v>+7</v>
      </c>
      <c r="G307" s="41" t="str">
        <f>_xlfn.XLOOKUP(клиенты!$F307,'коды стран'!$B$2:$B$7,'коды стран'!$A$2:$A$7,"не найдено",0)</f>
        <v>Россия</v>
      </c>
      <c r="H307" s="42">
        <f>_xlfn.MAXIFS(Продажи[дата создания чека],Продажи[id клиента],A307)</f>
        <v>45217</v>
      </c>
      <c r="I307" s="59">
        <f t="shared" si="8"/>
        <v>15.572895277207392</v>
      </c>
      <c r="J307" s="41" t="str">
        <f>IF(LEN(C307) - LEN(SUBSTITUTE(C307," ",""))&lt;3,C307,RIGHT(C307,LEN(C307)-FIND(" ",клиенты!$C307,1)))</f>
        <v>Владимиров Орест Артемьевич</v>
      </c>
      <c r="K307" s="41" t="str">
        <f t="shared" si="9"/>
        <v>Орест Артемьевич Владимиров</v>
      </c>
      <c r="L307" s="41" t="str">
        <f>LEFT(клиенты!$K307,FIND(" ",клиенты!$K307,1)-1)</f>
        <v>Орест</v>
      </c>
      <c r="M307" s="41" t="str">
        <f>MID(K307,FIND(" ",клиенты!$K307,1)+1,(FIND(" ",клиенты!$K307,FIND(" ",клиенты!$K307,1)+1)-1)-FIND(" ",клиенты!$K307,1))</f>
        <v>Артемьевич</v>
      </c>
      <c r="N307" s="41" t="str">
        <f>RIGHT(K307,LEN(K307)-FIND(" ",клиенты!$K307,FIND(" ",клиенты!$K307,1)+1))</f>
        <v>Владимиров</v>
      </c>
    </row>
    <row r="308" spans="1:14" x14ac:dyDescent="0.25">
      <c r="A308" s="43">
        <v>182</v>
      </c>
      <c r="B308" s="44" t="s">
        <v>397</v>
      </c>
      <c r="C308" s="44" t="s">
        <v>396</v>
      </c>
      <c r="D308" s="44" t="s">
        <v>143</v>
      </c>
      <c r="E308" s="45">
        <v>44856</v>
      </c>
      <c r="F308" s="44" t="str">
        <f>LEFT(клиенты!$B308,LEN(клиенты!$B308)-13)</f>
        <v>+998</v>
      </c>
      <c r="G308" s="44" t="str">
        <f>_xlfn.XLOOKUP(клиенты!$F308,'коды стран'!$B$2:$B$7,'коды стран'!$A$2:$A$7,"не найдено",0)</f>
        <v>Узбекистан</v>
      </c>
      <c r="H308" s="45">
        <f>_xlfn.MAXIFS(Продажи[дата создания чека],Продажи[id клиента],A308)</f>
        <v>45410</v>
      </c>
      <c r="I308" s="60">
        <f t="shared" si="8"/>
        <v>18.201232032854211</v>
      </c>
      <c r="J308" s="44" t="str">
        <f>IF(LEN(C308) - LEN(SUBSTITUTE(C308," ",""))&lt;3,C308,RIGHT(C308,LEN(C308)-FIND(" ",клиенты!$C308,1)))</f>
        <v>Калинин Никита Артурович</v>
      </c>
      <c r="K308" s="44" t="str">
        <f t="shared" si="9"/>
        <v>Никита Артурович Калинин</v>
      </c>
      <c r="L308" s="44" t="str">
        <f>LEFT(клиенты!$K308,FIND(" ",клиенты!$K308,1)-1)</f>
        <v>Никита</v>
      </c>
      <c r="M308" s="44" t="str">
        <f>MID(K308,FIND(" ",клиенты!$K308,1)+1,(FIND(" ",клиенты!$K308,FIND(" ",клиенты!$K308,1)+1)-1)-FIND(" ",клиенты!$K308,1))</f>
        <v>Артурович</v>
      </c>
      <c r="N308" s="44" t="str">
        <f>RIGHT(K308,LEN(K308)-FIND(" ",клиенты!$K308,FIND(" ",клиенты!$K308,1)+1))</f>
        <v>Калинин</v>
      </c>
    </row>
    <row r="309" spans="1:14" x14ac:dyDescent="0.25">
      <c r="A309" s="40">
        <v>225</v>
      </c>
      <c r="B309" s="41" t="s">
        <v>395</v>
      </c>
      <c r="C309" s="41" t="s">
        <v>394</v>
      </c>
      <c r="D309" s="41" t="s">
        <v>143</v>
      </c>
      <c r="E309" s="42">
        <v>44827</v>
      </c>
      <c r="F309" s="41" t="str">
        <f>LEFT(клиенты!$B309,LEN(клиенты!$B309)-13)</f>
        <v>+375</v>
      </c>
      <c r="G309" s="41" t="str">
        <f>_xlfn.XLOOKUP(клиенты!$F309,'коды стран'!$B$2:$B$7,'коды стран'!$A$2:$A$7,"не найдено",0)</f>
        <v>Беларусь</v>
      </c>
      <c r="H309" s="42">
        <f>_xlfn.MAXIFS(Продажи[дата создания чека],Продажи[id клиента],A309)</f>
        <v>45420</v>
      </c>
      <c r="I309" s="59">
        <f t="shared" si="8"/>
        <v>19.482546201232033</v>
      </c>
      <c r="J309" s="41" t="str">
        <f>IF(LEN(C309) - LEN(SUBSTITUTE(C309," ",""))&lt;3,C309,RIGHT(C309,LEN(C309)-FIND(" ",клиенты!$C309,1)))</f>
        <v>Зоя Вячеславовна Панова</v>
      </c>
      <c r="K309" s="41" t="str">
        <f t="shared" si="9"/>
        <v>Зоя Вячеславовна Панова</v>
      </c>
      <c r="L309" s="41" t="str">
        <f>LEFT(клиенты!$K309,FIND(" ",клиенты!$K309,1)-1)</f>
        <v>Зоя</v>
      </c>
      <c r="M309" s="41" t="str">
        <f>MID(K309,FIND(" ",клиенты!$K309,1)+1,(FIND(" ",клиенты!$K309,FIND(" ",клиенты!$K309,1)+1)-1)-FIND(" ",клиенты!$K309,1))</f>
        <v>Вячеславовна</v>
      </c>
      <c r="N309" s="41" t="str">
        <f>RIGHT(K309,LEN(K309)-FIND(" ",клиенты!$K309,FIND(" ",клиенты!$K309,1)+1))</f>
        <v>Панова</v>
      </c>
    </row>
    <row r="310" spans="1:14" x14ac:dyDescent="0.25">
      <c r="A310" s="43">
        <v>151</v>
      </c>
      <c r="B310" s="44" t="s">
        <v>393</v>
      </c>
      <c r="C310" s="44" t="s">
        <v>392</v>
      </c>
      <c r="D310" s="44" t="s">
        <v>140</v>
      </c>
      <c r="E310" s="45">
        <v>44923</v>
      </c>
      <c r="F310" s="44" t="str">
        <f>LEFT(клиенты!$B310,LEN(клиенты!$B310)-13)</f>
        <v>+375</v>
      </c>
      <c r="G310" s="44" t="str">
        <f>_xlfn.XLOOKUP(клиенты!$F310,'коды стран'!$B$2:$B$7,'коды стран'!$A$2:$A$7,"не найдено",0)</f>
        <v>Беларусь</v>
      </c>
      <c r="H310" s="45">
        <f>_xlfn.MAXIFS(Продажи[дата создания чека],Продажи[id клиента],A310)</f>
        <v>45366</v>
      </c>
      <c r="I310" s="60">
        <f t="shared" si="8"/>
        <v>14.55441478439425</v>
      </c>
      <c r="J310" s="44" t="str">
        <f>IF(LEN(C310) - LEN(SUBSTITUTE(C310," ",""))&lt;3,C310,RIGHT(C310,LEN(C310)-FIND(" ",клиенты!$C310,1)))</f>
        <v>Лука Игнатьевич Власов</v>
      </c>
      <c r="K310" s="44" t="str">
        <f t="shared" si="9"/>
        <v>Лука Игнатьевич Власов</v>
      </c>
      <c r="L310" s="44" t="str">
        <f>LEFT(клиенты!$K310,FIND(" ",клиенты!$K310,1)-1)</f>
        <v>Лука</v>
      </c>
      <c r="M310" s="44" t="str">
        <f>MID(K310,FIND(" ",клиенты!$K310,1)+1,(FIND(" ",клиенты!$K310,FIND(" ",клиенты!$K310,1)+1)-1)-FIND(" ",клиенты!$K310,1))</f>
        <v>Игнатьевич</v>
      </c>
      <c r="N310" s="44" t="str">
        <f>RIGHT(K310,LEN(K310)-FIND(" ",клиенты!$K310,FIND(" ",клиенты!$K310,1)+1))</f>
        <v>Власов</v>
      </c>
    </row>
    <row r="311" spans="1:14" x14ac:dyDescent="0.25">
      <c r="A311" s="40">
        <v>428</v>
      </c>
      <c r="B311" s="41" t="s">
        <v>391</v>
      </c>
      <c r="C311" s="41" t="s">
        <v>390</v>
      </c>
      <c r="D311" s="41" t="s">
        <v>140</v>
      </c>
      <c r="E311" s="42">
        <v>44848</v>
      </c>
      <c r="F311" s="41" t="str">
        <f>LEFT(клиенты!$B311,LEN(клиенты!$B311)-13)</f>
        <v>+375</v>
      </c>
      <c r="G311" s="41" t="str">
        <f>_xlfn.XLOOKUP(клиенты!$F311,'коды стран'!$B$2:$B$7,'коды стран'!$A$2:$A$7,"не найдено",0)</f>
        <v>Беларусь</v>
      </c>
      <c r="H311" s="42">
        <f>_xlfn.MAXIFS(Продажи[дата создания чека],Продажи[id клиента],A311)</f>
        <v>44976</v>
      </c>
      <c r="I311" s="59">
        <f t="shared" si="8"/>
        <v>4.2053388090349078</v>
      </c>
      <c r="J311" s="41" t="str">
        <f>IF(LEN(C311) - LEN(SUBSTITUTE(C311," ",""))&lt;3,C311,RIGHT(C311,LEN(C311)-FIND(" ",клиенты!$C311,1)))</f>
        <v>Лавр Харлампович Беляков</v>
      </c>
      <c r="K311" s="41" t="str">
        <f t="shared" si="9"/>
        <v>Лавр Харлампович Беляков</v>
      </c>
      <c r="L311" s="41" t="str">
        <f>LEFT(клиенты!$K311,FIND(" ",клиенты!$K311,1)-1)</f>
        <v>Лавр</v>
      </c>
      <c r="M311" s="41" t="str">
        <f>MID(K311,FIND(" ",клиенты!$K311,1)+1,(FIND(" ",клиенты!$K311,FIND(" ",клиенты!$K311,1)+1)-1)-FIND(" ",клиенты!$K311,1))</f>
        <v>Харлампович</v>
      </c>
      <c r="N311" s="41" t="str">
        <f>RIGHT(K311,LEN(K311)-FIND(" ",клиенты!$K311,FIND(" ",клиенты!$K311,1)+1))</f>
        <v>Беляков</v>
      </c>
    </row>
    <row r="312" spans="1:14" x14ac:dyDescent="0.25">
      <c r="A312" s="43">
        <v>438</v>
      </c>
      <c r="B312" s="44" t="s">
        <v>389</v>
      </c>
      <c r="C312" s="44" t="s">
        <v>388</v>
      </c>
      <c r="D312" s="44" t="s">
        <v>143</v>
      </c>
      <c r="E312" s="45">
        <v>44693</v>
      </c>
      <c r="F312" s="44" t="str">
        <f>LEFT(клиенты!$B312,LEN(клиенты!$B312)-13)</f>
        <v>+998</v>
      </c>
      <c r="G312" s="44" t="str">
        <f>_xlfn.XLOOKUP(клиенты!$F312,'коды стран'!$B$2:$B$7,'коды стран'!$A$2:$A$7,"не найдено",0)</f>
        <v>Узбекистан</v>
      </c>
      <c r="H312" s="45">
        <f>_xlfn.MAXIFS(Продажи[дата создания чека],Продажи[id клиента],A312)</f>
        <v>45176</v>
      </c>
      <c r="I312" s="60">
        <f t="shared" si="8"/>
        <v>15.868583162217659</v>
      </c>
      <c r="J312" s="44" t="str">
        <f>IF(LEN(C312) - LEN(SUBSTITUTE(C312," ",""))&lt;3,C312,RIGHT(C312,LEN(C312)-FIND(" ",клиенты!$C312,1)))</f>
        <v>Прасковья Петровна Дементьева</v>
      </c>
      <c r="K312" s="44" t="str">
        <f t="shared" si="9"/>
        <v>Прасковья Петровна Дементьева</v>
      </c>
      <c r="L312" s="44" t="str">
        <f>LEFT(клиенты!$K312,FIND(" ",клиенты!$K312,1)-1)</f>
        <v>Прасковья</v>
      </c>
      <c r="M312" s="44" t="str">
        <f>MID(K312,FIND(" ",клиенты!$K312,1)+1,(FIND(" ",клиенты!$K312,FIND(" ",клиенты!$K312,1)+1)-1)-FIND(" ",клиенты!$K312,1))</f>
        <v>Петровна</v>
      </c>
      <c r="N312" s="44" t="str">
        <f>RIGHT(K312,LEN(K312)-FIND(" ",клиенты!$K312,FIND(" ",клиенты!$K312,1)+1))</f>
        <v>Дементьева</v>
      </c>
    </row>
    <row r="313" spans="1:14" x14ac:dyDescent="0.25">
      <c r="A313" s="40">
        <v>465</v>
      </c>
      <c r="B313" s="41" t="s">
        <v>387</v>
      </c>
      <c r="C313" s="41" t="s">
        <v>386</v>
      </c>
      <c r="D313" s="41" t="s">
        <v>140</v>
      </c>
      <c r="E313" s="42">
        <v>44671</v>
      </c>
      <c r="F313" s="41" t="str">
        <f>LEFT(клиенты!$B313,LEN(клиенты!$B313)-13)</f>
        <v>+998</v>
      </c>
      <c r="G313" s="41" t="str">
        <f>_xlfn.XLOOKUP(клиенты!$F313,'коды стран'!$B$2:$B$7,'коды стран'!$A$2:$A$7,"не найдено",0)</f>
        <v>Узбекистан</v>
      </c>
      <c r="H313" s="42">
        <f>_xlfn.MAXIFS(Продажи[дата создания чека],Продажи[id клиента],A313)</f>
        <v>45106</v>
      </c>
      <c r="I313" s="59">
        <f t="shared" si="8"/>
        <v>14.291581108829568</v>
      </c>
      <c r="J313" s="41" t="str">
        <f>IF(LEN(C313) - LEN(SUBSTITUTE(C313," ",""))&lt;3,C313,RIGHT(C313,LEN(C313)-FIND(" ",клиенты!$C313,1)))</f>
        <v>Евдокия Ефимовна Карпова</v>
      </c>
      <c r="K313" s="41" t="str">
        <f t="shared" si="9"/>
        <v>Евдокия Ефимовна Карпова</v>
      </c>
      <c r="L313" s="41" t="str">
        <f>LEFT(клиенты!$K313,FIND(" ",клиенты!$K313,1)-1)</f>
        <v>Евдокия</v>
      </c>
      <c r="M313" s="41" t="str">
        <f>MID(K313,FIND(" ",клиенты!$K313,1)+1,(FIND(" ",клиенты!$K313,FIND(" ",клиенты!$K313,1)+1)-1)-FIND(" ",клиенты!$K313,1))</f>
        <v>Ефимовна</v>
      </c>
      <c r="N313" s="41" t="str">
        <f>RIGHT(K313,LEN(K313)-FIND(" ",клиенты!$K313,FIND(" ",клиенты!$K313,1)+1))</f>
        <v>Карпова</v>
      </c>
    </row>
    <row r="314" spans="1:14" x14ac:dyDescent="0.25">
      <c r="A314" s="43">
        <v>215</v>
      </c>
      <c r="B314" s="44" t="s">
        <v>385</v>
      </c>
      <c r="C314" s="44" t="s">
        <v>384</v>
      </c>
      <c r="D314" s="44" t="s">
        <v>140</v>
      </c>
      <c r="E314" s="45">
        <v>44799</v>
      </c>
      <c r="F314" s="44" t="str">
        <f>LEFT(клиенты!$B314,LEN(клиенты!$B314)-13)</f>
        <v>+7</v>
      </c>
      <c r="G314" s="44" t="str">
        <f>_xlfn.XLOOKUP(клиенты!$F314,'коды стран'!$B$2:$B$7,'коды стран'!$A$2:$A$7,"не найдено",0)</f>
        <v>Россия</v>
      </c>
      <c r="H314" s="45">
        <f>_xlfn.MAXIFS(Продажи[дата создания чека],Продажи[id клиента],A314)</f>
        <v>45213</v>
      </c>
      <c r="I314" s="60">
        <f t="shared" si="8"/>
        <v>13.60164271047228</v>
      </c>
      <c r="J314" s="44" t="str">
        <f>IF(LEN(C314) - LEN(SUBSTITUTE(C314," ",""))&lt;3,C314,RIGHT(C314,LEN(C314)-FIND(" ",клиенты!$C314,1)))</f>
        <v>Корнил Адрианович Комиссаров</v>
      </c>
      <c r="K314" s="44" t="str">
        <f t="shared" si="9"/>
        <v>Корнил Адрианович Комиссаров</v>
      </c>
      <c r="L314" s="44" t="str">
        <f>LEFT(клиенты!$K314,FIND(" ",клиенты!$K314,1)-1)</f>
        <v>Корнил</v>
      </c>
      <c r="M314" s="44" t="str">
        <f>MID(K314,FIND(" ",клиенты!$K314,1)+1,(FIND(" ",клиенты!$K314,FIND(" ",клиенты!$K314,1)+1)-1)-FIND(" ",клиенты!$K314,1))</f>
        <v>Адрианович</v>
      </c>
      <c r="N314" s="44" t="str">
        <f>RIGHT(K314,LEN(K314)-FIND(" ",клиенты!$K314,FIND(" ",клиенты!$K314,1)+1))</f>
        <v>Комиссаров</v>
      </c>
    </row>
    <row r="315" spans="1:14" x14ac:dyDescent="0.25">
      <c r="A315" s="40">
        <v>15</v>
      </c>
      <c r="B315" s="41" t="s">
        <v>383</v>
      </c>
      <c r="C315" s="41" t="s">
        <v>382</v>
      </c>
      <c r="D315" s="41" t="s">
        <v>140</v>
      </c>
      <c r="E315" s="42">
        <v>44711</v>
      </c>
      <c r="F315" s="41" t="str">
        <f>LEFT(клиенты!$B315,LEN(клиенты!$B315)-13)</f>
        <v>+380</v>
      </c>
      <c r="G315" s="41" t="str">
        <f>_xlfn.XLOOKUP(клиенты!$F315,'коды стран'!$B$2:$B$7,'коды стран'!$A$2:$A$7,"не найдено",0)</f>
        <v>Украина</v>
      </c>
      <c r="H315" s="42">
        <f>_xlfn.MAXIFS(Продажи[дата создания чека],Продажи[id клиента],A315)</f>
        <v>45134</v>
      </c>
      <c r="I315" s="59">
        <f t="shared" si="8"/>
        <v>13.897330595482547</v>
      </c>
      <c r="J315" s="41" t="str">
        <f>IF(LEN(C315) - LEN(SUBSTITUTE(C315," ",""))&lt;3,C315,RIGHT(C315,LEN(C315)-FIND(" ",клиенты!$C315,1)))</f>
        <v>Алексей Трифонович Блинов</v>
      </c>
      <c r="K315" s="41" t="str">
        <f t="shared" si="9"/>
        <v>Алексей Трифонович Блинов</v>
      </c>
      <c r="L315" s="41" t="str">
        <f>LEFT(клиенты!$K315,FIND(" ",клиенты!$K315,1)-1)</f>
        <v>Алексей</v>
      </c>
      <c r="M315" s="41" t="str">
        <f>MID(K315,FIND(" ",клиенты!$K315,1)+1,(FIND(" ",клиенты!$K315,FIND(" ",клиенты!$K315,1)+1)-1)-FIND(" ",клиенты!$K315,1))</f>
        <v>Трифонович</v>
      </c>
      <c r="N315" s="41" t="str">
        <f>RIGHT(K315,LEN(K315)-FIND(" ",клиенты!$K315,FIND(" ",клиенты!$K315,1)+1))</f>
        <v>Блинов</v>
      </c>
    </row>
    <row r="316" spans="1:14" x14ac:dyDescent="0.25">
      <c r="A316" s="43">
        <v>370</v>
      </c>
      <c r="B316" s="44" t="s">
        <v>381</v>
      </c>
      <c r="C316" s="44" t="s">
        <v>380</v>
      </c>
      <c r="D316" s="44" t="s">
        <v>143</v>
      </c>
      <c r="E316" s="45">
        <v>44726</v>
      </c>
      <c r="F316" s="44" t="str">
        <f>LEFT(клиенты!$B316,LEN(клиенты!$B316)-13)</f>
        <v>+992</v>
      </c>
      <c r="G316" s="44" t="str">
        <f>_xlfn.XLOOKUP(клиенты!$F316,'коды стран'!$B$2:$B$7,'коды стран'!$A$2:$A$7,"не найдено",0)</f>
        <v>Таджикистан</v>
      </c>
      <c r="H316" s="45">
        <f>_xlfn.MAXIFS(Продажи[дата создания чека],Продажи[id клиента],A316)</f>
        <v>45165</v>
      </c>
      <c r="I316" s="60">
        <f t="shared" si="8"/>
        <v>14.422997946611909</v>
      </c>
      <c r="J316" s="44" t="str">
        <f>IF(LEN(C316) - LEN(SUBSTITUTE(C316," ",""))&lt;3,C316,RIGHT(C316,LEN(C316)-FIND(" ",клиенты!$C316,1)))</f>
        <v>Орехова Кира Натановна</v>
      </c>
      <c r="K316" s="44" t="str">
        <f t="shared" si="9"/>
        <v>Кира Натановна Орехова</v>
      </c>
      <c r="L316" s="44" t="str">
        <f>LEFT(клиенты!$K316,FIND(" ",клиенты!$K316,1)-1)</f>
        <v>Кира</v>
      </c>
      <c r="M316" s="44" t="str">
        <f>MID(K316,FIND(" ",клиенты!$K316,1)+1,(FIND(" ",клиенты!$K316,FIND(" ",клиенты!$K316,1)+1)-1)-FIND(" ",клиенты!$K316,1))</f>
        <v>Натановна</v>
      </c>
      <c r="N316" s="44" t="str">
        <f>RIGHT(K316,LEN(K316)-FIND(" ",клиенты!$K316,FIND(" ",клиенты!$K316,1)+1))</f>
        <v>Орехова</v>
      </c>
    </row>
    <row r="317" spans="1:14" x14ac:dyDescent="0.25">
      <c r="A317" s="40">
        <v>80</v>
      </c>
      <c r="B317" s="41" t="s">
        <v>379</v>
      </c>
      <c r="C317" s="41" t="s">
        <v>378</v>
      </c>
      <c r="D317" s="41" t="s">
        <v>140</v>
      </c>
      <c r="E317" s="42">
        <v>44623</v>
      </c>
      <c r="F317" s="41" t="str">
        <f>LEFT(клиенты!$B317,LEN(клиенты!$B317)-13)</f>
        <v>+375</v>
      </c>
      <c r="G317" s="41" t="str">
        <f>_xlfn.XLOOKUP(клиенты!$F317,'коды стран'!$B$2:$B$7,'коды стран'!$A$2:$A$7,"не найдено",0)</f>
        <v>Беларусь</v>
      </c>
      <c r="H317" s="42">
        <f>_xlfn.MAXIFS(Продажи[дата создания чека],Продажи[id клиента],A317)</f>
        <v>45408</v>
      </c>
      <c r="I317" s="59">
        <f t="shared" si="8"/>
        <v>25.790554414784395</v>
      </c>
      <c r="J317" s="41" t="str">
        <f>IF(LEN(C317) - LEN(SUBSTITUTE(C317," ",""))&lt;3,C317,RIGHT(C317,LEN(C317)-FIND(" ",клиенты!$C317,1)))</f>
        <v>Рубен Димитриевич Веселов</v>
      </c>
      <c r="K317" s="41" t="str">
        <f t="shared" si="9"/>
        <v>Рубен Димитриевич Веселов</v>
      </c>
      <c r="L317" s="41" t="str">
        <f>LEFT(клиенты!$K317,FIND(" ",клиенты!$K317,1)-1)</f>
        <v>Рубен</v>
      </c>
      <c r="M317" s="41" t="str">
        <f>MID(K317,FIND(" ",клиенты!$K317,1)+1,(FIND(" ",клиенты!$K317,FIND(" ",клиенты!$K317,1)+1)-1)-FIND(" ",клиенты!$K317,1))</f>
        <v>Димитриевич</v>
      </c>
      <c r="N317" s="41" t="str">
        <f>RIGHT(K317,LEN(K317)-FIND(" ",клиенты!$K317,FIND(" ",клиенты!$K317,1)+1))</f>
        <v>Веселов</v>
      </c>
    </row>
    <row r="318" spans="1:14" x14ac:dyDescent="0.25">
      <c r="A318" s="43">
        <v>17</v>
      </c>
      <c r="B318" s="44" t="s">
        <v>377</v>
      </c>
      <c r="C318" s="44" t="s">
        <v>376</v>
      </c>
      <c r="D318" s="44" t="s">
        <v>140</v>
      </c>
      <c r="E318" s="45">
        <v>44877</v>
      </c>
      <c r="F318" s="44" t="str">
        <f>LEFT(клиенты!$B318,LEN(клиенты!$B318)-13)</f>
        <v>+992</v>
      </c>
      <c r="G318" s="44" t="str">
        <f>_xlfn.XLOOKUP(клиенты!$F318,'коды стран'!$B$2:$B$7,'коды стран'!$A$2:$A$7,"не найдено",0)</f>
        <v>Таджикистан</v>
      </c>
      <c r="H318" s="45">
        <f>_xlfn.MAXIFS(Продажи[дата создания чека],Продажи[id клиента],A318)</f>
        <v>45288</v>
      </c>
      <c r="I318" s="60">
        <f t="shared" si="8"/>
        <v>13.503080082135524</v>
      </c>
      <c r="J318" s="44" t="str">
        <f>IF(LEN(C318) - LEN(SUBSTITUTE(C318," ",""))&lt;3,C318,RIGHT(C318,LEN(C318)-FIND(" ",клиенты!$C318,1)))</f>
        <v>Валентина Кирилловна Семенова</v>
      </c>
      <c r="K318" s="44" t="str">
        <f t="shared" si="9"/>
        <v>Валентина Кирилловна Семенова</v>
      </c>
      <c r="L318" s="44" t="str">
        <f>LEFT(клиенты!$K318,FIND(" ",клиенты!$K318,1)-1)</f>
        <v>Валентина</v>
      </c>
      <c r="M318" s="44" t="str">
        <f>MID(K318,FIND(" ",клиенты!$K318,1)+1,(FIND(" ",клиенты!$K318,FIND(" ",клиенты!$K318,1)+1)-1)-FIND(" ",клиенты!$K318,1))</f>
        <v>Кирилловна</v>
      </c>
      <c r="N318" s="44" t="str">
        <f>RIGHT(K318,LEN(K318)-FIND(" ",клиенты!$K318,FIND(" ",клиенты!$K318,1)+1))</f>
        <v>Семенова</v>
      </c>
    </row>
    <row r="319" spans="1:14" x14ac:dyDescent="0.25">
      <c r="A319" s="40">
        <v>127</v>
      </c>
      <c r="B319" s="41" t="s">
        <v>375</v>
      </c>
      <c r="C319" s="41" t="s">
        <v>374</v>
      </c>
      <c r="D319" s="41" t="s">
        <v>140</v>
      </c>
      <c r="E319" s="42">
        <v>44914</v>
      </c>
      <c r="F319" s="41" t="str">
        <f>LEFT(клиенты!$B319,LEN(клиенты!$B319)-13)</f>
        <v>+380</v>
      </c>
      <c r="G319" s="41" t="str">
        <f>_xlfn.XLOOKUP(клиенты!$F319,'коды стран'!$B$2:$B$7,'коды стран'!$A$2:$A$7,"не найдено",0)</f>
        <v>Украина</v>
      </c>
      <c r="H319" s="42">
        <f>_xlfn.MAXIFS(Продажи[дата создания чека],Продажи[id клиента],A319)</f>
        <v>45304</v>
      </c>
      <c r="I319" s="59">
        <f t="shared" si="8"/>
        <v>12.813141683778234</v>
      </c>
      <c r="J319" s="41" t="str">
        <f>IF(LEN(C319) - LEN(SUBSTITUTE(C319," ",""))&lt;3,C319,RIGHT(C319,LEN(C319)-FIND(" ",клиенты!$C319,1)))</f>
        <v>Журавлев Аристарх Евсеевич</v>
      </c>
      <c r="K319" s="41" t="str">
        <f t="shared" si="9"/>
        <v>Аристарх Евсеевич Журавлев</v>
      </c>
      <c r="L319" s="41" t="str">
        <f>LEFT(клиенты!$K319,FIND(" ",клиенты!$K319,1)-1)</f>
        <v>Аристарх</v>
      </c>
      <c r="M319" s="41" t="str">
        <f>MID(K319,FIND(" ",клиенты!$K319,1)+1,(FIND(" ",клиенты!$K319,FIND(" ",клиенты!$K319,1)+1)-1)-FIND(" ",клиенты!$K319,1))</f>
        <v>Евсеевич</v>
      </c>
      <c r="N319" s="41" t="str">
        <f>RIGHT(K319,LEN(K319)-FIND(" ",клиенты!$K319,FIND(" ",клиенты!$K319,1)+1))</f>
        <v>Журавлев</v>
      </c>
    </row>
    <row r="320" spans="1:14" x14ac:dyDescent="0.25">
      <c r="A320" s="43">
        <v>441</v>
      </c>
      <c r="B320" s="44" t="s">
        <v>373</v>
      </c>
      <c r="C320" s="44" t="s">
        <v>372</v>
      </c>
      <c r="D320" s="44" t="s">
        <v>140</v>
      </c>
      <c r="E320" s="45">
        <v>44867</v>
      </c>
      <c r="F320" s="44" t="str">
        <f>LEFT(клиенты!$B320,LEN(клиенты!$B320)-13)</f>
        <v>+998</v>
      </c>
      <c r="G320" s="44" t="str">
        <f>_xlfn.XLOOKUP(клиенты!$F320,'коды стран'!$B$2:$B$7,'коды стран'!$A$2:$A$7,"не найдено",0)</f>
        <v>Узбекистан</v>
      </c>
      <c r="H320" s="45">
        <f>_xlfn.MAXIFS(Продажи[дата создания чека],Продажи[id клиента],A320)</f>
        <v>45389</v>
      </c>
      <c r="I320" s="60">
        <f t="shared" si="8"/>
        <v>17.149897330595483</v>
      </c>
      <c r="J320" s="44" t="str">
        <f>IF(LEN(C320) - LEN(SUBSTITUTE(C320," ",""))&lt;3,C320,RIGHT(C320,LEN(C320)-FIND(" ",клиенты!$C320,1)))</f>
        <v>Силина Татьяна Аркадьевна</v>
      </c>
      <c r="K320" s="44" t="str">
        <f t="shared" si="9"/>
        <v>Татьяна Аркадьевна Силина</v>
      </c>
      <c r="L320" s="44" t="str">
        <f>LEFT(клиенты!$K320,FIND(" ",клиенты!$K320,1)-1)</f>
        <v>Татьяна</v>
      </c>
      <c r="M320" s="44" t="str">
        <f>MID(K320,FIND(" ",клиенты!$K320,1)+1,(FIND(" ",клиенты!$K320,FIND(" ",клиенты!$K320,1)+1)-1)-FIND(" ",клиенты!$K320,1))</f>
        <v>Аркадьевна</v>
      </c>
      <c r="N320" s="44" t="str">
        <f>RIGHT(K320,LEN(K320)-FIND(" ",клиенты!$K320,FIND(" ",клиенты!$K320,1)+1))</f>
        <v>Силина</v>
      </c>
    </row>
    <row r="321" spans="1:14" x14ac:dyDescent="0.25">
      <c r="A321" s="40">
        <v>220</v>
      </c>
      <c r="B321" s="41" t="s">
        <v>371</v>
      </c>
      <c r="C321" s="41" t="s">
        <v>370</v>
      </c>
      <c r="D321" s="41" t="s">
        <v>140</v>
      </c>
      <c r="E321" s="42">
        <v>44570</v>
      </c>
      <c r="F321" s="41" t="str">
        <f>LEFT(клиенты!$B321,LEN(клиенты!$B321)-13)</f>
        <v>+380</v>
      </c>
      <c r="G321" s="41" t="str">
        <f>_xlfn.XLOOKUP(клиенты!$F321,'коды стран'!$B$2:$B$7,'коды стран'!$A$2:$A$7,"не найдено",0)</f>
        <v>Украина</v>
      </c>
      <c r="H321" s="42">
        <f>_xlfn.MAXIFS(Продажи[дата создания чека],Продажи[id клиента],A321)</f>
        <v>45078</v>
      </c>
      <c r="I321" s="59">
        <f t="shared" si="8"/>
        <v>16.689938398357288</v>
      </c>
      <c r="J321" s="41" t="str">
        <f>IF(LEN(C321) - LEN(SUBSTITUTE(C321," ",""))&lt;3,C321,RIGHT(C321,LEN(C321)-FIND(" ",клиенты!$C321,1)))</f>
        <v>Николай Феоктистович Дроздов</v>
      </c>
      <c r="K321" s="41" t="str">
        <f t="shared" si="9"/>
        <v>Николай Феоктистович Дроздов</v>
      </c>
      <c r="L321" s="41" t="str">
        <f>LEFT(клиенты!$K321,FIND(" ",клиенты!$K321,1)-1)</f>
        <v>Николай</v>
      </c>
      <c r="M321" s="41" t="str">
        <f>MID(K321,FIND(" ",клиенты!$K321,1)+1,(FIND(" ",клиенты!$K321,FIND(" ",клиенты!$K321,1)+1)-1)-FIND(" ",клиенты!$K321,1))</f>
        <v>Феоктистович</v>
      </c>
      <c r="N321" s="41" t="str">
        <f>RIGHT(K321,LEN(K321)-FIND(" ",клиенты!$K321,FIND(" ",клиенты!$K321,1)+1))</f>
        <v>Дроздов</v>
      </c>
    </row>
    <row r="322" spans="1:14" x14ac:dyDescent="0.25">
      <c r="A322" s="43">
        <v>206</v>
      </c>
      <c r="B322" s="44" t="s">
        <v>369</v>
      </c>
      <c r="C322" s="44" t="s">
        <v>368</v>
      </c>
      <c r="D322" s="44" t="s">
        <v>140</v>
      </c>
      <c r="E322" s="45">
        <v>44568</v>
      </c>
      <c r="F322" s="44" t="str">
        <f>LEFT(клиенты!$B322,LEN(клиенты!$B322)-13)</f>
        <v>+7</v>
      </c>
      <c r="G322" s="44" t="str">
        <f>_xlfn.XLOOKUP(клиенты!$F322,'коды стран'!$B$2:$B$7,'коды стран'!$A$2:$A$7,"не найдено",0)</f>
        <v>Россия</v>
      </c>
      <c r="H322" s="45">
        <f>_xlfn.MAXIFS(Продажи[дата создания чека],Продажи[id клиента],A322)</f>
        <v>45069</v>
      </c>
      <c r="I322" s="60">
        <f t="shared" si="8"/>
        <v>16.459958932238195</v>
      </c>
      <c r="J322" s="44" t="str">
        <f>IF(LEN(C322) - LEN(SUBSTITUTE(C322," ",""))&lt;3,C322,RIGHT(C322,LEN(C322)-FIND(" ",клиенты!$C322,1)))</f>
        <v>Радислав Герасимович Колобов</v>
      </c>
      <c r="K322" s="44" t="str">
        <f t="shared" si="9"/>
        <v>Радислав Герасимович Колобов</v>
      </c>
      <c r="L322" s="44" t="str">
        <f>LEFT(клиенты!$K322,FIND(" ",клиенты!$K322,1)-1)</f>
        <v>Радислав</v>
      </c>
      <c r="M322" s="44" t="str">
        <f>MID(K322,FIND(" ",клиенты!$K322,1)+1,(FIND(" ",клиенты!$K322,FIND(" ",клиенты!$K322,1)+1)-1)-FIND(" ",клиенты!$K322,1))</f>
        <v>Герасимович</v>
      </c>
      <c r="N322" s="44" t="str">
        <f>RIGHT(K322,LEN(K322)-FIND(" ",клиенты!$K322,FIND(" ",клиенты!$K322,1)+1))</f>
        <v>Колобов</v>
      </c>
    </row>
    <row r="323" spans="1:14" x14ac:dyDescent="0.25">
      <c r="A323" s="40">
        <v>210</v>
      </c>
      <c r="B323" s="41" t="s">
        <v>367</v>
      </c>
      <c r="C323" s="41" t="s">
        <v>366</v>
      </c>
      <c r="D323" s="41" t="s">
        <v>140</v>
      </c>
      <c r="E323" s="42">
        <v>44602</v>
      </c>
      <c r="F323" s="41" t="str">
        <f>LEFT(клиенты!$B323,LEN(клиенты!$B323)-13)</f>
        <v>+998</v>
      </c>
      <c r="G323" s="41" t="str">
        <f>_xlfn.XLOOKUP(клиенты!$F323,'коды стран'!$B$2:$B$7,'коды стран'!$A$2:$A$7,"не найдено",0)</f>
        <v>Узбекистан</v>
      </c>
      <c r="H323" s="42">
        <f>_xlfn.MAXIFS(Продажи[дата создания чека],Продажи[id клиента],A323)</f>
        <v>45382</v>
      </c>
      <c r="I323" s="59">
        <f t="shared" ref="I323:I386" si="10">IFERROR((H323-E323)/30.4375,0)</f>
        <v>25.626283367556468</v>
      </c>
      <c r="J323" s="41" t="str">
        <f>IF(LEN(C323) - LEN(SUBSTITUTE(C323," ",""))&lt;3,C323,RIGHT(C323,LEN(C323)-FIND(" ",клиенты!$C323,1)))</f>
        <v>Мартын Августович Баранов</v>
      </c>
      <c r="K323" s="41" t="str">
        <f t="shared" ref="K323:K386" si="11">IF(OR(
    RIGHT(MID(C323,FIND(" ",C323)+1,FIND(" ",C323,FIND(" ",C323)+1)-FIND(" ",C323)-1),2)="ич",
    RIGHT(MID(C323,FIND(" ",C323)+1,FIND(" ",C323,FIND(" ",C323)+1)-FIND(" ",C323)-1),3)="вна",
    RIGHT(MID(C323,FIND(" ",C323)+1,FIND(" ",C323,FIND(" ",C323)+1)-FIND(" ",C323)-1),3)="чна"
),
C323,
MID(C323,FIND(" ",C323)+1,FIND(" ",C323,FIND(" ",C323)+1)-FIND(" ",C323)-1)&amp;" "&amp;
RIGHT(C323,LEN(C323)-FIND("☐",SUBSTITUTE(C323," ","☐",2)))&amp;" "&amp;
LEFT(C323,FIND(" ",C323)-1)
)</f>
        <v>Мартын Августович Баранов</v>
      </c>
      <c r="L323" s="41" t="str">
        <f>LEFT(клиенты!$K323,FIND(" ",клиенты!$K323,1)-1)</f>
        <v>Мартын</v>
      </c>
      <c r="M323" s="41" t="str">
        <f>MID(K323,FIND(" ",клиенты!$K323,1)+1,(FIND(" ",клиенты!$K323,FIND(" ",клиенты!$K323,1)+1)-1)-FIND(" ",клиенты!$K323,1))</f>
        <v>Августович</v>
      </c>
      <c r="N323" s="41" t="str">
        <f>RIGHT(K323,LEN(K323)-FIND(" ",клиенты!$K323,FIND(" ",клиенты!$K323,1)+1))</f>
        <v>Баранов</v>
      </c>
    </row>
    <row r="324" spans="1:14" x14ac:dyDescent="0.25">
      <c r="A324" s="43">
        <v>67</v>
      </c>
      <c r="B324" s="44" t="s">
        <v>365</v>
      </c>
      <c r="C324" s="44" t="s">
        <v>364</v>
      </c>
      <c r="D324" s="44" t="s">
        <v>143</v>
      </c>
      <c r="E324" s="45">
        <v>44731</v>
      </c>
      <c r="F324" s="44" t="str">
        <f>LEFT(клиенты!$B324,LEN(клиенты!$B324)-13)</f>
        <v>+998</v>
      </c>
      <c r="G324" s="44" t="str">
        <f>_xlfn.XLOOKUP(клиенты!$F324,'коды стран'!$B$2:$B$7,'коды стран'!$A$2:$A$7,"не найдено",0)</f>
        <v>Узбекистан</v>
      </c>
      <c r="H324" s="45">
        <f>_xlfn.MAXIFS(Продажи[дата создания чека],Продажи[id клиента],A324)</f>
        <v>45317</v>
      </c>
      <c r="I324" s="60">
        <f t="shared" si="10"/>
        <v>19.252566735112936</v>
      </c>
      <c r="J324" s="44" t="str">
        <f>IF(LEN(C324) - LEN(SUBSTITUTE(C324," ",""))&lt;3,C324,RIGHT(C324,LEN(C324)-FIND(" ",клиенты!$C324,1)))</f>
        <v>Алла Геннадьевна Фомина</v>
      </c>
      <c r="K324" s="44" t="str">
        <f t="shared" si="11"/>
        <v>Алла Геннадьевна Фомина</v>
      </c>
      <c r="L324" s="44" t="str">
        <f>LEFT(клиенты!$K324,FIND(" ",клиенты!$K324,1)-1)</f>
        <v>Алла</v>
      </c>
      <c r="M324" s="44" t="str">
        <f>MID(K324,FIND(" ",клиенты!$K324,1)+1,(FIND(" ",клиенты!$K324,FIND(" ",клиенты!$K324,1)+1)-1)-FIND(" ",клиенты!$K324,1))</f>
        <v>Геннадьевна</v>
      </c>
      <c r="N324" s="44" t="str">
        <f>RIGHT(K324,LEN(K324)-FIND(" ",клиенты!$K324,FIND(" ",клиенты!$K324,1)+1))</f>
        <v>Фомина</v>
      </c>
    </row>
    <row r="325" spans="1:14" x14ac:dyDescent="0.25">
      <c r="A325" s="40">
        <v>125</v>
      </c>
      <c r="B325" s="41" t="s">
        <v>363</v>
      </c>
      <c r="C325" s="41" t="s">
        <v>362</v>
      </c>
      <c r="D325" s="41" t="s">
        <v>140</v>
      </c>
      <c r="E325" s="42">
        <v>44701</v>
      </c>
      <c r="F325" s="41" t="str">
        <f>LEFT(клиенты!$B325,LEN(клиенты!$B325)-13)</f>
        <v>+7</v>
      </c>
      <c r="G325" s="41" t="str">
        <f>_xlfn.XLOOKUP(клиенты!$F325,'коды стран'!$B$2:$B$7,'коды стран'!$A$2:$A$7,"не найдено",0)</f>
        <v>Россия</v>
      </c>
      <c r="H325" s="42">
        <f>_xlfn.MAXIFS(Продажи[дата создания чека],Продажи[id клиента],A325)</f>
        <v>45296</v>
      </c>
      <c r="I325" s="59">
        <f t="shared" si="10"/>
        <v>19.548254620123203</v>
      </c>
      <c r="J325" s="41" t="str">
        <f>IF(LEN(C325) - LEN(SUBSTITUTE(C325," ",""))&lt;3,C325,RIGHT(C325,LEN(C325)-FIND(" ",клиенты!$C325,1)))</f>
        <v>Копылова Эмилия Тарасовна</v>
      </c>
      <c r="K325" s="41" t="str">
        <f t="shared" si="11"/>
        <v>Эмилия Тарасовна Копылова</v>
      </c>
      <c r="L325" s="41" t="str">
        <f>LEFT(клиенты!$K325,FIND(" ",клиенты!$K325,1)-1)</f>
        <v>Эмилия</v>
      </c>
      <c r="M325" s="41" t="str">
        <f>MID(K325,FIND(" ",клиенты!$K325,1)+1,(FIND(" ",клиенты!$K325,FIND(" ",клиенты!$K325,1)+1)-1)-FIND(" ",клиенты!$K325,1))</f>
        <v>Тарасовна</v>
      </c>
      <c r="N325" s="41" t="str">
        <f>RIGHT(K325,LEN(K325)-FIND(" ",клиенты!$K325,FIND(" ",клиенты!$K325,1)+1))</f>
        <v>Копылова</v>
      </c>
    </row>
    <row r="326" spans="1:14" x14ac:dyDescent="0.25">
      <c r="A326" s="43">
        <v>213</v>
      </c>
      <c r="B326" s="44" t="s">
        <v>361</v>
      </c>
      <c r="C326" s="44" t="s">
        <v>360</v>
      </c>
      <c r="D326" s="44" t="s">
        <v>140</v>
      </c>
      <c r="E326" s="45">
        <v>44733</v>
      </c>
      <c r="F326" s="44" t="str">
        <f>LEFT(клиенты!$B326,LEN(клиенты!$B326)-13)</f>
        <v>+998</v>
      </c>
      <c r="G326" s="44" t="str">
        <f>_xlfn.XLOOKUP(клиенты!$F326,'коды стран'!$B$2:$B$7,'коды стран'!$A$2:$A$7,"не найдено",0)</f>
        <v>Узбекистан</v>
      </c>
      <c r="H326" s="45">
        <f>_xlfn.MAXIFS(Продажи[дата создания чека],Продажи[id клиента],A326)</f>
        <v>45171</v>
      </c>
      <c r="I326" s="60">
        <f t="shared" si="10"/>
        <v>14.390143737166325</v>
      </c>
      <c r="J326" s="44" t="str">
        <f>IF(LEN(C326) - LEN(SUBSTITUTE(C326," ",""))&lt;3,C326,RIGHT(C326,LEN(C326)-FIND(" ",клиенты!$C326,1)))</f>
        <v>Власов Адриан Чеславович</v>
      </c>
      <c r="K326" s="44" t="str">
        <f t="shared" si="11"/>
        <v>Адриан Чеславович Власов</v>
      </c>
      <c r="L326" s="44" t="str">
        <f>LEFT(клиенты!$K326,FIND(" ",клиенты!$K326,1)-1)</f>
        <v>Адриан</v>
      </c>
      <c r="M326" s="44" t="str">
        <f>MID(K326,FIND(" ",клиенты!$K326,1)+1,(FIND(" ",клиенты!$K326,FIND(" ",клиенты!$K326,1)+1)-1)-FIND(" ",клиенты!$K326,1))</f>
        <v>Чеславович</v>
      </c>
      <c r="N326" s="44" t="str">
        <f>RIGHT(K326,LEN(K326)-FIND(" ",клиенты!$K326,FIND(" ",клиенты!$K326,1)+1))</f>
        <v>Власов</v>
      </c>
    </row>
    <row r="327" spans="1:14" x14ac:dyDescent="0.25">
      <c r="A327" s="40">
        <v>336</v>
      </c>
      <c r="B327" s="41" t="s">
        <v>359</v>
      </c>
      <c r="C327" s="41" t="s">
        <v>358</v>
      </c>
      <c r="D327" s="41" t="s">
        <v>140</v>
      </c>
      <c r="E327" s="42">
        <v>44856</v>
      </c>
      <c r="F327" s="41" t="str">
        <f>LEFT(клиенты!$B327,LEN(клиенты!$B327)-13)</f>
        <v>+998</v>
      </c>
      <c r="G327" s="41" t="str">
        <f>_xlfn.XLOOKUP(клиенты!$F327,'коды стран'!$B$2:$B$7,'коды стран'!$A$2:$A$7,"не найдено",0)</f>
        <v>Узбекистан</v>
      </c>
      <c r="H327" s="42">
        <f>_xlfn.MAXIFS(Продажи[дата создания чека],Продажи[id клиента],A327)</f>
        <v>45407</v>
      </c>
      <c r="I327" s="59">
        <f t="shared" si="10"/>
        <v>18.102669404517453</v>
      </c>
      <c r="J327" s="41" t="str">
        <f>IF(LEN(C327) - LEN(SUBSTITUTE(C327," ",""))&lt;3,C327,RIGHT(C327,LEN(C327)-FIND(" ",клиенты!$C327,1)))</f>
        <v>Григорьева Ульяна Артемовна</v>
      </c>
      <c r="K327" s="41" t="str">
        <f t="shared" si="11"/>
        <v>Ульяна Артемовна Григорьева</v>
      </c>
      <c r="L327" s="41" t="str">
        <f>LEFT(клиенты!$K327,FIND(" ",клиенты!$K327,1)-1)</f>
        <v>Ульяна</v>
      </c>
      <c r="M327" s="41" t="str">
        <f>MID(K327,FIND(" ",клиенты!$K327,1)+1,(FIND(" ",клиенты!$K327,FIND(" ",клиенты!$K327,1)+1)-1)-FIND(" ",клиенты!$K327,1))</f>
        <v>Артемовна</v>
      </c>
      <c r="N327" s="41" t="str">
        <f>RIGHT(K327,LEN(K327)-FIND(" ",клиенты!$K327,FIND(" ",клиенты!$K327,1)+1))</f>
        <v>Григорьева</v>
      </c>
    </row>
    <row r="328" spans="1:14" x14ac:dyDescent="0.25">
      <c r="A328" s="43">
        <v>294</v>
      </c>
      <c r="B328" s="44" t="s">
        <v>357</v>
      </c>
      <c r="C328" s="44" t="s">
        <v>356</v>
      </c>
      <c r="D328" s="44" t="s">
        <v>143</v>
      </c>
      <c r="E328" s="45">
        <v>44879</v>
      </c>
      <c r="F328" s="44" t="str">
        <f>LEFT(клиенты!$B328,LEN(клиенты!$B328)-13)</f>
        <v>+380</v>
      </c>
      <c r="G328" s="44" t="str">
        <f>_xlfn.XLOOKUP(клиенты!$F328,'коды стран'!$B$2:$B$7,'коды стран'!$A$2:$A$7,"не найдено",0)</f>
        <v>Украина</v>
      </c>
      <c r="H328" s="45">
        <f>_xlfn.MAXIFS(Продажи[дата создания чека],Продажи[id клиента],A328)</f>
        <v>45284</v>
      </c>
      <c r="I328" s="60">
        <f t="shared" si="10"/>
        <v>13.305954825462011</v>
      </c>
      <c r="J328" s="44" t="str">
        <f>IF(LEN(C328) - LEN(SUBSTITUTE(C328," ",""))&lt;3,C328,RIGHT(C328,LEN(C328)-FIND(" ",клиенты!$C328,1)))</f>
        <v>Давыд Филатович Мухин</v>
      </c>
      <c r="K328" s="44" t="str">
        <f t="shared" si="11"/>
        <v>Давыд Филатович Мухин</v>
      </c>
      <c r="L328" s="44" t="str">
        <f>LEFT(клиенты!$K328,FIND(" ",клиенты!$K328,1)-1)</f>
        <v>Давыд</v>
      </c>
      <c r="M328" s="44" t="str">
        <f>MID(K328,FIND(" ",клиенты!$K328,1)+1,(FIND(" ",клиенты!$K328,FIND(" ",клиенты!$K328,1)+1)-1)-FIND(" ",клиенты!$K328,1))</f>
        <v>Филатович</v>
      </c>
      <c r="N328" s="44" t="str">
        <f>RIGHT(K328,LEN(K328)-FIND(" ",клиенты!$K328,FIND(" ",клиенты!$K328,1)+1))</f>
        <v>Мухин</v>
      </c>
    </row>
    <row r="329" spans="1:14" x14ac:dyDescent="0.25">
      <c r="A329" s="40">
        <v>27</v>
      </c>
      <c r="B329" s="41" t="s">
        <v>355</v>
      </c>
      <c r="C329" s="41" t="s">
        <v>354</v>
      </c>
      <c r="D329" s="41" t="s">
        <v>140</v>
      </c>
      <c r="E329" s="42">
        <v>44586</v>
      </c>
      <c r="F329" s="41" t="str">
        <f>LEFT(клиенты!$B329,LEN(клиенты!$B329)-13)</f>
        <v>+380</v>
      </c>
      <c r="G329" s="41" t="str">
        <f>_xlfn.XLOOKUP(клиенты!$F329,'коды стран'!$B$2:$B$7,'коды стран'!$A$2:$A$7,"не найдено",0)</f>
        <v>Украина</v>
      </c>
      <c r="H329" s="42">
        <f>_xlfn.MAXIFS(Продажи[дата создания чека],Продажи[id клиента],A329)</f>
        <v>45193</v>
      </c>
      <c r="I329" s="59">
        <f t="shared" si="10"/>
        <v>19.942505133470227</v>
      </c>
      <c r="J329" s="41" t="str">
        <f>IF(LEN(C329) - LEN(SUBSTITUTE(C329," ",""))&lt;3,C329,RIGHT(C329,LEN(C329)-FIND(" ",клиенты!$C329,1)))</f>
        <v>Аггей Валентинович Артемьев</v>
      </c>
      <c r="K329" s="41" t="str">
        <f t="shared" si="11"/>
        <v>Аггей Валентинович Артемьев</v>
      </c>
      <c r="L329" s="41" t="str">
        <f>LEFT(клиенты!$K329,FIND(" ",клиенты!$K329,1)-1)</f>
        <v>Аггей</v>
      </c>
      <c r="M329" s="41" t="str">
        <f>MID(K329,FIND(" ",клиенты!$K329,1)+1,(FIND(" ",клиенты!$K329,FIND(" ",клиенты!$K329,1)+1)-1)-FIND(" ",клиенты!$K329,1))</f>
        <v>Валентинович</v>
      </c>
      <c r="N329" s="41" t="str">
        <f>RIGHT(K329,LEN(K329)-FIND(" ",клиенты!$K329,FIND(" ",клиенты!$K329,1)+1))</f>
        <v>Артемьев</v>
      </c>
    </row>
    <row r="330" spans="1:14" x14ac:dyDescent="0.25">
      <c r="A330" s="43">
        <v>53</v>
      </c>
      <c r="B330" s="44" t="s">
        <v>353</v>
      </c>
      <c r="C330" s="44" t="s">
        <v>352</v>
      </c>
      <c r="D330" s="44" t="s">
        <v>140</v>
      </c>
      <c r="E330" s="45">
        <v>44593</v>
      </c>
      <c r="F330" s="44" t="str">
        <f>LEFT(клиенты!$B330,LEN(клиенты!$B330)-13)</f>
        <v>+7</v>
      </c>
      <c r="G330" s="44" t="str">
        <f>_xlfn.XLOOKUP(клиенты!$F330,'коды стран'!$B$2:$B$7,'коды стран'!$A$2:$A$7,"не найдено",0)</f>
        <v>Россия</v>
      </c>
      <c r="H330" s="45">
        <f>_xlfn.MAXIFS(Продажи[дата создания чека],Продажи[id клиента],A330)</f>
        <v>45148</v>
      </c>
      <c r="I330" s="60">
        <f t="shared" si="10"/>
        <v>18.234086242299796</v>
      </c>
      <c r="J330" s="44" t="str">
        <f>IF(LEN(C330) - LEN(SUBSTITUTE(C330," ",""))&lt;3,C330,RIGHT(C330,LEN(C330)-FIND(" ",клиенты!$C330,1)))</f>
        <v>Антонина Борисовна Жданова</v>
      </c>
      <c r="K330" s="44" t="str">
        <f t="shared" si="11"/>
        <v>Антонина Борисовна Жданова</v>
      </c>
      <c r="L330" s="44" t="str">
        <f>LEFT(клиенты!$K330,FIND(" ",клиенты!$K330,1)-1)</f>
        <v>Антонина</v>
      </c>
      <c r="M330" s="44" t="str">
        <f>MID(K330,FIND(" ",клиенты!$K330,1)+1,(FIND(" ",клиенты!$K330,FIND(" ",клиенты!$K330,1)+1)-1)-FIND(" ",клиенты!$K330,1))</f>
        <v>Борисовна</v>
      </c>
      <c r="N330" s="44" t="str">
        <f>RIGHT(K330,LEN(K330)-FIND(" ",клиенты!$K330,FIND(" ",клиенты!$K330,1)+1))</f>
        <v>Жданова</v>
      </c>
    </row>
    <row r="331" spans="1:14" x14ac:dyDescent="0.25">
      <c r="A331" s="40">
        <v>143</v>
      </c>
      <c r="B331" s="41" t="s">
        <v>351</v>
      </c>
      <c r="C331" s="41" t="s">
        <v>350</v>
      </c>
      <c r="D331" s="41" t="s">
        <v>140</v>
      </c>
      <c r="E331" s="42">
        <v>44601</v>
      </c>
      <c r="F331" s="41" t="str">
        <f>LEFT(клиенты!$B331,LEN(клиенты!$B331)-13)</f>
        <v>+7</v>
      </c>
      <c r="G331" s="41" t="str">
        <f>_xlfn.XLOOKUP(клиенты!$F331,'коды стран'!$B$2:$B$7,'коды стран'!$A$2:$A$7,"не найдено",0)</f>
        <v>Россия</v>
      </c>
      <c r="H331" s="42">
        <f>_xlfn.MAXIFS(Продажи[дата создания чека],Продажи[id клиента],A331)</f>
        <v>45117</v>
      </c>
      <c r="I331" s="59">
        <f t="shared" si="10"/>
        <v>16.95277207392197</v>
      </c>
      <c r="J331" s="41" t="str">
        <f>IF(LEN(C331) - LEN(SUBSTITUTE(C331," ",""))&lt;3,C331,RIGHT(C331,LEN(C331)-FIND(" ",клиенты!$C331,1)))</f>
        <v>Маслов Захар Феофанович</v>
      </c>
      <c r="K331" s="41" t="str">
        <f t="shared" si="11"/>
        <v>Захар Феофанович Маслов</v>
      </c>
      <c r="L331" s="41" t="str">
        <f>LEFT(клиенты!$K331,FIND(" ",клиенты!$K331,1)-1)</f>
        <v>Захар</v>
      </c>
      <c r="M331" s="41" t="str">
        <f>MID(K331,FIND(" ",клиенты!$K331,1)+1,(FIND(" ",клиенты!$K331,FIND(" ",клиенты!$K331,1)+1)-1)-FIND(" ",клиенты!$K331,1))</f>
        <v>Феофанович</v>
      </c>
      <c r="N331" s="41" t="str">
        <f>RIGHT(K331,LEN(K331)-FIND(" ",клиенты!$K331,FIND(" ",клиенты!$K331,1)+1))</f>
        <v>Маслов</v>
      </c>
    </row>
    <row r="332" spans="1:14" x14ac:dyDescent="0.25">
      <c r="A332" s="43">
        <v>135</v>
      </c>
      <c r="B332" s="44" t="s">
        <v>349</v>
      </c>
      <c r="C332" s="44" t="s">
        <v>348</v>
      </c>
      <c r="D332" s="44" t="s">
        <v>143</v>
      </c>
      <c r="E332" s="45">
        <v>44602</v>
      </c>
      <c r="F332" s="44" t="str">
        <f>LEFT(клиенты!$B332,LEN(клиенты!$B332)-13)</f>
        <v>+7</v>
      </c>
      <c r="G332" s="44" t="str">
        <f>_xlfn.XLOOKUP(клиенты!$F332,'коды стран'!$B$2:$B$7,'коды стран'!$A$2:$A$7,"не найдено",0)</f>
        <v>Россия</v>
      </c>
      <c r="H332" s="45">
        <f>_xlfn.MAXIFS(Продажи[дата создания чека],Продажи[id клиента],A332)</f>
        <v>45369</v>
      </c>
      <c r="I332" s="60">
        <f t="shared" si="10"/>
        <v>25.199178644763862</v>
      </c>
      <c r="J332" s="44" t="str">
        <f>IF(LEN(C332) - LEN(SUBSTITUTE(C332," ",""))&lt;3,C332,RIGHT(C332,LEN(C332)-FIND(" ",клиенты!$C332,1)))</f>
        <v>Станислав Ильясович Ширяев</v>
      </c>
      <c r="K332" s="44" t="str">
        <f t="shared" si="11"/>
        <v>Станислав Ильясович Ширяев</v>
      </c>
      <c r="L332" s="44" t="str">
        <f>LEFT(клиенты!$K332,FIND(" ",клиенты!$K332,1)-1)</f>
        <v>Станислав</v>
      </c>
      <c r="M332" s="44" t="str">
        <f>MID(K332,FIND(" ",клиенты!$K332,1)+1,(FIND(" ",клиенты!$K332,FIND(" ",клиенты!$K332,1)+1)-1)-FIND(" ",клиенты!$K332,1))</f>
        <v>Ильясович</v>
      </c>
      <c r="N332" s="44" t="str">
        <f>RIGHT(K332,LEN(K332)-FIND(" ",клиенты!$K332,FIND(" ",клиенты!$K332,1)+1))</f>
        <v>Ширяев</v>
      </c>
    </row>
    <row r="333" spans="1:14" x14ac:dyDescent="0.25">
      <c r="A333" s="40">
        <v>279</v>
      </c>
      <c r="B333" s="41" t="s">
        <v>347</v>
      </c>
      <c r="C333" s="41" t="s">
        <v>346</v>
      </c>
      <c r="D333" s="41" t="s">
        <v>143</v>
      </c>
      <c r="E333" s="42">
        <v>44786</v>
      </c>
      <c r="F333" s="41" t="str">
        <f>LEFT(клиенты!$B333,LEN(клиенты!$B333)-13)</f>
        <v>+998</v>
      </c>
      <c r="G333" s="41" t="str">
        <f>_xlfn.XLOOKUP(клиенты!$F333,'коды стран'!$B$2:$B$7,'коды стран'!$A$2:$A$7,"не найдено",0)</f>
        <v>Узбекистан</v>
      </c>
      <c r="H333" s="42">
        <f>_xlfn.MAXIFS(Продажи[дата создания чека],Продажи[id клиента],A333)</f>
        <v>45303</v>
      </c>
      <c r="I333" s="59">
        <f t="shared" si="10"/>
        <v>16.985626283367555</v>
      </c>
      <c r="J333" s="41" t="str">
        <f>IF(LEN(C333) - LEN(SUBSTITUTE(C333," ",""))&lt;3,C333,RIGHT(C333,LEN(C333)-FIND(" ",клиенты!$C333,1)))</f>
        <v>Наталья Геннадьевна Колесникова</v>
      </c>
      <c r="K333" s="41" t="str">
        <f t="shared" si="11"/>
        <v>Наталья Геннадьевна Колесникова</v>
      </c>
      <c r="L333" s="41" t="str">
        <f>LEFT(клиенты!$K333,FIND(" ",клиенты!$K333,1)-1)</f>
        <v>Наталья</v>
      </c>
      <c r="M333" s="41" t="str">
        <f>MID(K333,FIND(" ",клиенты!$K333,1)+1,(FIND(" ",клиенты!$K333,FIND(" ",клиенты!$K333,1)+1)-1)-FIND(" ",клиенты!$K333,1))</f>
        <v>Геннадьевна</v>
      </c>
      <c r="N333" s="41" t="str">
        <f>RIGHT(K333,LEN(K333)-FIND(" ",клиенты!$K333,FIND(" ",клиенты!$K333,1)+1))</f>
        <v>Колесникова</v>
      </c>
    </row>
    <row r="334" spans="1:14" x14ac:dyDescent="0.25">
      <c r="A334" s="43">
        <v>271</v>
      </c>
      <c r="B334" s="44" t="s">
        <v>345</v>
      </c>
      <c r="C334" s="44" t="s">
        <v>344</v>
      </c>
      <c r="D334" s="44" t="s">
        <v>140</v>
      </c>
      <c r="E334" s="45">
        <v>44892</v>
      </c>
      <c r="F334" s="44" t="str">
        <f>LEFT(клиенты!$B334,LEN(клиенты!$B334)-13)</f>
        <v>+375</v>
      </c>
      <c r="G334" s="44" t="str">
        <f>_xlfn.XLOOKUP(клиенты!$F334,'коды стран'!$B$2:$B$7,'коды стран'!$A$2:$A$7,"не найдено",0)</f>
        <v>Беларусь</v>
      </c>
      <c r="H334" s="45">
        <f>_xlfn.MAXIFS(Продажи[дата создания чека],Продажи[id клиента],A334)</f>
        <v>45397</v>
      </c>
      <c r="I334" s="60">
        <f t="shared" si="10"/>
        <v>16.591375770020534</v>
      </c>
      <c r="J334" s="44" t="str">
        <f>IF(LEN(C334) - LEN(SUBSTITUTE(C334," ",""))&lt;3,C334,RIGHT(C334,LEN(C334)-FIND(" ",клиенты!$C334,1)))</f>
        <v>Ермаков Степан Егорович</v>
      </c>
      <c r="K334" s="44" t="str">
        <f t="shared" si="11"/>
        <v>Степан Егорович Ермаков</v>
      </c>
      <c r="L334" s="44" t="str">
        <f>LEFT(клиенты!$K334,FIND(" ",клиенты!$K334,1)-1)</f>
        <v>Степан</v>
      </c>
      <c r="M334" s="44" t="str">
        <f>MID(K334,FIND(" ",клиенты!$K334,1)+1,(FIND(" ",клиенты!$K334,FIND(" ",клиенты!$K334,1)+1)-1)-FIND(" ",клиенты!$K334,1))</f>
        <v>Егорович</v>
      </c>
      <c r="N334" s="44" t="str">
        <f>RIGHT(K334,LEN(K334)-FIND(" ",клиенты!$K334,FIND(" ",клиенты!$K334,1)+1))</f>
        <v>Ермаков</v>
      </c>
    </row>
    <row r="335" spans="1:14" x14ac:dyDescent="0.25">
      <c r="A335" s="40">
        <v>444</v>
      </c>
      <c r="B335" s="41" t="s">
        <v>343</v>
      </c>
      <c r="C335" s="41" t="s">
        <v>342</v>
      </c>
      <c r="D335" s="41" t="s">
        <v>143</v>
      </c>
      <c r="E335" s="42">
        <v>44688</v>
      </c>
      <c r="F335" s="41" t="str">
        <f>LEFT(клиенты!$B335,LEN(клиенты!$B335)-13)</f>
        <v>+7</v>
      </c>
      <c r="G335" s="41" t="str">
        <f>_xlfn.XLOOKUP(клиенты!$F335,'коды стран'!$B$2:$B$7,'коды стран'!$A$2:$A$7,"не найдено",0)</f>
        <v>Россия</v>
      </c>
      <c r="H335" s="42">
        <f>_xlfn.MAXIFS(Продажи[дата создания чека],Продажи[id клиента],A335)</f>
        <v>45378</v>
      </c>
      <c r="I335" s="59">
        <f t="shared" si="10"/>
        <v>22.669404517453799</v>
      </c>
      <c r="J335" s="41" t="str">
        <f>IF(LEN(C335) - LEN(SUBSTITUTE(C335," ",""))&lt;3,C335,RIGHT(C335,LEN(C335)-FIND(" ",клиенты!$C335,1)))</f>
        <v>Маслова Анастасия Станиславовна</v>
      </c>
      <c r="K335" s="41" t="str">
        <f t="shared" si="11"/>
        <v>Анастасия Станиславовна Маслова</v>
      </c>
      <c r="L335" s="41" t="str">
        <f>LEFT(клиенты!$K335,FIND(" ",клиенты!$K335,1)-1)</f>
        <v>Анастасия</v>
      </c>
      <c r="M335" s="41" t="str">
        <f>MID(K335,FIND(" ",клиенты!$K335,1)+1,(FIND(" ",клиенты!$K335,FIND(" ",клиенты!$K335,1)+1)-1)-FIND(" ",клиенты!$K335,1))</f>
        <v>Станиславовна</v>
      </c>
      <c r="N335" s="41" t="str">
        <f>RIGHT(K335,LEN(K335)-FIND(" ",клиенты!$K335,FIND(" ",клиенты!$K335,1)+1))</f>
        <v>Маслова</v>
      </c>
    </row>
    <row r="336" spans="1:14" x14ac:dyDescent="0.25">
      <c r="A336" s="43">
        <v>133</v>
      </c>
      <c r="B336" s="44" t="s">
        <v>341</v>
      </c>
      <c r="C336" s="44" t="s">
        <v>340</v>
      </c>
      <c r="D336" s="44" t="s">
        <v>140</v>
      </c>
      <c r="E336" s="45">
        <v>44588</v>
      </c>
      <c r="F336" s="44" t="str">
        <f>LEFT(клиенты!$B336,LEN(клиенты!$B336)-13)</f>
        <v>+998</v>
      </c>
      <c r="G336" s="44" t="str">
        <f>_xlfn.XLOOKUP(клиенты!$F336,'коды стран'!$B$2:$B$7,'коды стран'!$A$2:$A$7,"не найдено",0)</f>
        <v>Узбекистан</v>
      </c>
      <c r="H336" s="45">
        <f>_xlfn.MAXIFS(Продажи[дата создания чека],Продажи[id клиента],A336)</f>
        <v>45023</v>
      </c>
      <c r="I336" s="60">
        <f t="shared" si="10"/>
        <v>14.291581108829568</v>
      </c>
      <c r="J336" s="44" t="str">
        <f>IF(LEN(C336) - LEN(SUBSTITUTE(C336," ",""))&lt;3,C336,RIGHT(C336,LEN(C336)-FIND(" ",клиенты!$C336,1)))</f>
        <v>Марфа Георгиевна Титова</v>
      </c>
      <c r="K336" s="44" t="str">
        <f t="shared" si="11"/>
        <v>Марфа Георгиевна Титова</v>
      </c>
      <c r="L336" s="44" t="str">
        <f>LEFT(клиенты!$K336,FIND(" ",клиенты!$K336,1)-1)</f>
        <v>Марфа</v>
      </c>
      <c r="M336" s="44" t="str">
        <f>MID(K336,FIND(" ",клиенты!$K336,1)+1,(FIND(" ",клиенты!$K336,FIND(" ",клиенты!$K336,1)+1)-1)-FIND(" ",клиенты!$K336,1))</f>
        <v>Георгиевна</v>
      </c>
      <c r="N336" s="44" t="str">
        <f>RIGHT(K336,LEN(K336)-FIND(" ",клиенты!$K336,FIND(" ",клиенты!$K336,1)+1))</f>
        <v>Титова</v>
      </c>
    </row>
    <row r="337" spans="1:14" x14ac:dyDescent="0.25">
      <c r="A337" s="40">
        <v>300</v>
      </c>
      <c r="B337" s="41" t="s">
        <v>339</v>
      </c>
      <c r="C337" s="41" t="s">
        <v>338</v>
      </c>
      <c r="D337" s="41" t="s">
        <v>143</v>
      </c>
      <c r="E337" s="42">
        <v>44824</v>
      </c>
      <c r="F337" s="41" t="str">
        <f>LEFT(клиенты!$B337,LEN(клиенты!$B337)-13)</f>
        <v>+380</v>
      </c>
      <c r="G337" s="41" t="str">
        <f>_xlfn.XLOOKUP(клиенты!$F337,'коды стран'!$B$2:$B$7,'коды стран'!$A$2:$A$7,"не найдено",0)</f>
        <v>Украина</v>
      </c>
      <c r="H337" s="42">
        <f>_xlfn.MAXIFS(Продажи[дата создания чека],Продажи[id клиента],A337)</f>
        <v>45076</v>
      </c>
      <c r="I337" s="59">
        <f t="shared" si="10"/>
        <v>8.2792607802874745</v>
      </c>
      <c r="J337" s="41" t="str">
        <f>IF(LEN(C337) - LEN(SUBSTITUTE(C337," ",""))&lt;3,C337,RIGHT(C337,LEN(C337)-FIND(" ",клиенты!$C337,1)))</f>
        <v>Копылов Мартьян Августович</v>
      </c>
      <c r="K337" s="41" t="str">
        <f t="shared" si="11"/>
        <v>Мартьян Августович Копылов</v>
      </c>
      <c r="L337" s="41" t="str">
        <f>LEFT(клиенты!$K337,FIND(" ",клиенты!$K337,1)-1)</f>
        <v>Мартьян</v>
      </c>
      <c r="M337" s="41" t="str">
        <f>MID(K337,FIND(" ",клиенты!$K337,1)+1,(FIND(" ",клиенты!$K337,FIND(" ",клиенты!$K337,1)+1)-1)-FIND(" ",клиенты!$K337,1))</f>
        <v>Августович</v>
      </c>
      <c r="N337" s="41" t="str">
        <f>RIGHT(K337,LEN(K337)-FIND(" ",клиенты!$K337,FIND(" ",клиенты!$K337,1)+1))</f>
        <v>Копылов</v>
      </c>
    </row>
    <row r="338" spans="1:14" x14ac:dyDescent="0.25">
      <c r="A338" s="43">
        <v>54</v>
      </c>
      <c r="B338" s="44" t="s">
        <v>337</v>
      </c>
      <c r="C338" s="44" t="s">
        <v>336</v>
      </c>
      <c r="D338" s="44" t="s">
        <v>140</v>
      </c>
      <c r="E338" s="45">
        <v>44847</v>
      </c>
      <c r="F338" s="44" t="str">
        <f>LEFT(клиенты!$B338,LEN(клиенты!$B338)-13)</f>
        <v>+375</v>
      </c>
      <c r="G338" s="44" t="str">
        <f>_xlfn.XLOOKUP(клиенты!$F338,'коды стран'!$B$2:$B$7,'коды стран'!$A$2:$A$7,"не найдено",0)</f>
        <v>Беларусь</v>
      </c>
      <c r="H338" s="45">
        <f>_xlfn.MAXIFS(Продажи[дата создания чека],Продажи[id клиента],A338)</f>
        <v>45392</v>
      </c>
      <c r="I338" s="60">
        <f t="shared" si="10"/>
        <v>17.905544147843944</v>
      </c>
      <c r="J338" s="44" t="str">
        <f>IF(LEN(C338) - LEN(SUBSTITUTE(C338," ",""))&lt;3,C338,RIGHT(C338,LEN(C338)-FIND(" ",клиенты!$C338,1)))</f>
        <v>Рогов Сила Гордеевич</v>
      </c>
      <c r="K338" s="44" t="str">
        <f t="shared" si="11"/>
        <v>Сила Гордеевич Рогов</v>
      </c>
      <c r="L338" s="44" t="str">
        <f>LEFT(клиенты!$K338,FIND(" ",клиенты!$K338,1)-1)</f>
        <v>Сила</v>
      </c>
      <c r="M338" s="44" t="str">
        <f>MID(K338,FIND(" ",клиенты!$K338,1)+1,(FIND(" ",клиенты!$K338,FIND(" ",клиенты!$K338,1)+1)-1)-FIND(" ",клиенты!$K338,1))</f>
        <v>Гордеевич</v>
      </c>
      <c r="N338" s="44" t="str">
        <f>RIGHT(K338,LEN(K338)-FIND(" ",клиенты!$K338,FIND(" ",клиенты!$K338,1)+1))</f>
        <v>Рогов</v>
      </c>
    </row>
    <row r="339" spans="1:14" x14ac:dyDescent="0.25">
      <c r="A339" s="40">
        <v>340</v>
      </c>
      <c r="B339" s="41" t="s">
        <v>335</v>
      </c>
      <c r="C339" s="41" t="s">
        <v>334</v>
      </c>
      <c r="D339" s="41" t="s">
        <v>140</v>
      </c>
      <c r="E339" s="42">
        <v>44896</v>
      </c>
      <c r="F339" s="41" t="str">
        <f>LEFT(клиенты!$B339,LEN(клиенты!$B339)-13)</f>
        <v>+7</v>
      </c>
      <c r="G339" s="41" t="str">
        <f>_xlfn.XLOOKUP(клиенты!$F339,'коды стран'!$B$2:$B$7,'коды стран'!$A$2:$A$7,"не найдено",0)</f>
        <v>Россия</v>
      </c>
      <c r="H339" s="42">
        <f>_xlfn.MAXIFS(Продажи[дата создания чека],Продажи[id клиента],A339)</f>
        <v>45252</v>
      </c>
      <c r="I339" s="59">
        <f t="shared" si="10"/>
        <v>11.696098562628336</v>
      </c>
      <c r="J339" s="41" t="str">
        <f>IF(LEN(C339) - LEN(SUBSTITUTE(C339," ",""))&lt;3,C339,RIGHT(C339,LEN(C339)-FIND(" ",клиенты!$C339,1)))</f>
        <v>Леон Аверьянович Захаров</v>
      </c>
      <c r="K339" s="41" t="str">
        <f t="shared" si="11"/>
        <v>Леон Аверьянович Захаров</v>
      </c>
      <c r="L339" s="41" t="str">
        <f>LEFT(клиенты!$K339,FIND(" ",клиенты!$K339,1)-1)</f>
        <v>Леон</v>
      </c>
      <c r="M339" s="41" t="str">
        <f>MID(K339,FIND(" ",клиенты!$K339,1)+1,(FIND(" ",клиенты!$K339,FIND(" ",клиенты!$K339,1)+1)-1)-FIND(" ",клиенты!$K339,1))</f>
        <v>Аверьянович</v>
      </c>
      <c r="N339" s="41" t="str">
        <f>RIGHT(K339,LEN(K339)-FIND(" ",клиенты!$K339,FIND(" ",клиенты!$K339,1)+1))</f>
        <v>Захаров</v>
      </c>
    </row>
    <row r="340" spans="1:14" x14ac:dyDescent="0.25">
      <c r="A340" s="43">
        <v>272</v>
      </c>
      <c r="B340" s="44" t="s">
        <v>333</v>
      </c>
      <c r="C340" s="44" t="s">
        <v>332</v>
      </c>
      <c r="D340" s="44" t="s">
        <v>140</v>
      </c>
      <c r="E340" s="45">
        <v>44668</v>
      </c>
      <c r="F340" s="44" t="str">
        <f>LEFT(клиенты!$B340,LEN(клиенты!$B340)-13)</f>
        <v>+992</v>
      </c>
      <c r="G340" s="44" t="str">
        <f>_xlfn.XLOOKUP(клиенты!$F340,'коды стран'!$B$2:$B$7,'коды стран'!$A$2:$A$7,"не найдено",0)</f>
        <v>Таджикистан</v>
      </c>
      <c r="H340" s="45">
        <f>_xlfn.MAXIFS(Продажи[дата создания чека],Продажи[id клиента],A340)</f>
        <v>45408</v>
      </c>
      <c r="I340" s="60">
        <f t="shared" si="10"/>
        <v>24.312114989733061</v>
      </c>
      <c r="J340" s="44" t="str">
        <f>IF(LEN(C340) - LEN(SUBSTITUTE(C340," ",""))&lt;3,C340,RIGHT(C340,LEN(C340)-FIND(" ",клиенты!$C340,1)))</f>
        <v>Захар Артемьевич Воробьев</v>
      </c>
      <c r="K340" s="44" t="str">
        <f t="shared" si="11"/>
        <v>Захар Артемьевич Воробьев</v>
      </c>
      <c r="L340" s="44" t="str">
        <f>LEFT(клиенты!$K340,FIND(" ",клиенты!$K340,1)-1)</f>
        <v>Захар</v>
      </c>
      <c r="M340" s="44" t="str">
        <f>MID(K340,FIND(" ",клиенты!$K340,1)+1,(FIND(" ",клиенты!$K340,FIND(" ",клиенты!$K340,1)+1)-1)-FIND(" ",клиенты!$K340,1))</f>
        <v>Артемьевич</v>
      </c>
      <c r="N340" s="44" t="str">
        <f>RIGHT(K340,LEN(K340)-FIND(" ",клиенты!$K340,FIND(" ",клиенты!$K340,1)+1))</f>
        <v>Воробьев</v>
      </c>
    </row>
    <row r="341" spans="1:14" x14ac:dyDescent="0.25">
      <c r="A341" s="40">
        <v>165</v>
      </c>
      <c r="B341" s="41" t="s">
        <v>331</v>
      </c>
      <c r="C341" s="41" t="s">
        <v>330</v>
      </c>
      <c r="D341" s="41" t="s">
        <v>143</v>
      </c>
      <c r="E341" s="42">
        <v>44599</v>
      </c>
      <c r="F341" s="41" t="str">
        <f>LEFT(клиенты!$B341,LEN(клиенты!$B341)-13)</f>
        <v>+992</v>
      </c>
      <c r="G341" s="41" t="str">
        <f>_xlfn.XLOOKUP(клиенты!$F341,'коды стран'!$B$2:$B$7,'коды стран'!$A$2:$A$7,"не найдено",0)</f>
        <v>Таджикистан</v>
      </c>
      <c r="H341" s="42">
        <f>_xlfn.MAXIFS(Продажи[дата создания чека],Продажи[id клиента],A341)</f>
        <v>45377</v>
      </c>
      <c r="I341" s="59">
        <f t="shared" si="10"/>
        <v>25.560574948665298</v>
      </c>
      <c r="J341" s="41" t="str">
        <f>IF(LEN(C341) - LEN(SUBSTITUTE(C341," ",""))&lt;3,C341,RIGHT(C341,LEN(C341)-FIND(" ",клиенты!$C341,1)))</f>
        <v>Вадим Артёмович Анисимов</v>
      </c>
      <c r="K341" s="41" t="str">
        <f t="shared" si="11"/>
        <v>Вадим Артёмович Анисимов</v>
      </c>
      <c r="L341" s="41" t="str">
        <f>LEFT(клиенты!$K341,FIND(" ",клиенты!$K341,1)-1)</f>
        <v>Вадим</v>
      </c>
      <c r="M341" s="41" t="str">
        <f>MID(K341,FIND(" ",клиенты!$K341,1)+1,(FIND(" ",клиенты!$K341,FIND(" ",клиенты!$K341,1)+1)-1)-FIND(" ",клиенты!$K341,1))</f>
        <v>Артёмович</v>
      </c>
      <c r="N341" s="41" t="str">
        <f>RIGHT(K341,LEN(K341)-FIND(" ",клиенты!$K341,FIND(" ",клиенты!$K341,1)+1))</f>
        <v>Анисимов</v>
      </c>
    </row>
    <row r="342" spans="1:14" x14ac:dyDescent="0.25">
      <c r="A342" s="43">
        <v>214</v>
      </c>
      <c r="B342" s="44" t="s">
        <v>329</v>
      </c>
      <c r="C342" s="44" t="s">
        <v>328</v>
      </c>
      <c r="D342" s="44" t="s">
        <v>143</v>
      </c>
      <c r="E342" s="45">
        <v>44601</v>
      </c>
      <c r="F342" s="44" t="str">
        <f>LEFT(клиенты!$B342,LEN(клиенты!$B342)-13)</f>
        <v>+7</v>
      </c>
      <c r="G342" s="44" t="str">
        <f>_xlfn.XLOOKUP(клиенты!$F342,'коды стран'!$B$2:$B$7,'коды стран'!$A$2:$A$7,"не найдено",0)</f>
        <v>Россия</v>
      </c>
      <c r="H342" s="45">
        <f>_xlfn.MAXIFS(Продажи[дата создания чека],Продажи[id клиента],A342)</f>
        <v>45087</v>
      </c>
      <c r="I342" s="60">
        <f t="shared" si="10"/>
        <v>15.967145790554415</v>
      </c>
      <c r="J342" s="44" t="str">
        <f>IF(LEN(C342) - LEN(SUBSTITUTE(C342," ",""))&lt;3,C342,RIGHT(C342,LEN(C342)-FIND(" ",клиенты!$C342,1)))</f>
        <v>Михеев Андроник Ефимьевич</v>
      </c>
      <c r="K342" s="44" t="str">
        <f t="shared" si="11"/>
        <v>Андроник Ефимьевич Михеев</v>
      </c>
      <c r="L342" s="44" t="str">
        <f>LEFT(клиенты!$K342,FIND(" ",клиенты!$K342,1)-1)</f>
        <v>Андроник</v>
      </c>
      <c r="M342" s="44" t="str">
        <f>MID(K342,FIND(" ",клиенты!$K342,1)+1,(FIND(" ",клиенты!$K342,FIND(" ",клиенты!$K342,1)+1)-1)-FIND(" ",клиенты!$K342,1))</f>
        <v>Ефимьевич</v>
      </c>
      <c r="N342" s="44" t="str">
        <f>RIGHT(K342,LEN(K342)-FIND(" ",клиенты!$K342,FIND(" ",клиенты!$K342,1)+1))</f>
        <v>Михеев</v>
      </c>
    </row>
    <row r="343" spans="1:14" x14ac:dyDescent="0.25">
      <c r="A343" s="40">
        <v>409</v>
      </c>
      <c r="B343" s="41" t="s">
        <v>327</v>
      </c>
      <c r="C343" s="41" t="s">
        <v>326</v>
      </c>
      <c r="D343" s="41" t="s">
        <v>140</v>
      </c>
      <c r="E343" s="42">
        <v>44869</v>
      </c>
      <c r="F343" s="41" t="str">
        <f>LEFT(клиенты!$B343,LEN(клиенты!$B343)-13)</f>
        <v>+380</v>
      </c>
      <c r="G343" s="41" t="str">
        <f>_xlfn.XLOOKUP(клиенты!$F343,'коды стран'!$B$2:$B$7,'коды стран'!$A$2:$A$7,"не найдено",0)</f>
        <v>Украина</v>
      </c>
      <c r="H343" s="42">
        <f>_xlfn.MAXIFS(Продажи[дата создания чека],Продажи[id клиента],A343)</f>
        <v>45025</v>
      </c>
      <c r="I343" s="59">
        <f t="shared" si="10"/>
        <v>5.1252566735112932</v>
      </c>
      <c r="J343" s="41" t="str">
        <f>IF(LEN(C343) - LEN(SUBSTITUTE(C343," ",""))&lt;3,C343,RIGHT(C343,LEN(C343)-FIND(" ",клиенты!$C343,1)))</f>
        <v>Лаврентьева Маргарита Артемовна</v>
      </c>
      <c r="K343" s="41" t="str">
        <f t="shared" si="11"/>
        <v>Маргарита Артемовна Лаврентьева</v>
      </c>
      <c r="L343" s="41" t="str">
        <f>LEFT(клиенты!$K343,FIND(" ",клиенты!$K343,1)-1)</f>
        <v>Маргарита</v>
      </c>
      <c r="M343" s="41" t="str">
        <f>MID(K343,FIND(" ",клиенты!$K343,1)+1,(FIND(" ",клиенты!$K343,FIND(" ",клиенты!$K343,1)+1)-1)-FIND(" ",клиенты!$K343,1))</f>
        <v>Артемовна</v>
      </c>
      <c r="N343" s="41" t="str">
        <f>RIGHT(K343,LEN(K343)-FIND(" ",клиенты!$K343,FIND(" ",клиенты!$K343,1)+1))</f>
        <v>Лаврентьева</v>
      </c>
    </row>
    <row r="344" spans="1:14" x14ac:dyDescent="0.25">
      <c r="A344" s="43">
        <v>348</v>
      </c>
      <c r="B344" s="44" t="s">
        <v>325</v>
      </c>
      <c r="C344" s="44" t="s">
        <v>324</v>
      </c>
      <c r="D344" s="44" t="s">
        <v>143</v>
      </c>
      <c r="E344" s="45">
        <v>44569</v>
      </c>
      <c r="F344" s="44" t="str">
        <f>LEFT(клиенты!$B344,LEN(клиенты!$B344)-13)</f>
        <v>+380</v>
      </c>
      <c r="G344" s="44" t="str">
        <f>_xlfn.XLOOKUP(клиенты!$F344,'коды стран'!$B$2:$B$7,'коды стран'!$A$2:$A$7,"не найдено",0)</f>
        <v>Украина</v>
      </c>
      <c r="H344" s="45">
        <f>_xlfn.MAXIFS(Продажи[дата создания чека],Продажи[id клиента],A344)</f>
        <v>45010</v>
      </c>
      <c r="I344" s="60">
        <f t="shared" si="10"/>
        <v>14.488706365503081</v>
      </c>
      <c r="J344" s="44" t="str">
        <f>IF(LEN(C344) - LEN(SUBSTITUTE(C344," ",""))&lt;3,C344,RIGHT(C344,LEN(C344)-FIND(" ",клиенты!$C344,1)))</f>
        <v>Измаил Глебович Зыков</v>
      </c>
      <c r="K344" s="44" t="str">
        <f t="shared" si="11"/>
        <v>Измаил Глебович Зыков</v>
      </c>
      <c r="L344" s="44" t="str">
        <f>LEFT(клиенты!$K344,FIND(" ",клиенты!$K344,1)-1)</f>
        <v>Измаил</v>
      </c>
      <c r="M344" s="44" t="str">
        <f>MID(K344,FIND(" ",клиенты!$K344,1)+1,(FIND(" ",клиенты!$K344,FIND(" ",клиенты!$K344,1)+1)-1)-FIND(" ",клиенты!$K344,1))</f>
        <v>Глебович</v>
      </c>
      <c r="N344" s="44" t="str">
        <f>RIGHT(K344,LEN(K344)-FIND(" ",клиенты!$K344,FIND(" ",клиенты!$K344,1)+1))</f>
        <v>Зыков</v>
      </c>
    </row>
    <row r="345" spans="1:14" x14ac:dyDescent="0.25">
      <c r="A345" s="40">
        <v>351</v>
      </c>
      <c r="B345" s="41" t="s">
        <v>323</v>
      </c>
      <c r="C345" s="41" t="s">
        <v>322</v>
      </c>
      <c r="D345" s="41" t="s">
        <v>143</v>
      </c>
      <c r="E345" s="42">
        <v>44863</v>
      </c>
      <c r="F345" s="41" t="str">
        <f>LEFT(клиенты!$B345,LEN(клиенты!$B345)-13)</f>
        <v>+7</v>
      </c>
      <c r="G345" s="41" t="str">
        <f>_xlfn.XLOOKUP(клиенты!$F345,'коды стран'!$B$2:$B$7,'коды стран'!$A$2:$A$7,"не найдено",0)</f>
        <v>Россия</v>
      </c>
      <c r="H345" s="42">
        <f>_xlfn.MAXIFS(Продажи[дата создания чека],Продажи[id клиента],A345)</f>
        <v>45213</v>
      </c>
      <c r="I345" s="59">
        <f t="shared" si="10"/>
        <v>11.498973305954825</v>
      </c>
      <c r="J345" s="41" t="str">
        <f>IF(LEN(C345) - LEN(SUBSTITUTE(C345," ",""))&lt;3,C345,RIGHT(C345,LEN(C345)-FIND(" ",клиенты!$C345,1)))</f>
        <v>Щукина Элеонора Робертовна</v>
      </c>
      <c r="K345" s="41" t="str">
        <f t="shared" si="11"/>
        <v>Элеонора Робертовна Щукина</v>
      </c>
      <c r="L345" s="41" t="str">
        <f>LEFT(клиенты!$K345,FIND(" ",клиенты!$K345,1)-1)</f>
        <v>Элеонора</v>
      </c>
      <c r="M345" s="41" t="str">
        <f>MID(K345,FIND(" ",клиенты!$K345,1)+1,(FIND(" ",клиенты!$K345,FIND(" ",клиенты!$K345,1)+1)-1)-FIND(" ",клиенты!$K345,1))</f>
        <v>Робертовна</v>
      </c>
      <c r="N345" s="41" t="str">
        <f>RIGHT(K345,LEN(K345)-FIND(" ",клиенты!$K345,FIND(" ",клиенты!$K345,1)+1))</f>
        <v>Щукина</v>
      </c>
    </row>
    <row r="346" spans="1:14" x14ac:dyDescent="0.25">
      <c r="A346" s="43">
        <v>40</v>
      </c>
      <c r="B346" s="44" t="s">
        <v>321</v>
      </c>
      <c r="C346" s="44" t="s">
        <v>320</v>
      </c>
      <c r="D346" s="44" t="s">
        <v>140</v>
      </c>
      <c r="E346" s="45">
        <v>44855</v>
      </c>
      <c r="F346" s="44" t="str">
        <f>LEFT(клиенты!$B346,LEN(клиенты!$B346)-13)</f>
        <v>+7</v>
      </c>
      <c r="G346" s="44" t="str">
        <f>_xlfn.XLOOKUP(клиенты!$F346,'коды стран'!$B$2:$B$7,'коды стран'!$A$2:$A$7,"не найдено",0)</f>
        <v>Россия</v>
      </c>
      <c r="H346" s="45">
        <f>_xlfn.MAXIFS(Продажи[дата создания чека],Продажи[id клиента],A346)</f>
        <v>45431</v>
      </c>
      <c r="I346" s="60">
        <f t="shared" si="10"/>
        <v>18.924024640657084</v>
      </c>
      <c r="J346" s="44" t="str">
        <f>IF(LEN(C346) - LEN(SUBSTITUTE(C346," ",""))&lt;3,C346,RIGHT(C346,LEN(C346)-FIND(" ",клиенты!$C346,1)))</f>
        <v>Амвросий Артемьевич Гаврилов</v>
      </c>
      <c r="K346" s="44" t="str">
        <f t="shared" si="11"/>
        <v>Амвросий Артемьевич Гаврилов</v>
      </c>
      <c r="L346" s="44" t="str">
        <f>LEFT(клиенты!$K346,FIND(" ",клиенты!$K346,1)-1)</f>
        <v>Амвросий</v>
      </c>
      <c r="M346" s="44" t="str">
        <f>MID(K346,FIND(" ",клиенты!$K346,1)+1,(FIND(" ",клиенты!$K346,FIND(" ",клиенты!$K346,1)+1)-1)-FIND(" ",клиенты!$K346,1))</f>
        <v>Артемьевич</v>
      </c>
      <c r="N346" s="44" t="str">
        <f>RIGHT(K346,LEN(K346)-FIND(" ",клиенты!$K346,FIND(" ",клиенты!$K346,1)+1))</f>
        <v>Гаврилов</v>
      </c>
    </row>
    <row r="347" spans="1:14" x14ac:dyDescent="0.25">
      <c r="A347" s="40">
        <v>245</v>
      </c>
      <c r="B347" s="41" t="s">
        <v>319</v>
      </c>
      <c r="C347" s="41" t="s">
        <v>318</v>
      </c>
      <c r="D347" s="41" t="s">
        <v>140</v>
      </c>
      <c r="E347" s="42">
        <v>44695</v>
      </c>
      <c r="F347" s="41" t="str">
        <f>LEFT(клиенты!$B347,LEN(клиенты!$B347)-13)</f>
        <v>+998</v>
      </c>
      <c r="G347" s="41" t="str">
        <f>_xlfn.XLOOKUP(клиенты!$F347,'коды стран'!$B$2:$B$7,'коды стран'!$A$2:$A$7,"не найдено",0)</f>
        <v>Узбекистан</v>
      </c>
      <c r="H347" s="42">
        <f>_xlfn.MAXIFS(Продажи[дата создания чека],Продажи[id клиента],A347)</f>
        <v>45142</v>
      </c>
      <c r="I347" s="59">
        <f t="shared" si="10"/>
        <v>14.685831622176591</v>
      </c>
      <c r="J347" s="41" t="str">
        <f>IF(LEN(C347) - LEN(SUBSTITUTE(C347," ",""))&lt;3,C347,RIGHT(C347,LEN(C347)-FIND(" ",клиенты!$C347,1)))</f>
        <v>Феврония Юрьевна Шубина</v>
      </c>
      <c r="K347" s="41" t="str">
        <f t="shared" si="11"/>
        <v>Феврония Юрьевна Шубина</v>
      </c>
      <c r="L347" s="41" t="str">
        <f>LEFT(клиенты!$K347,FIND(" ",клиенты!$K347,1)-1)</f>
        <v>Феврония</v>
      </c>
      <c r="M347" s="41" t="str">
        <f>MID(K347,FIND(" ",клиенты!$K347,1)+1,(FIND(" ",клиенты!$K347,FIND(" ",клиенты!$K347,1)+1)-1)-FIND(" ",клиенты!$K347,1))</f>
        <v>Юрьевна</v>
      </c>
      <c r="N347" s="41" t="str">
        <f>RIGHT(K347,LEN(K347)-FIND(" ",клиенты!$K347,FIND(" ",клиенты!$K347,1)+1))</f>
        <v>Шубина</v>
      </c>
    </row>
    <row r="348" spans="1:14" x14ac:dyDescent="0.25">
      <c r="A348" s="43">
        <v>466</v>
      </c>
      <c r="B348" s="44" t="s">
        <v>317</v>
      </c>
      <c r="C348" s="44" t="s">
        <v>316</v>
      </c>
      <c r="D348" s="44" t="s">
        <v>143</v>
      </c>
      <c r="E348" s="45">
        <v>44772</v>
      </c>
      <c r="F348" s="44" t="str">
        <f>LEFT(клиенты!$B348,LEN(клиенты!$B348)-13)</f>
        <v>+375</v>
      </c>
      <c r="G348" s="44" t="str">
        <f>_xlfn.XLOOKUP(клиенты!$F348,'коды стран'!$B$2:$B$7,'коды стран'!$A$2:$A$7,"не найдено",0)</f>
        <v>Беларусь</v>
      </c>
      <c r="H348" s="45">
        <f>_xlfn.MAXIFS(Продажи[дата создания чека],Продажи[id клиента],A348)</f>
        <v>45053</v>
      </c>
      <c r="I348" s="60">
        <f t="shared" si="10"/>
        <v>9.2320328542094447</v>
      </c>
      <c r="J348" s="44" t="str">
        <f>IF(LEN(C348) - LEN(SUBSTITUTE(C348," ",""))&lt;3,C348,RIGHT(C348,LEN(C348)-FIND(" ",клиенты!$C348,1)))</f>
        <v>Никитина Лора Георгиевна</v>
      </c>
      <c r="K348" s="44" t="str">
        <f t="shared" si="11"/>
        <v>Лора Георгиевна Никитина</v>
      </c>
      <c r="L348" s="44" t="str">
        <f>LEFT(клиенты!$K348,FIND(" ",клиенты!$K348,1)-1)</f>
        <v>Лора</v>
      </c>
      <c r="M348" s="44" t="str">
        <f>MID(K348,FIND(" ",клиенты!$K348,1)+1,(FIND(" ",клиенты!$K348,FIND(" ",клиенты!$K348,1)+1)-1)-FIND(" ",клиенты!$K348,1))</f>
        <v>Георгиевна</v>
      </c>
      <c r="N348" s="44" t="str">
        <f>RIGHT(K348,LEN(K348)-FIND(" ",клиенты!$K348,FIND(" ",клиенты!$K348,1)+1))</f>
        <v>Никитина</v>
      </c>
    </row>
    <row r="349" spans="1:14" x14ac:dyDescent="0.25">
      <c r="A349" s="40">
        <v>122</v>
      </c>
      <c r="B349" s="41" t="s">
        <v>315</v>
      </c>
      <c r="C349" s="41" t="s">
        <v>314</v>
      </c>
      <c r="D349" s="41" t="s">
        <v>140</v>
      </c>
      <c r="E349" s="42">
        <v>44683</v>
      </c>
      <c r="F349" s="41" t="str">
        <f>LEFT(клиенты!$B349,LEN(клиенты!$B349)-13)</f>
        <v>+375</v>
      </c>
      <c r="G349" s="41" t="str">
        <f>_xlfn.XLOOKUP(клиенты!$F349,'коды стран'!$B$2:$B$7,'коды стран'!$A$2:$A$7,"не найдено",0)</f>
        <v>Беларусь</v>
      </c>
      <c r="H349" s="42">
        <f>_xlfn.MAXIFS(Продажи[дата создания чека],Продажи[id клиента],A349)</f>
        <v>45195</v>
      </c>
      <c r="I349" s="59">
        <f t="shared" si="10"/>
        <v>16.821355236139631</v>
      </c>
      <c r="J349" s="41" t="str">
        <f>IF(LEN(C349) - LEN(SUBSTITUTE(C349," ",""))&lt;3,C349,RIGHT(C349,LEN(C349)-FIND(" ",клиенты!$C349,1)))</f>
        <v>Максим Анатольевич Семенов</v>
      </c>
      <c r="K349" s="41" t="str">
        <f t="shared" si="11"/>
        <v>Максим Анатольевич Семенов</v>
      </c>
      <c r="L349" s="41" t="str">
        <f>LEFT(клиенты!$K349,FIND(" ",клиенты!$K349,1)-1)</f>
        <v>Максим</v>
      </c>
      <c r="M349" s="41" t="str">
        <f>MID(K349,FIND(" ",клиенты!$K349,1)+1,(FIND(" ",клиенты!$K349,FIND(" ",клиенты!$K349,1)+1)-1)-FIND(" ",клиенты!$K349,1))</f>
        <v>Анатольевич</v>
      </c>
      <c r="N349" s="41" t="str">
        <f>RIGHT(K349,LEN(K349)-FIND(" ",клиенты!$K349,FIND(" ",клиенты!$K349,1)+1))</f>
        <v>Семенов</v>
      </c>
    </row>
    <row r="350" spans="1:14" x14ac:dyDescent="0.25">
      <c r="A350" s="43">
        <v>199</v>
      </c>
      <c r="B350" s="44" t="s">
        <v>313</v>
      </c>
      <c r="C350" s="44" t="s">
        <v>312</v>
      </c>
      <c r="D350" s="44" t="s">
        <v>143</v>
      </c>
      <c r="E350" s="45">
        <v>44715</v>
      </c>
      <c r="F350" s="44" t="str">
        <f>LEFT(клиенты!$B350,LEN(клиенты!$B350)-13)</f>
        <v>+998</v>
      </c>
      <c r="G350" s="44" t="str">
        <f>_xlfn.XLOOKUP(клиенты!$F350,'коды стран'!$B$2:$B$7,'коды стран'!$A$2:$A$7,"не найдено",0)</f>
        <v>Узбекистан</v>
      </c>
      <c r="H350" s="45">
        <f>_xlfn.MAXIFS(Продажи[дата создания чека],Продажи[id клиента],A350)</f>
        <v>45358</v>
      </c>
      <c r="I350" s="60">
        <f t="shared" si="10"/>
        <v>21.125256673511295</v>
      </c>
      <c r="J350" s="44" t="str">
        <f>IF(LEN(C350) - LEN(SUBSTITUTE(C350," ",""))&lt;3,C350,RIGHT(C350,LEN(C350)-FIND(" ",клиенты!$C350,1)))</f>
        <v>Горбунова Алевтина Максимовна</v>
      </c>
      <c r="K350" s="44" t="str">
        <f t="shared" si="11"/>
        <v>Алевтина Максимовна Горбунова</v>
      </c>
      <c r="L350" s="44" t="str">
        <f>LEFT(клиенты!$K350,FIND(" ",клиенты!$K350,1)-1)</f>
        <v>Алевтина</v>
      </c>
      <c r="M350" s="44" t="str">
        <f>MID(K350,FIND(" ",клиенты!$K350,1)+1,(FIND(" ",клиенты!$K350,FIND(" ",клиенты!$K350,1)+1)-1)-FIND(" ",клиенты!$K350,1))</f>
        <v>Максимовна</v>
      </c>
      <c r="N350" s="44" t="str">
        <f>RIGHT(K350,LEN(K350)-FIND(" ",клиенты!$K350,FIND(" ",клиенты!$K350,1)+1))</f>
        <v>Горбунова</v>
      </c>
    </row>
    <row r="351" spans="1:14" x14ac:dyDescent="0.25">
      <c r="A351" s="40">
        <v>447</v>
      </c>
      <c r="B351" s="41" t="s">
        <v>311</v>
      </c>
      <c r="C351" s="41" t="s">
        <v>310</v>
      </c>
      <c r="D351" s="41" t="s">
        <v>143</v>
      </c>
      <c r="E351" s="42">
        <v>44898</v>
      </c>
      <c r="F351" s="41" t="str">
        <f>LEFT(клиенты!$B351,LEN(клиенты!$B351)-13)</f>
        <v>+992</v>
      </c>
      <c r="G351" s="41" t="str">
        <f>_xlfn.XLOOKUP(клиенты!$F351,'коды стран'!$B$2:$B$7,'коды стран'!$A$2:$A$7,"не найдено",0)</f>
        <v>Таджикистан</v>
      </c>
      <c r="H351" s="42">
        <f>_xlfn.MAXIFS(Продажи[дата создания чека],Продажи[id клиента],A351)</f>
        <v>44959</v>
      </c>
      <c r="I351" s="59">
        <f t="shared" si="10"/>
        <v>2.0041067761806981</v>
      </c>
      <c r="J351" s="41" t="str">
        <f>IF(LEN(C351) - LEN(SUBSTITUTE(C351," ",""))&lt;3,C351,RIGHT(C351,LEN(C351)-FIND(" ",клиенты!$C351,1)))</f>
        <v>Жанна Станиславовна Семенова</v>
      </c>
      <c r="K351" s="41" t="str">
        <f t="shared" si="11"/>
        <v>Жанна Станиславовна Семенова</v>
      </c>
      <c r="L351" s="41" t="str">
        <f>LEFT(клиенты!$K351,FIND(" ",клиенты!$K351,1)-1)</f>
        <v>Жанна</v>
      </c>
      <c r="M351" s="41" t="str">
        <f>MID(K351,FIND(" ",клиенты!$K351,1)+1,(FIND(" ",клиенты!$K351,FIND(" ",клиенты!$K351,1)+1)-1)-FIND(" ",клиенты!$K351,1))</f>
        <v>Станиславовна</v>
      </c>
      <c r="N351" s="41" t="str">
        <f>RIGHT(K351,LEN(K351)-FIND(" ",клиенты!$K351,FIND(" ",клиенты!$K351,1)+1))</f>
        <v>Семенова</v>
      </c>
    </row>
    <row r="352" spans="1:14" x14ac:dyDescent="0.25">
      <c r="A352" s="43">
        <v>163</v>
      </c>
      <c r="B352" s="44" t="s">
        <v>309</v>
      </c>
      <c r="C352" s="44" t="s">
        <v>308</v>
      </c>
      <c r="D352" s="44" t="s">
        <v>143</v>
      </c>
      <c r="E352" s="45">
        <v>44571</v>
      </c>
      <c r="F352" s="44" t="str">
        <f>LEFT(клиенты!$B352,LEN(клиенты!$B352)-13)</f>
        <v>+998</v>
      </c>
      <c r="G352" s="44" t="str">
        <f>_xlfn.XLOOKUP(клиенты!$F352,'коды стран'!$B$2:$B$7,'коды стран'!$A$2:$A$7,"не найдено",0)</f>
        <v>Узбекистан</v>
      </c>
      <c r="H352" s="45">
        <f>_xlfn.MAXIFS(Продажи[дата создания чека],Продажи[id клиента],A352)</f>
        <v>45293</v>
      </c>
      <c r="I352" s="60">
        <f t="shared" si="10"/>
        <v>23.720739219712527</v>
      </c>
      <c r="J352" s="44" t="str">
        <f>IF(LEN(C352) - LEN(SUBSTITUTE(C352," ",""))&lt;3,C352,RIGHT(C352,LEN(C352)-FIND(" ",клиенты!$C352,1)))</f>
        <v>Виктория Ильинична Соколова</v>
      </c>
      <c r="K352" s="44" t="str">
        <f t="shared" si="11"/>
        <v>Виктория Ильинична Соколова</v>
      </c>
      <c r="L352" s="44" t="str">
        <f>LEFT(клиенты!$K352,FIND(" ",клиенты!$K352,1)-1)</f>
        <v>Виктория</v>
      </c>
      <c r="M352" s="44" t="str">
        <f>MID(K352,FIND(" ",клиенты!$K352,1)+1,(FIND(" ",клиенты!$K352,FIND(" ",клиенты!$K352,1)+1)-1)-FIND(" ",клиенты!$K352,1))</f>
        <v>Ильинична</v>
      </c>
      <c r="N352" s="44" t="str">
        <f>RIGHT(K352,LEN(K352)-FIND(" ",клиенты!$K352,FIND(" ",клиенты!$K352,1)+1))</f>
        <v>Соколова</v>
      </c>
    </row>
    <row r="353" spans="1:14" x14ac:dyDescent="0.25">
      <c r="A353" s="40">
        <v>320</v>
      </c>
      <c r="B353" s="41" t="s">
        <v>307</v>
      </c>
      <c r="C353" s="41" t="s">
        <v>306</v>
      </c>
      <c r="D353" s="41" t="s">
        <v>140</v>
      </c>
      <c r="E353" s="42">
        <v>44869</v>
      </c>
      <c r="F353" s="41" t="str">
        <f>LEFT(клиенты!$B353,LEN(клиенты!$B353)-13)</f>
        <v>+375</v>
      </c>
      <c r="G353" s="41" t="str">
        <f>_xlfn.XLOOKUP(клиенты!$F353,'коды стран'!$B$2:$B$7,'коды стран'!$A$2:$A$7,"не найдено",0)</f>
        <v>Беларусь</v>
      </c>
      <c r="H353" s="42">
        <f>_xlfn.MAXIFS(Продажи[дата создания чека],Продажи[id клиента],A353)</f>
        <v>45038</v>
      </c>
      <c r="I353" s="59">
        <f t="shared" si="10"/>
        <v>5.5523613963039011</v>
      </c>
      <c r="J353" s="41" t="str">
        <f>IF(LEN(C353) - LEN(SUBSTITUTE(C353," ",""))&lt;3,C353,RIGHT(C353,LEN(C353)-FIND(" ",клиенты!$C353,1)))</f>
        <v>Новикова Ия Рубеновна</v>
      </c>
      <c r="K353" s="41" t="str">
        <f t="shared" si="11"/>
        <v>Ия Рубеновна Новикова</v>
      </c>
      <c r="L353" s="41" t="str">
        <f>LEFT(клиенты!$K353,FIND(" ",клиенты!$K353,1)-1)</f>
        <v>Ия</v>
      </c>
      <c r="M353" s="41" t="str">
        <f>MID(K353,FIND(" ",клиенты!$K353,1)+1,(FIND(" ",клиенты!$K353,FIND(" ",клиенты!$K353,1)+1)-1)-FIND(" ",клиенты!$K353,1))</f>
        <v>Рубеновна</v>
      </c>
      <c r="N353" s="41" t="str">
        <f>RIGHT(K353,LEN(K353)-FIND(" ",клиенты!$K353,FIND(" ",клиенты!$K353,1)+1))</f>
        <v>Новикова</v>
      </c>
    </row>
    <row r="354" spans="1:14" x14ac:dyDescent="0.25">
      <c r="A354" s="43">
        <v>173</v>
      </c>
      <c r="B354" s="44" t="s">
        <v>305</v>
      </c>
      <c r="C354" s="44" t="s">
        <v>304</v>
      </c>
      <c r="D354" s="44" t="s">
        <v>140</v>
      </c>
      <c r="E354" s="45">
        <v>44673</v>
      </c>
      <c r="F354" s="44" t="str">
        <f>LEFT(клиенты!$B354,LEN(клиенты!$B354)-13)</f>
        <v>+7</v>
      </c>
      <c r="G354" s="44" t="str">
        <f>_xlfn.XLOOKUP(клиенты!$F354,'коды стран'!$B$2:$B$7,'коды стран'!$A$2:$A$7,"не найдено",0)</f>
        <v>Россия</v>
      </c>
      <c r="H354" s="45">
        <f>_xlfn.MAXIFS(Продажи[дата создания чека],Продажи[id клиента],A354)</f>
        <v>45222</v>
      </c>
      <c r="I354" s="60">
        <f t="shared" si="10"/>
        <v>18.036960985626283</v>
      </c>
      <c r="J354" s="44" t="str">
        <f>IF(LEN(C354) - LEN(SUBSTITUTE(C354," ",""))&lt;3,C354,RIGHT(C354,LEN(C354)-FIND(" ",клиенты!$C354,1)))</f>
        <v>Гаврилов Матвей Трифонович</v>
      </c>
      <c r="K354" s="44" t="str">
        <f t="shared" si="11"/>
        <v>Матвей Трифонович Гаврилов</v>
      </c>
      <c r="L354" s="44" t="str">
        <f>LEFT(клиенты!$K354,FIND(" ",клиенты!$K354,1)-1)</f>
        <v>Матвей</v>
      </c>
      <c r="M354" s="44" t="str">
        <f>MID(K354,FIND(" ",клиенты!$K354,1)+1,(FIND(" ",клиенты!$K354,FIND(" ",клиенты!$K354,1)+1)-1)-FIND(" ",клиенты!$K354,1))</f>
        <v>Трифонович</v>
      </c>
      <c r="N354" s="44" t="str">
        <f>RIGHT(K354,LEN(K354)-FIND(" ",клиенты!$K354,FIND(" ",клиенты!$K354,1)+1))</f>
        <v>Гаврилов</v>
      </c>
    </row>
    <row r="355" spans="1:14" x14ac:dyDescent="0.25">
      <c r="A355" s="40">
        <v>485</v>
      </c>
      <c r="B355" s="41" t="s">
        <v>303</v>
      </c>
      <c r="C355" s="41" t="s">
        <v>302</v>
      </c>
      <c r="D355" s="41" t="s">
        <v>140</v>
      </c>
      <c r="E355" s="42">
        <v>44723</v>
      </c>
      <c r="F355" s="41" t="str">
        <f>LEFT(клиенты!$B355,LEN(клиенты!$B355)-13)</f>
        <v>+7</v>
      </c>
      <c r="G355" s="41" t="str">
        <f>_xlfn.XLOOKUP(клиенты!$F355,'коды стран'!$B$2:$B$7,'коды стран'!$A$2:$A$7,"не найдено",0)</f>
        <v>Россия</v>
      </c>
      <c r="H355" s="42">
        <f>_xlfn.MAXIFS(Продажи[дата создания чека],Продажи[id клиента],A355)</f>
        <v>45267</v>
      </c>
      <c r="I355" s="59">
        <f t="shared" si="10"/>
        <v>17.872689938398356</v>
      </c>
      <c r="J355" s="41" t="str">
        <f>IF(LEN(C355) - LEN(SUBSTITUTE(C355," ",""))&lt;3,C355,RIGHT(C355,LEN(C355)-FIND(" ",клиенты!$C355,1)))</f>
        <v>Пономарев Творимир Демидович</v>
      </c>
      <c r="K355" s="41" t="str">
        <f t="shared" si="11"/>
        <v>Творимир Демидович Пономарев</v>
      </c>
      <c r="L355" s="41" t="str">
        <f>LEFT(клиенты!$K355,FIND(" ",клиенты!$K355,1)-1)</f>
        <v>Творимир</v>
      </c>
      <c r="M355" s="41" t="str">
        <f>MID(K355,FIND(" ",клиенты!$K355,1)+1,(FIND(" ",клиенты!$K355,FIND(" ",клиенты!$K355,1)+1)-1)-FIND(" ",клиенты!$K355,1))</f>
        <v>Демидович</v>
      </c>
      <c r="N355" s="41" t="str">
        <f>RIGHT(K355,LEN(K355)-FIND(" ",клиенты!$K355,FIND(" ",клиенты!$K355,1)+1))</f>
        <v>Пономарев</v>
      </c>
    </row>
    <row r="356" spans="1:14" x14ac:dyDescent="0.25">
      <c r="A356" s="43">
        <v>401</v>
      </c>
      <c r="B356" s="44" t="s">
        <v>301</v>
      </c>
      <c r="C356" s="44" t="s">
        <v>300</v>
      </c>
      <c r="D356" s="44" t="s">
        <v>140</v>
      </c>
      <c r="E356" s="45">
        <v>44856</v>
      </c>
      <c r="F356" s="44" t="str">
        <f>LEFT(клиенты!$B356,LEN(клиенты!$B356)-13)</f>
        <v>+7</v>
      </c>
      <c r="G356" s="44" t="str">
        <f>_xlfn.XLOOKUP(клиенты!$F356,'коды стран'!$B$2:$B$7,'коды стран'!$A$2:$A$7,"не найдено",0)</f>
        <v>Россия</v>
      </c>
      <c r="H356" s="45">
        <f>_xlfn.MAXIFS(Продажи[дата создания чека],Продажи[id клиента],A356)</f>
        <v>45397</v>
      </c>
      <c r="I356" s="60">
        <f t="shared" si="10"/>
        <v>17.774127310061601</v>
      </c>
      <c r="J356" s="44" t="str">
        <f>IF(LEN(C356) - LEN(SUBSTITUTE(C356," ",""))&lt;3,C356,RIGHT(C356,LEN(C356)-FIND(" ",клиенты!$C356,1)))</f>
        <v>Екатерина Рудольфовна Кулакова</v>
      </c>
      <c r="K356" s="44" t="str">
        <f t="shared" si="11"/>
        <v>Екатерина Рудольфовна Кулакова</v>
      </c>
      <c r="L356" s="44" t="str">
        <f>LEFT(клиенты!$K356,FIND(" ",клиенты!$K356,1)-1)</f>
        <v>Екатерина</v>
      </c>
      <c r="M356" s="44" t="str">
        <f>MID(K356,FIND(" ",клиенты!$K356,1)+1,(FIND(" ",клиенты!$K356,FIND(" ",клиенты!$K356,1)+1)-1)-FIND(" ",клиенты!$K356,1))</f>
        <v>Рудольфовна</v>
      </c>
      <c r="N356" s="44" t="str">
        <f>RIGHT(K356,LEN(K356)-FIND(" ",клиенты!$K356,FIND(" ",клиенты!$K356,1)+1))</f>
        <v>Кулакова</v>
      </c>
    </row>
    <row r="357" spans="1:14" x14ac:dyDescent="0.25">
      <c r="A357" s="40">
        <v>379</v>
      </c>
      <c r="B357" s="41" t="s">
        <v>299</v>
      </c>
      <c r="C357" s="41" t="s">
        <v>298</v>
      </c>
      <c r="D357" s="41" t="s">
        <v>140</v>
      </c>
      <c r="E357" s="42">
        <v>44581</v>
      </c>
      <c r="F357" s="41" t="str">
        <f>LEFT(клиенты!$B357,LEN(клиенты!$B357)-13)</f>
        <v>+992</v>
      </c>
      <c r="G357" s="41" t="str">
        <f>_xlfn.XLOOKUP(клиенты!$F357,'коды стран'!$B$2:$B$7,'коды стран'!$A$2:$A$7,"не найдено",0)</f>
        <v>Таджикистан</v>
      </c>
      <c r="H357" s="42">
        <f>_xlfn.MAXIFS(Продажи[дата создания чека],Продажи[id клиента],A357)</f>
        <v>45306</v>
      </c>
      <c r="I357" s="59">
        <f t="shared" si="10"/>
        <v>23.819301848049282</v>
      </c>
      <c r="J357" s="41" t="str">
        <f>IF(LEN(C357) - LEN(SUBSTITUTE(C357," ",""))&lt;3,C357,RIGHT(C357,LEN(C357)-FIND(" ",клиенты!$C357,1)))</f>
        <v>Соколова Кира Дмитриевна</v>
      </c>
      <c r="K357" s="41" t="str">
        <f t="shared" si="11"/>
        <v>Кира Дмитриевна Соколова</v>
      </c>
      <c r="L357" s="41" t="str">
        <f>LEFT(клиенты!$K357,FIND(" ",клиенты!$K357,1)-1)</f>
        <v>Кира</v>
      </c>
      <c r="M357" s="41" t="str">
        <f>MID(K357,FIND(" ",клиенты!$K357,1)+1,(FIND(" ",клиенты!$K357,FIND(" ",клиенты!$K357,1)+1)-1)-FIND(" ",клиенты!$K357,1))</f>
        <v>Дмитриевна</v>
      </c>
      <c r="N357" s="41" t="str">
        <f>RIGHT(K357,LEN(K357)-FIND(" ",клиенты!$K357,FIND(" ",клиенты!$K357,1)+1))</f>
        <v>Соколова</v>
      </c>
    </row>
    <row r="358" spans="1:14" x14ac:dyDescent="0.25">
      <c r="A358" s="43">
        <v>201</v>
      </c>
      <c r="B358" s="44" t="s">
        <v>297</v>
      </c>
      <c r="C358" s="44" t="s">
        <v>296</v>
      </c>
      <c r="D358" s="44" t="s">
        <v>143</v>
      </c>
      <c r="E358" s="45">
        <v>44843</v>
      </c>
      <c r="F358" s="44" t="str">
        <f>LEFT(клиенты!$B358,LEN(клиенты!$B358)-13)</f>
        <v>+992</v>
      </c>
      <c r="G358" s="44" t="str">
        <f>_xlfn.XLOOKUP(клиенты!$F358,'коды стран'!$B$2:$B$7,'коды стран'!$A$2:$A$7,"не найдено",0)</f>
        <v>Таджикистан</v>
      </c>
      <c r="H358" s="45">
        <f>_xlfn.MAXIFS(Продажи[дата создания чека],Продажи[id клиента],A358)</f>
        <v>45372</v>
      </c>
      <c r="I358" s="60">
        <f t="shared" si="10"/>
        <v>17.37987679671458</v>
      </c>
      <c r="J358" s="44" t="str">
        <f>IF(LEN(C358) - LEN(SUBSTITUTE(C358," ",""))&lt;3,C358,RIGHT(C358,LEN(C358)-FIND(" ",клиенты!$C358,1)))</f>
        <v>Новиков Ростислав Августович</v>
      </c>
      <c r="K358" s="44" t="str">
        <f t="shared" si="11"/>
        <v>Ростислав Августович Новиков</v>
      </c>
      <c r="L358" s="44" t="str">
        <f>LEFT(клиенты!$K358,FIND(" ",клиенты!$K358,1)-1)</f>
        <v>Ростислав</v>
      </c>
      <c r="M358" s="44" t="str">
        <f>MID(K358,FIND(" ",клиенты!$K358,1)+1,(FIND(" ",клиенты!$K358,FIND(" ",клиенты!$K358,1)+1)-1)-FIND(" ",клиенты!$K358,1))</f>
        <v>Августович</v>
      </c>
      <c r="N358" s="44" t="str">
        <f>RIGHT(K358,LEN(K358)-FIND(" ",клиенты!$K358,FIND(" ",клиенты!$K358,1)+1))</f>
        <v>Новиков</v>
      </c>
    </row>
    <row r="359" spans="1:14" x14ac:dyDescent="0.25">
      <c r="A359" s="40">
        <v>498</v>
      </c>
      <c r="B359" s="41" t="s">
        <v>295</v>
      </c>
      <c r="C359" s="41" t="s">
        <v>294</v>
      </c>
      <c r="D359" s="41" t="s">
        <v>143</v>
      </c>
      <c r="E359" s="42">
        <v>44721</v>
      </c>
      <c r="F359" s="41" t="str">
        <f>LEFT(клиенты!$B359,LEN(клиенты!$B359)-13)</f>
        <v>+380</v>
      </c>
      <c r="G359" s="41" t="str">
        <f>_xlfn.XLOOKUP(клиенты!$F359,'коды стран'!$B$2:$B$7,'коды стран'!$A$2:$A$7,"не найдено",0)</f>
        <v>Украина</v>
      </c>
      <c r="H359" s="42">
        <f>_xlfn.MAXIFS(Продажи[дата создания чека],Продажи[id клиента],A359)</f>
        <v>45290</v>
      </c>
      <c r="I359" s="59">
        <f t="shared" si="10"/>
        <v>18.694045174537987</v>
      </c>
      <c r="J359" s="41" t="str">
        <f>IF(LEN(C359) - LEN(SUBSTITUTE(C359," ",""))&lt;3,C359,RIGHT(C359,LEN(C359)-FIND(" ",клиенты!$C359,1)))</f>
        <v>Моисеев Евстафий Чеславович</v>
      </c>
      <c r="K359" s="41" t="str">
        <f t="shared" si="11"/>
        <v>Евстафий Чеславович Моисеев</v>
      </c>
      <c r="L359" s="41" t="str">
        <f>LEFT(клиенты!$K359,FIND(" ",клиенты!$K359,1)-1)</f>
        <v>Евстафий</v>
      </c>
      <c r="M359" s="41" t="str">
        <f>MID(K359,FIND(" ",клиенты!$K359,1)+1,(FIND(" ",клиенты!$K359,FIND(" ",клиенты!$K359,1)+1)-1)-FIND(" ",клиенты!$K359,1))</f>
        <v>Чеславович</v>
      </c>
      <c r="N359" s="41" t="str">
        <f>RIGHT(K359,LEN(K359)-FIND(" ",клиенты!$K359,FIND(" ",клиенты!$K359,1)+1))</f>
        <v>Моисеев</v>
      </c>
    </row>
    <row r="360" spans="1:14" x14ac:dyDescent="0.25">
      <c r="A360" s="43">
        <v>237</v>
      </c>
      <c r="B360" s="44" t="s">
        <v>293</v>
      </c>
      <c r="C360" s="44" t="s">
        <v>292</v>
      </c>
      <c r="D360" s="44" t="s">
        <v>143</v>
      </c>
      <c r="E360" s="45">
        <v>44886</v>
      </c>
      <c r="F360" s="44" t="str">
        <f>LEFT(клиенты!$B360,LEN(клиенты!$B360)-13)</f>
        <v>+7</v>
      </c>
      <c r="G360" s="44" t="str">
        <f>_xlfn.XLOOKUP(клиенты!$F360,'коды стран'!$B$2:$B$7,'коды стран'!$A$2:$A$7,"не найдено",0)</f>
        <v>Россия</v>
      </c>
      <c r="H360" s="45">
        <f>_xlfn.MAXIFS(Продажи[дата создания чека],Продажи[id клиента],A360)</f>
        <v>44981</v>
      </c>
      <c r="I360" s="60">
        <f t="shared" si="10"/>
        <v>3.1211498973305956</v>
      </c>
      <c r="J360" s="44" t="str">
        <f>IF(LEN(C360) - LEN(SUBSTITUTE(C360," ",""))&lt;3,C360,RIGHT(C360,LEN(C360)-FIND(" ",клиенты!$C360,1)))</f>
        <v>Елизавета Артемовна Данилова</v>
      </c>
      <c r="K360" s="44" t="str">
        <f t="shared" si="11"/>
        <v>Елизавета Артемовна Данилова</v>
      </c>
      <c r="L360" s="44" t="str">
        <f>LEFT(клиенты!$K360,FIND(" ",клиенты!$K360,1)-1)</f>
        <v>Елизавета</v>
      </c>
      <c r="M360" s="44" t="str">
        <f>MID(K360,FIND(" ",клиенты!$K360,1)+1,(FIND(" ",клиенты!$K360,FIND(" ",клиенты!$K360,1)+1)-1)-FIND(" ",клиенты!$K360,1))</f>
        <v>Артемовна</v>
      </c>
      <c r="N360" s="44" t="str">
        <f>RIGHT(K360,LEN(K360)-FIND(" ",клиенты!$K360,FIND(" ",клиенты!$K360,1)+1))</f>
        <v>Данилова</v>
      </c>
    </row>
    <row r="361" spans="1:14" x14ac:dyDescent="0.25">
      <c r="A361" s="40">
        <v>403</v>
      </c>
      <c r="B361" s="41" t="s">
        <v>291</v>
      </c>
      <c r="C361" s="41" t="s">
        <v>290</v>
      </c>
      <c r="D361" s="41" t="s">
        <v>140</v>
      </c>
      <c r="E361" s="42">
        <v>44594</v>
      </c>
      <c r="F361" s="41" t="str">
        <f>LEFT(клиенты!$B361,LEN(клиенты!$B361)-13)</f>
        <v>+7</v>
      </c>
      <c r="G361" s="41" t="str">
        <f>_xlfn.XLOOKUP(клиенты!$F361,'коды стран'!$B$2:$B$7,'коды стран'!$A$2:$A$7,"не найдено",0)</f>
        <v>Россия</v>
      </c>
      <c r="H361" s="42">
        <f>_xlfn.MAXIFS(Продажи[дата создания чека],Продажи[id клиента],A361)</f>
        <v>44983</v>
      </c>
      <c r="I361" s="59">
        <f t="shared" si="10"/>
        <v>12.780287474332649</v>
      </c>
      <c r="J361" s="41" t="str">
        <f>IF(LEN(C361) - LEN(SUBSTITUTE(C361," ",""))&lt;3,C361,RIGHT(C361,LEN(C361)-FIND(" ",клиенты!$C361,1)))</f>
        <v>Фаина Аркадьевна Веселова</v>
      </c>
      <c r="K361" s="41" t="str">
        <f t="shared" si="11"/>
        <v>Фаина Аркадьевна Веселова</v>
      </c>
      <c r="L361" s="41" t="str">
        <f>LEFT(клиенты!$K361,FIND(" ",клиенты!$K361,1)-1)</f>
        <v>Фаина</v>
      </c>
      <c r="M361" s="41" t="str">
        <f>MID(K361,FIND(" ",клиенты!$K361,1)+1,(FIND(" ",клиенты!$K361,FIND(" ",клиенты!$K361,1)+1)-1)-FIND(" ",клиенты!$K361,1))</f>
        <v>Аркадьевна</v>
      </c>
      <c r="N361" s="41" t="str">
        <f>RIGHT(K361,LEN(K361)-FIND(" ",клиенты!$K361,FIND(" ",клиенты!$K361,1)+1))</f>
        <v>Веселова</v>
      </c>
    </row>
    <row r="362" spans="1:14" x14ac:dyDescent="0.25">
      <c r="A362" s="43">
        <v>460</v>
      </c>
      <c r="B362" s="44" t="s">
        <v>289</v>
      </c>
      <c r="C362" s="44" t="s">
        <v>288</v>
      </c>
      <c r="D362" s="44" t="s">
        <v>140</v>
      </c>
      <c r="E362" s="45">
        <v>44821</v>
      </c>
      <c r="F362" s="44" t="str">
        <f>LEFT(клиенты!$B362,LEN(клиенты!$B362)-13)</f>
        <v>+7</v>
      </c>
      <c r="G362" s="44" t="str">
        <f>_xlfn.XLOOKUP(клиенты!$F362,'коды стран'!$B$2:$B$7,'коды стран'!$A$2:$A$7,"не найдено",0)</f>
        <v>Россия</v>
      </c>
      <c r="H362" s="45">
        <f>_xlfn.MAXIFS(Продажи[дата создания чека],Продажи[id клиента],A362)</f>
        <v>45108</v>
      </c>
      <c r="I362" s="60">
        <f t="shared" si="10"/>
        <v>9.4291581108829572</v>
      </c>
      <c r="J362" s="44" t="str">
        <f>IF(LEN(C362) - LEN(SUBSTITUTE(C362," ",""))&lt;3,C362,RIGHT(C362,LEN(C362)-FIND(" ",клиенты!$C362,1)))</f>
        <v>Алевтина Егоровна Кузнецова</v>
      </c>
      <c r="K362" s="44" t="str">
        <f t="shared" si="11"/>
        <v>Алевтина Егоровна Кузнецова</v>
      </c>
      <c r="L362" s="44" t="str">
        <f>LEFT(клиенты!$K362,FIND(" ",клиенты!$K362,1)-1)</f>
        <v>Алевтина</v>
      </c>
      <c r="M362" s="44" t="str">
        <f>MID(K362,FIND(" ",клиенты!$K362,1)+1,(FIND(" ",клиенты!$K362,FIND(" ",клиенты!$K362,1)+1)-1)-FIND(" ",клиенты!$K362,1))</f>
        <v>Егоровна</v>
      </c>
      <c r="N362" s="44" t="str">
        <f>RIGHT(K362,LEN(K362)-FIND(" ",клиенты!$K362,FIND(" ",клиенты!$K362,1)+1))</f>
        <v>Кузнецова</v>
      </c>
    </row>
    <row r="363" spans="1:14" x14ac:dyDescent="0.25">
      <c r="A363" s="40">
        <v>50</v>
      </c>
      <c r="B363" s="41" t="s">
        <v>287</v>
      </c>
      <c r="C363" s="41" t="s">
        <v>286</v>
      </c>
      <c r="D363" s="41" t="s">
        <v>143</v>
      </c>
      <c r="E363" s="42">
        <v>44576</v>
      </c>
      <c r="F363" s="41" t="str">
        <f>LEFT(клиенты!$B363,LEN(клиенты!$B363)-13)</f>
        <v>+998</v>
      </c>
      <c r="G363" s="41" t="str">
        <f>_xlfn.XLOOKUP(клиенты!$F363,'коды стран'!$B$2:$B$7,'коды стран'!$A$2:$A$7,"не найдено",0)</f>
        <v>Узбекистан</v>
      </c>
      <c r="H363" s="42">
        <f>_xlfn.MAXIFS(Продажи[дата создания чека],Продажи[id клиента],A363)</f>
        <v>45175</v>
      </c>
      <c r="I363" s="59">
        <f t="shared" si="10"/>
        <v>19.679671457905545</v>
      </c>
      <c r="J363" s="41" t="str">
        <f>IF(LEN(C363) - LEN(SUBSTITUTE(C363," ",""))&lt;3,C363,RIGHT(C363,LEN(C363)-FIND(" ",клиенты!$C363,1)))</f>
        <v>Гостомысл Фомич Одинцов</v>
      </c>
      <c r="K363" s="41" t="str">
        <f t="shared" si="11"/>
        <v>Гостомысл Фомич Одинцов</v>
      </c>
      <c r="L363" s="41" t="str">
        <f>LEFT(клиенты!$K363,FIND(" ",клиенты!$K363,1)-1)</f>
        <v>Гостомысл</v>
      </c>
      <c r="M363" s="41" t="str">
        <f>MID(K363,FIND(" ",клиенты!$K363,1)+1,(FIND(" ",клиенты!$K363,FIND(" ",клиенты!$K363,1)+1)-1)-FIND(" ",клиенты!$K363,1))</f>
        <v>Фомич</v>
      </c>
      <c r="N363" s="41" t="str">
        <f>RIGHT(K363,LEN(K363)-FIND(" ",клиенты!$K363,FIND(" ",клиенты!$K363,1)+1))</f>
        <v>Одинцов</v>
      </c>
    </row>
    <row r="364" spans="1:14" x14ac:dyDescent="0.25">
      <c r="A364" s="43">
        <v>197</v>
      </c>
      <c r="B364" s="44" t="s">
        <v>285</v>
      </c>
      <c r="C364" s="44" t="s">
        <v>284</v>
      </c>
      <c r="D364" s="44" t="s">
        <v>140</v>
      </c>
      <c r="E364" s="45">
        <v>44785</v>
      </c>
      <c r="F364" s="44" t="str">
        <f>LEFT(клиенты!$B364,LEN(клиенты!$B364)-13)</f>
        <v>+380</v>
      </c>
      <c r="G364" s="44" t="str">
        <f>_xlfn.XLOOKUP(клиенты!$F364,'коды стран'!$B$2:$B$7,'коды стран'!$A$2:$A$7,"не найдено",0)</f>
        <v>Украина</v>
      </c>
      <c r="H364" s="45">
        <f>_xlfn.MAXIFS(Продажи[дата создания чека],Продажи[id клиента],A364)</f>
        <v>45394</v>
      </c>
      <c r="I364" s="60">
        <f t="shared" si="10"/>
        <v>20.008213552361397</v>
      </c>
      <c r="J364" s="44" t="str">
        <f>IF(LEN(C364) - LEN(SUBSTITUTE(C364," ",""))&lt;3,C364,RIGHT(C364,LEN(C364)-FIND(" ",клиенты!$C364,1)))</f>
        <v>Миронова Клавдия Феликсовна</v>
      </c>
      <c r="K364" s="44" t="str">
        <f t="shared" si="11"/>
        <v>Миронова Клавдия Феликсовна г-жа</v>
      </c>
      <c r="L364" s="44" t="str">
        <f>LEFT(клиенты!$K364,FIND(" ",клиенты!$K364,1)-1)</f>
        <v>Миронова</v>
      </c>
      <c r="M364" s="44" t="str">
        <f>MID(K364,FIND(" ",клиенты!$K364,1)+1,(FIND(" ",клиенты!$K364,FIND(" ",клиенты!$K364,1)+1)-1)-FIND(" ",клиенты!$K364,1))</f>
        <v>Клавдия</v>
      </c>
      <c r="N364" s="44" t="str">
        <f>RIGHT(K364,LEN(K364)-FIND(" ",клиенты!$K364,FIND(" ",клиенты!$K364,1)+1))</f>
        <v>Феликсовна г-жа</v>
      </c>
    </row>
    <row r="365" spans="1:14" x14ac:dyDescent="0.25">
      <c r="A365" s="40">
        <v>243</v>
      </c>
      <c r="B365" s="41" t="s">
        <v>283</v>
      </c>
      <c r="C365" s="41" t="s">
        <v>282</v>
      </c>
      <c r="D365" s="41" t="s">
        <v>140</v>
      </c>
      <c r="E365" s="42">
        <v>44681</v>
      </c>
      <c r="F365" s="41" t="str">
        <f>LEFT(клиенты!$B365,LEN(клиенты!$B365)-13)</f>
        <v>+7</v>
      </c>
      <c r="G365" s="41" t="str">
        <f>_xlfn.XLOOKUP(клиенты!$F365,'коды стран'!$B$2:$B$7,'коды стран'!$A$2:$A$7,"не найдено",0)</f>
        <v>Россия</v>
      </c>
      <c r="H365" s="42">
        <f>_xlfn.MAXIFS(Продажи[дата создания чека],Продажи[id клиента],A365)</f>
        <v>45424</v>
      </c>
      <c r="I365" s="59">
        <f t="shared" si="10"/>
        <v>24.410677618069816</v>
      </c>
      <c r="J365" s="41" t="str">
        <f>IF(LEN(C365) - LEN(SUBSTITUTE(C365," ",""))&lt;3,C365,RIGHT(C365,LEN(C365)-FIND(" ",клиенты!$C365,1)))</f>
        <v>Марфа Эдуардовна Макарова</v>
      </c>
      <c r="K365" s="41" t="str">
        <f t="shared" si="11"/>
        <v>Марфа Эдуардовна Макарова</v>
      </c>
      <c r="L365" s="41" t="str">
        <f>LEFT(клиенты!$K365,FIND(" ",клиенты!$K365,1)-1)</f>
        <v>Марфа</v>
      </c>
      <c r="M365" s="41" t="str">
        <f>MID(K365,FIND(" ",клиенты!$K365,1)+1,(FIND(" ",клиенты!$K365,FIND(" ",клиенты!$K365,1)+1)-1)-FIND(" ",клиенты!$K365,1))</f>
        <v>Эдуардовна</v>
      </c>
      <c r="N365" s="41" t="str">
        <f>RIGHT(K365,LEN(K365)-FIND(" ",клиенты!$K365,FIND(" ",клиенты!$K365,1)+1))</f>
        <v>Макарова</v>
      </c>
    </row>
    <row r="366" spans="1:14" x14ac:dyDescent="0.25">
      <c r="A366" s="43">
        <v>45</v>
      </c>
      <c r="B366" s="44" t="s">
        <v>281</v>
      </c>
      <c r="C366" s="44" t="s">
        <v>280</v>
      </c>
      <c r="D366" s="44" t="s">
        <v>143</v>
      </c>
      <c r="E366" s="45">
        <v>44662</v>
      </c>
      <c r="F366" s="44" t="str">
        <f>LEFT(клиенты!$B366,LEN(клиенты!$B366)-13)</f>
        <v>+998</v>
      </c>
      <c r="G366" s="44" t="str">
        <f>_xlfn.XLOOKUP(клиенты!$F366,'коды стран'!$B$2:$B$7,'коды стран'!$A$2:$A$7,"не найдено",0)</f>
        <v>Узбекистан</v>
      </c>
      <c r="H366" s="45">
        <f>_xlfn.MAXIFS(Продажи[дата создания чека],Продажи[id клиента],A366)</f>
        <v>45288</v>
      </c>
      <c r="I366" s="60">
        <f t="shared" si="10"/>
        <v>20.566735112936346</v>
      </c>
      <c r="J366" s="44" t="str">
        <f>IF(LEN(C366) - LEN(SUBSTITUTE(C366," ",""))&lt;3,C366,RIGHT(C366,LEN(C366)-FIND(" ",клиенты!$C366,1)))</f>
        <v>Елизар Харлампьевич Мамонтов</v>
      </c>
      <c r="K366" s="44" t="str">
        <f t="shared" si="11"/>
        <v>Елизар Харлампьевич Мамонтов</v>
      </c>
      <c r="L366" s="44" t="str">
        <f>LEFT(клиенты!$K366,FIND(" ",клиенты!$K366,1)-1)</f>
        <v>Елизар</v>
      </c>
      <c r="M366" s="44" t="str">
        <f>MID(K366,FIND(" ",клиенты!$K366,1)+1,(FIND(" ",клиенты!$K366,FIND(" ",клиенты!$K366,1)+1)-1)-FIND(" ",клиенты!$K366,1))</f>
        <v>Харлампьевич</v>
      </c>
      <c r="N366" s="44" t="str">
        <f>RIGHT(K366,LEN(K366)-FIND(" ",клиенты!$K366,FIND(" ",клиенты!$K366,1)+1))</f>
        <v>Мамонтов</v>
      </c>
    </row>
    <row r="367" spans="1:14" x14ac:dyDescent="0.25">
      <c r="A367" s="40">
        <v>242</v>
      </c>
      <c r="B367" s="41" t="s">
        <v>279</v>
      </c>
      <c r="C367" s="41" t="s">
        <v>278</v>
      </c>
      <c r="D367" s="41" t="s">
        <v>140</v>
      </c>
      <c r="E367" s="42">
        <v>44747</v>
      </c>
      <c r="F367" s="41" t="str">
        <f>LEFT(клиенты!$B367,LEN(клиенты!$B367)-13)</f>
        <v>+7</v>
      </c>
      <c r="G367" s="41" t="str">
        <f>_xlfn.XLOOKUP(клиенты!$F367,'коды стран'!$B$2:$B$7,'коды стран'!$A$2:$A$7,"не найдено",0)</f>
        <v>Россия</v>
      </c>
      <c r="H367" s="42">
        <f>_xlfn.MAXIFS(Продажи[дата создания чека],Продажи[id клиента],A367)</f>
        <v>45302</v>
      </c>
      <c r="I367" s="59">
        <f t="shared" si="10"/>
        <v>18.234086242299796</v>
      </c>
      <c r="J367" s="41" t="str">
        <f>IF(LEN(C367) - LEN(SUBSTITUTE(C367," ",""))&lt;3,C367,RIGHT(C367,LEN(C367)-FIND(" ",клиенты!$C367,1)))</f>
        <v>Октябрина Павловна Зимина</v>
      </c>
      <c r="K367" s="41" t="str">
        <f t="shared" si="11"/>
        <v>Октябрина Павловна Зимина</v>
      </c>
      <c r="L367" s="41" t="str">
        <f>LEFT(клиенты!$K367,FIND(" ",клиенты!$K367,1)-1)</f>
        <v>Октябрина</v>
      </c>
      <c r="M367" s="41" t="str">
        <f>MID(K367,FIND(" ",клиенты!$K367,1)+1,(FIND(" ",клиенты!$K367,FIND(" ",клиенты!$K367,1)+1)-1)-FIND(" ",клиенты!$K367,1))</f>
        <v>Павловна</v>
      </c>
      <c r="N367" s="41" t="str">
        <f>RIGHT(K367,LEN(K367)-FIND(" ",клиенты!$K367,FIND(" ",клиенты!$K367,1)+1))</f>
        <v>Зимина</v>
      </c>
    </row>
    <row r="368" spans="1:14" x14ac:dyDescent="0.25">
      <c r="A368" s="43">
        <v>79</v>
      </c>
      <c r="B368" s="44" t="s">
        <v>277</v>
      </c>
      <c r="C368" s="44" t="s">
        <v>276</v>
      </c>
      <c r="D368" s="44" t="s">
        <v>140</v>
      </c>
      <c r="E368" s="45">
        <v>44716</v>
      </c>
      <c r="F368" s="44" t="str">
        <f>LEFT(клиенты!$B368,LEN(клиенты!$B368)-13)</f>
        <v>+992</v>
      </c>
      <c r="G368" s="44" t="str">
        <f>_xlfn.XLOOKUP(клиенты!$F368,'коды стран'!$B$2:$B$7,'коды стран'!$A$2:$A$7,"не найдено",0)</f>
        <v>Таджикистан</v>
      </c>
      <c r="H368" s="45">
        <f>_xlfn.MAXIFS(Продажи[дата создания чека],Продажи[id клиента],A368)</f>
        <v>45313</v>
      </c>
      <c r="I368" s="60">
        <f t="shared" si="10"/>
        <v>19.613963039014372</v>
      </c>
      <c r="J368" s="44" t="str">
        <f>IF(LEN(C368) - LEN(SUBSTITUTE(C368," ",""))&lt;3,C368,RIGHT(C368,LEN(C368)-FIND(" ",клиенты!$C368,1)))</f>
        <v>Васильева Анжелика Наумовна</v>
      </c>
      <c r="K368" s="44" t="str">
        <f t="shared" si="11"/>
        <v>Анжелика Наумовна Васильева</v>
      </c>
      <c r="L368" s="44" t="str">
        <f>LEFT(клиенты!$K368,FIND(" ",клиенты!$K368,1)-1)</f>
        <v>Анжелика</v>
      </c>
      <c r="M368" s="44" t="str">
        <f>MID(K368,FIND(" ",клиенты!$K368,1)+1,(FIND(" ",клиенты!$K368,FIND(" ",клиенты!$K368,1)+1)-1)-FIND(" ",клиенты!$K368,1))</f>
        <v>Наумовна</v>
      </c>
      <c r="N368" s="44" t="str">
        <f>RIGHT(K368,LEN(K368)-FIND(" ",клиенты!$K368,FIND(" ",клиенты!$K368,1)+1))</f>
        <v>Васильева</v>
      </c>
    </row>
    <row r="369" spans="1:14" x14ac:dyDescent="0.25">
      <c r="A369" s="40">
        <v>70</v>
      </c>
      <c r="B369" s="41" t="s">
        <v>275</v>
      </c>
      <c r="C369" s="41" t="s">
        <v>274</v>
      </c>
      <c r="D369" s="41" t="s">
        <v>143</v>
      </c>
      <c r="E369" s="42">
        <v>44591</v>
      </c>
      <c r="F369" s="41" t="str">
        <f>LEFT(клиенты!$B369,LEN(клиенты!$B369)-13)</f>
        <v>+380</v>
      </c>
      <c r="G369" s="41" t="str">
        <f>_xlfn.XLOOKUP(клиенты!$F369,'коды стран'!$B$2:$B$7,'коды стран'!$A$2:$A$7,"не найдено",0)</f>
        <v>Украина</v>
      </c>
      <c r="H369" s="42">
        <f>_xlfn.MAXIFS(Продажи[дата создания чека],Продажи[id клиента],A369)</f>
        <v>45387</v>
      </c>
      <c r="I369" s="59">
        <f t="shared" si="10"/>
        <v>26.151950718685832</v>
      </c>
      <c r="J369" s="41" t="str">
        <f>IF(LEN(C369) - LEN(SUBSTITUTE(C369," ",""))&lt;3,C369,RIGHT(C369,LEN(C369)-FIND(" ",клиенты!$C369,1)))</f>
        <v>Эммануил Валерьевич Королев</v>
      </c>
      <c r="K369" s="41" t="str">
        <f t="shared" si="11"/>
        <v>Эммануил Валерьевич Королев</v>
      </c>
      <c r="L369" s="41" t="str">
        <f>LEFT(клиенты!$K369,FIND(" ",клиенты!$K369,1)-1)</f>
        <v>Эммануил</v>
      </c>
      <c r="M369" s="41" t="str">
        <f>MID(K369,FIND(" ",клиенты!$K369,1)+1,(FIND(" ",клиенты!$K369,FIND(" ",клиенты!$K369,1)+1)-1)-FIND(" ",клиенты!$K369,1))</f>
        <v>Валерьевич</v>
      </c>
      <c r="N369" s="41" t="str">
        <f>RIGHT(K369,LEN(K369)-FIND(" ",клиенты!$K369,FIND(" ",клиенты!$K369,1)+1))</f>
        <v>Королев</v>
      </c>
    </row>
    <row r="370" spans="1:14" x14ac:dyDescent="0.25">
      <c r="A370" s="43">
        <v>345</v>
      </c>
      <c r="B370" s="44" t="s">
        <v>273</v>
      </c>
      <c r="C370" s="44" t="s">
        <v>272</v>
      </c>
      <c r="D370" s="44" t="s">
        <v>143</v>
      </c>
      <c r="E370" s="45">
        <v>44705</v>
      </c>
      <c r="F370" s="44" t="str">
        <f>LEFT(клиенты!$B370,LEN(клиенты!$B370)-13)</f>
        <v>+375</v>
      </c>
      <c r="G370" s="44" t="str">
        <f>_xlfn.XLOOKUP(клиенты!$F370,'коды стран'!$B$2:$B$7,'коды стран'!$A$2:$A$7,"не найдено",0)</f>
        <v>Беларусь</v>
      </c>
      <c r="H370" s="45">
        <f>_xlfn.MAXIFS(Продажи[дата создания чека],Продажи[id клиента],A370)</f>
        <v>45229</v>
      </c>
      <c r="I370" s="60">
        <f t="shared" si="10"/>
        <v>17.215605749486652</v>
      </c>
      <c r="J370" s="44" t="str">
        <f>IF(LEN(C370) - LEN(SUBSTITUTE(C370," ",""))&lt;3,C370,RIGHT(C370,LEN(C370)-FIND(" ",клиенты!$C370,1)))</f>
        <v>Лыткина Ираида Александровна</v>
      </c>
      <c r="K370" s="44" t="str">
        <f t="shared" si="11"/>
        <v>Ираида Александровна Лыткина</v>
      </c>
      <c r="L370" s="44" t="str">
        <f>LEFT(клиенты!$K370,FIND(" ",клиенты!$K370,1)-1)</f>
        <v>Ираида</v>
      </c>
      <c r="M370" s="44" t="str">
        <f>MID(K370,FIND(" ",клиенты!$K370,1)+1,(FIND(" ",клиенты!$K370,FIND(" ",клиенты!$K370,1)+1)-1)-FIND(" ",клиенты!$K370,1))</f>
        <v>Александровна</v>
      </c>
      <c r="N370" s="44" t="str">
        <f>RIGHT(K370,LEN(K370)-FIND(" ",клиенты!$K370,FIND(" ",клиенты!$K370,1)+1))</f>
        <v>Лыткина</v>
      </c>
    </row>
    <row r="371" spans="1:14" x14ac:dyDescent="0.25">
      <c r="A371" s="40">
        <v>33</v>
      </c>
      <c r="B371" s="41" t="s">
        <v>271</v>
      </c>
      <c r="C371" s="41" t="s">
        <v>270</v>
      </c>
      <c r="D371" s="41" t="s">
        <v>140</v>
      </c>
      <c r="E371" s="42">
        <v>44730</v>
      </c>
      <c r="F371" s="41" t="str">
        <f>LEFT(клиенты!$B371,LEN(клиенты!$B371)-13)</f>
        <v>+7</v>
      </c>
      <c r="G371" s="41" t="str">
        <f>_xlfn.XLOOKUP(клиенты!$F371,'коды стран'!$B$2:$B$7,'коды стран'!$A$2:$A$7,"не найдено",0)</f>
        <v>Россия</v>
      </c>
      <c r="H371" s="42">
        <f>_xlfn.MAXIFS(Продажи[дата создания чека],Продажи[id клиента],A371)</f>
        <v>45153</v>
      </c>
      <c r="I371" s="59">
        <f t="shared" si="10"/>
        <v>13.897330595482547</v>
      </c>
      <c r="J371" s="41" t="str">
        <f>IF(LEN(C371) - LEN(SUBSTITUTE(C371," ",""))&lt;3,C371,RIGHT(C371,LEN(C371)-FIND(" ",клиенты!$C371,1)))</f>
        <v>Фомичева Феврония Даниловна</v>
      </c>
      <c r="K371" s="41" t="str">
        <f t="shared" si="11"/>
        <v>Феврония Даниловна Фомичева</v>
      </c>
      <c r="L371" s="41" t="str">
        <f>LEFT(клиенты!$K371,FIND(" ",клиенты!$K371,1)-1)</f>
        <v>Феврония</v>
      </c>
      <c r="M371" s="41" t="str">
        <f>MID(K371,FIND(" ",клиенты!$K371,1)+1,(FIND(" ",клиенты!$K371,FIND(" ",клиенты!$K371,1)+1)-1)-FIND(" ",клиенты!$K371,1))</f>
        <v>Даниловна</v>
      </c>
      <c r="N371" s="41" t="str">
        <f>RIGHT(K371,LEN(K371)-FIND(" ",клиенты!$K371,FIND(" ",клиенты!$K371,1)+1))</f>
        <v>Фомичева</v>
      </c>
    </row>
    <row r="372" spans="1:14" x14ac:dyDescent="0.25">
      <c r="A372" s="43">
        <v>7</v>
      </c>
      <c r="B372" s="44" t="s">
        <v>269</v>
      </c>
      <c r="C372" s="44" t="s">
        <v>268</v>
      </c>
      <c r="D372" s="44" t="s">
        <v>143</v>
      </c>
      <c r="E372" s="45">
        <v>44893</v>
      </c>
      <c r="F372" s="44" t="str">
        <f>LEFT(клиенты!$B372,LEN(клиенты!$B372)-13)</f>
        <v>+7</v>
      </c>
      <c r="G372" s="44" t="str">
        <f>_xlfn.XLOOKUP(клиенты!$F372,'коды стран'!$B$2:$B$7,'коды стран'!$A$2:$A$7,"не найдено",0)</f>
        <v>Россия</v>
      </c>
      <c r="H372" s="45">
        <f>_xlfn.MAXIFS(Продажи[дата создания чека],Продажи[id клиента],A372)</f>
        <v>45244</v>
      </c>
      <c r="I372" s="60">
        <f t="shared" si="10"/>
        <v>11.53182751540041</v>
      </c>
      <c r="J372" s="44" t="str">
        <f>IF(LEN(C372) - LEN(SUBSTITUTE(C372," ",""))&lt;3,C372,RIGHT(C372,LEN(C372)-FIND(" ",клиенты!$C372,1)))</f>
        <v>Баранова Раиса Эльдаровна</v>
      </c>
      <c r="K372" s="44" t="str">
        <f t="shared" si="11"/>
        <v>Раиса Эльдаровна Баранова</v>
      </c>
      <c r="L372" s="44" t="str">
        <f>LEFT(клиенты!$K372,FIND(" ",клиенты!$K372,1)-1)</f>
        <v>Раиса</v>
      </c>
      <c r="M372" s="44" t="str">
        <f>MID(K372,FIND(" ",клиенты!$K372,1)+1,(FIND(" ",клиенты!$K372,FIND(" ",клиенты!$K372,1)+1)-1)-FIND(" ",клиенты!$K372,1))</f>
        <v>Эльдаровна</v>
      </c>
      <c r="N372" s="44" t="str">
        <f>RIGHT(K372,LEN(K372)-FIND(" ",клиенты!$K372,FIND(" ",клиенты!$K372,1)+1))</f>
        <v>Баранова</v>
      </c>
    </row>
    <row r="373" spans="1:14" x14ac:dyDescent="0.25">
      <c r="A373" s="40">
        <v>494</v>
      </c>
      <c r="B373" s="41" t="s">
        <v>267</v>
      </c>
      <c r="C373" s="41" t="s">
        <v>266</v>
      </c>
      <c r="D373" s="41" t="s">
        <v>140</v>
      </c>
      <c r="E373" s="42">
        <v>44738</v>
      </c>
      <c r="F373" s="41" t="str">
        <f>LEFT(клиенты!$B373,LEN(клиенты!$B373)-13)</f>
        <v>+375</v>
      </c>
      <c r="G373" s="41" t="str">
        <f>_xlfn.XLOOKUP(клиенты!$F373,'коды стран'!$B$2:$B$7,'коды стран'!$A$2:$A$7,"не найдено",0)</f>
        <v>Беларусь</v>
      </c>
      <c r="H373" s="42">
        <f>_xlfn.MAXIFS(Продажи[дата создания чека],Продажи[id клиента],A373)</f>
        <v>44931</v>
      </c>
      <c r="I373" s="59">
        <f t="shared" si="10"/>
        <v>6.3408624229979464</v>
      </c>
      <c r="J373" s="41" t="str">
        <f>IF(LEN(C373) - LEN(SUBSTITUTE(C373," ",""))&lt;3,C373,RIGHT(C373,LEN(C373)-FIND(" ",клиенты!$C373,1)))</f>
        <v>Ефимова Анна Филипповна</v>
      </c>
      <c r="K373" s="41" t="str">
        <f t="shared" si="11"/>
        <v>Ефимова Анна Филипповна г-жа</v>
      </c>
      <c r="L373" s="41" t="str">
        <f>LEFT(клиенты!$K373,FIND(" ",клиенты!$K373,1)-1)</f>
        <v>Ефимова</v>
      </c>
      <c r="M373" s="41" t="str">
        <f>MID(K373,FIND(" ",клиенты!$K373,1)+1,(FIND(" ",клиенты!$K373,FIND(" ",клиенты!$K373,1)+1)-1)-FIND(" ",клиенты!$K373,1))</f>
        <v>Анна</v>
      </c>
      <c r="N373" s="41" t="str">
        <f>RIGHT(K373,LEN(K373)-FIND(" ",клиенты!$K373,FIND(" ",клиенты!$K373,1)+1))</f>
        <v>Филипповна г-жа</v>
      </c>
    </row>
    <row r="374" spans="1:14" x14ac:dyDescent="0.25">
      <c r="A374" s="43">
        <v>83</v>
      </c>
      <c r="B374" s="44" t="s">
        <v>265</v>
      </c>
      <c r="C374" s="44" t="s">
        <v>264</v>
      </c>
      <c r="D374" s="44" t="s">
        <v>143</v>
      </c>
      <c r="E374" s="45">
        <v>44739</v>
      </c>
      <c r="F374" s="44" t="str">
        <f>LEFT(клиенты!$B374,LEN(клиенты!$B374)-13)</f>
        <v>+992</v>
      </c>
      <c r="G374" s="44" t="str">
        <f>_xlfn.XLOOKUP(клиенты!$F374,'коды стран'!$B$2:$B$7,'коды стран'!$A$2:$A$7,"не найдено",0)</f>
        <v>Таджикистан</v>
      </c>
      <c r="H374" s="45">
        <f>_xlfn.MAXIFS(Продажи[дата создания чека],Продажи[id клиента],A374)</f>
        <v>45283</v>
      </c>
      <c r="I374" s="60">
        <f t="shared" si="10"/>
        <v>17.872689938398356</v>
      </c>
      <c r="J374" s="44" t="str">
        <f>IF(LEN(C374) - LEN(SUBSTITUTE(C374," ",""))&lt;3,C374,RIGHT(C374,LEN(C374)-FIND(" ",клиенты!$C374,1)))</f>
        <v>Зуев Трифон Зиновьевич</v>
      </c>
      <c r="K374" s="44" t="str">
        <f t="shared" si="11"/>
        <v>Зуев Трифон Зиновьевич г-н</v>
      </c>
      <c r="L374" s="44" t="str">
        <f>LEFT(клиенты!$K374,FIND(" ",клиенты!$K374,1)-1)</f>
        <v>Зуев</v>
      </c>
      <c r="M374" s="44" t="str">
        <f>MID(K374,FIND(" ",клиенты!$K374,1)+1,(FIND(" ",клиенты!$K374,FIND(" ",клиенты!$K374,1)+1)-1)-FIND(" ",клиенты!$K374,1))</f>
        <v>Трифон</v>
      </c>
      <c r="N374" s="44" t="str">
        <f>RIGHT(K374,LEN(K374)-FIND(" ",клиенты!$K374,FIND(" ",клиенты!$K374,1)+1))</f>
        <v>Зиновьевич г-н</v>
      </c>
    </row>
    <row r="375" spans="1:14" x14ac:dyDescent="0.25">
      <c r="A375" s="40">
        <v>352</v>
      </c>
      <c r="B375" s="41" t="s">
        <v>263</v>
      </c>
      <c r="C375" s="41" t="s">
        <v>262</v>
      </c>
      <c r="D375" s="41" t="s">
        <v>140</v>
      </c>
      <c r="E375" s="42">
        <v>44573</v>
      </c>
      <c r="F375" s="41" t="str">
        <f>LEFT(клиенты!$B375,LEN(клиенты!$B375)-13)</f>
        <v>+7</v>
      </c>
      <c r="G375" s="41" t="str">
        <f>_xlfn.XLOOKUP(клиенты!$F375,'коды стран'!$B$2:$B$7,'коды стран'!$A$2:$A$7,"не найдено",0)</f>
        <v>Россия</v>
      </c>
      <c r="H375" s="42">
        <f>_xlfn.MAXIFS(Продажи[дата создания чека],Продажи[id клиента],A375)</f>
        <v>45081</v>
      </c>
      <c r="I375" s="59">
        <f t="shared" si="10"/>
        <v>16.689938398357288</v>
      </c>
      <c r="J375" s="41" t="str">
        <f>IF(LEN(C375) - LEN(SUBSTITUTE(C375," ",""))&lt;3,C375,RIGHT(C375,LEN(C375)-FIND(" ",клиенты!$C375,1)))</f>
        <v>Нестерова Таисия Яковлевна</v>
      </c>
      <c r="K375" s="41" t="str">
        <f t="shared" si="11"/>
        <v>Таисия Яковлевна Нестерова</v>
      </c>
      <c r="L375" s="41" t="str">
        <f>LEFT(клиенты!$K375,FIND(" ",клиенты!$K375,1)-1)</f>
        <v>Таисия</v>
      </c>
      <c r="M375" s="41" t="str">
        <f>MID(K375,FIND(" ",клиенты!$K375,1)+1,(FIND(" ",клиенты!$K375,FIND(" ",клиенты!$K375,1)+1)-1)-FIND(" ",клиенты!$K375,1))</f>
        <v>Яковлевна</v>
      </c>
      <c r="N375" s="41" t="str">
        <f>RIGHT(K375,LEN(K375)-FIND(" ",клиенты!$K375,FIND(" ",клиенты!$K375,1)+1))</f>
        <v>Нестерова</v>
      </c>
    </row>
    <row r="376" spans="1:14" x14ac:dyDescent="0.25">
      <c r="A376" s="43">
        <v>8</v>
      </c>
      <c r="B376" s="44" t="s">
        <v>261</v>
      </c>
      <c r="C376" s="44" t="s">
        <v>260</v>
      </c>
      <c r="D376" s="44" t="s">
        <v>143</v>
      </c>
      <c r="E376" s="45">
        <v>44883</v>
      </c>
      <c r="F376" s="44" t="str">
        <f>LEFT(клиенты!$B376,LEN(клиенты!$B376)-13)</f>
        <v>+375</v>
      </c>
      <c r="G376" s="44" t="str">
        <f>_xlfn.XLOOKUP(клиенты!$F376,'коды стран'!$B$2:$B$7,'коды стран'!$A$2:$A$7,"не найдено",0)</f>
        <v>Беларусь</v>
      </c>
      <c r="H376" s="45">
        <f>_xlfn.MAXIFS(Продажи[дата создания чека],Продажи[id клиента],A376)</f>
        <v>45330</v>
      </c>
      <c r="I376" s="60">
        <f t="shared" si="10"/>
        <v>14.685831622176591</v>
      </c>
      <c r="J376" s="44" t="str">
        <f>IF(LEN(C376) - LEN(SUBSTITUTE(C376," ",""))&lt;3,C376,RIGHT(C376,LEN(C376)-FIND(" ",клиенты!$C376,1)))</f>
        <v>Ирина Макаровна Шарова</v>
      </c>
      <c r="K376" s="44" t="str">
        <f t="shared" si="11"/>
        <v>Ирина Макаровна Шарова</v>
      </c>
      <c r="L376" s="44" t="str">
        <f>LEFT(клиенты!$K376,FIND(" ",клиенты!$K376,1)-1)</f>
        <v>Ирина</v>
      </c>
      <c r="M376" s="44" t="str">
        <f>MID(K376,FIND(" ",клиенты!$K376,1)+1,(FIND(" ",клиенты!$K376,FIND(" ",клиенты!$K376,1)+1)-1)-FIND(" ",клиенты!$K376,1))</f>
        <v>Макаровна</v>
      </c>
      <c r="N376" s="44" t="str">
        <f>RIGHT(K376,LEN(K376)-FIND(" ",клиенты!$K376,FIND(" ",клиенты!$K376,1)+1))</f>
        <v>Шарова</v>
      </c>
    </row>
    <row r="377" spans="1:14" x14ac:dyDescent="0.25">
      <c r="A377" s="40">
        <v>291</v>
      </c>
      <c r="B377" s="41" t="s">
        <v>259</v>
      </c>
      <c r="C377" s="41" t="s">
        <v>258</v>
      </c>
      <c r="D377" s="41" t="s">
        <v>143</v>
      </c>
      <c r="E377" s="42">
        <v>44710</v>
      </c>
      <c r="F377" s="41" t="str">
        <f>LEFT(клиенты!$B377,LEN(клиенты!$B377)-13)</f>
        <v>+992</v>
      </c>
      <c r="G377" s="41" t="str">
        <f>_xlfn.XLOOKUP(клиенты!$F377,'коды стран'!$B$2:$B$7,'коды стран'!$A$2:$A$7,"не найдено",0)</f>
        <v>Таджикистан</v>
      </c>
      <c r="H377" s="42">
        <f>_xlfn.MAXIFS(Продажи[дата создания чека],Продажи[id клиента],A377)</f>
        <v>45122</v>
      </c>
      <c r="I377" s="59">
        <f t="shared" si="10"/>
        <v>13.535934291581109</v>
      </c>
      <c r="J377" s="41" t="str">
        <f>IF(LEN(C377) - LEN(SUBSTITUTE(C377," ",""))&lt;3,C377,RIGHT(C377,LEN(C377)-FIND(" ",клиенты!$C377,1)))</f>
        <v>Кононова Элеонора Юрьевна</v>
      </c>
      <c r="K377" s="41" t="str">
        <f t="shared" si="11"/>
        <v>Элеонора Юрьевна Кононова</v>
      </c>
      <c r="L377" s="41" t="str">
        <f>LEFT(клиенты!$K377,FIND(" ",клиенты!$K377,1)-1)</f>
        <v>Элеонора</v>
      </c>
      <c r="M377" s="41" t="str">
        <f>MID(K377,FIND(" ",клиенты!$K377,1)+1,(FIND(" ",клиенты!$K377,FIND(" ",клиенты!$K377,1)+1)-1)-FIND(" ",клиенты!$K377,1))</f>
        <v>Юрьевна</v>
      </c>
      <c r="N377" s="41" t="str">
        <f>RIGHT(K377,LEN(K377)-FIND(" ",клиенты!$K377,FIND(" ",клиенты!$K377,1)+1))</f>
        <v>Кононова</v>
      </c>
    </row>
    <row r="378" spans="1:14" x14ac:dyDescent="0.25">
      <c r="A378" s="43">
        <v>418</v>
      </c>
      <c r="B378" s="44" t="s">
        <v>257</v>
      </c>
      <c r="C378" s="44" t="s">
        <v>256</v>
      </c>
      <c r="D378" s="44" t="s">
        <v>143</v>
      </c>
      <c r="E378" s="45">
        <v>44700</v>
      </c>
      <c r="F378" s="44" t="str">
        <f>LEFT(клиенты!$B378,LEN(клиенты!$B378)-13)</f>
        <v>+375</v>
      </c>
      <c r="G378" s="44" t="str">
        <f>_xlfn.XLOOKUP(клиенты!$F378,'коды стран'!$B$2:$B$7,'коды стран'!$A$2:$A$7,"не найдено",0)</f>
        <v>Беларусь</v>
      </c>
      <c r="H378" s="45">
        <f>_xlfn.MAXIFS(Продажи[дата создания чека],Продажи[id клиента],A378)</f>
        <v>45304</v>
      </c>
      <c r="I378" s="60">
        <f t="shared" si="10"/>
        <v>19.843942505133469</v>
      </c>
      <c r="J378" s="44" t="str">
        <f>IF(LEN(C378) - LEN(SUBSTITUTE(C378," ",""))&lt;3,C378,RIGHT(C378,LEN(C378)-FIND(" ",клиенты!$C378,1)))</f>
        <v>Любовь Богдановна Новикова</v>
      </c>
      <c r="K378" s="44" t="str">
        <f t="shared" si="11"/>
        <v>Любовь Богдановна Новикова</v>
      </c>
      <c r="L378" s="44" t="str">
        <f>LEFT(клиенты!$K378,FIND(" ",клиенты!$K378,1)-1)</f>
        <v>Любовь</v>
      </c>
      <c r="M378" s="44" t="str">
        <f>MID(K378,FIND(" ",клиенты!$K378,1)+1,(FIND(" ",клиенты!$K378,FIND(" ",клиенты!$K378,1)+1)-1)-FIND(" ",клиенты!$K378,1))</f>
        <v>Богдановна</v>
      </c>
      <c r="N378" s="44" t="str">
        <f>RIGHT(K378,LEN(K378)-FIND(" ",клиенты!$K378,FIND(" ",клиенты!$K378,1)+1))</f>
        <v>Новикова</v>
      </c>
    </row>
    <row r="379" spans="1:14" x14ac:dyDescent="0.25">
      <c r="A379" s="40">
        <v>470</v>
      </c>
      <c r="B379" s="41" t="s">
        <v>255</v>
      </c>
      <c r="C379" s="41" t="s">
        <v>254</v>
      </c>
      <c r="D379" s="41" t="s">
        <v>143</v>
      </c>
      <c r="E379" s="42">
        <v>44690</v>
      </c>
      <c r="F379" s="41" t="str">
        <f>LEFT(клиенты!$B379,LEN(клиенты!$B379)-13)</f>
        <v>+992</v>
      </c>
      <c r="G379" s="41" t="str">
        <f>_xlfn.XLOOKUP(клиенты!$F379,'коды стран'!$B$2:$B$7,'коды стран'!$A$2:$A$7,"не найдено",0)</f>
        <v>Таджикистан</v>
      </c>
      <c r="H379" s="42">
        <f>_xlfn.MAXIFS(Продажи[дата создания чека],Продажи[id клиента],A379)</f>
        <v>45425</v>
      </c>
      <c r="I379" s="59">
        <f t="shared" si="10"/>
        <v>24.147843942505133</v>
      </c>
      <c r="J379" s="41" t="str">
        <f>IF(LEN(C379) - LEN(SUBSTITUTE(C379," ",""))&lt;3,C379,RIGHT(C379,LEN(C379)-FIND(" ",клиенты!$C379,1)))</f>
        <v>Русакова Полина Михайловна</v>
      </c>
      <c r="K379" s="41" t="str">
        <f t="shared" si="11"/>
        <v>Полина Михайловна Русакова</v>
      </c>
      <c r="L379" s="41" t="str">
        <f>LEFT(клиенты!$K379,FIND(" ",клиенты!$K379,1)-1)</f>
        <v>Полина</v>
      </c>
      <c r="M379" s="41" t="str">
        <f>MID(K379,FIND(" ",клиенты!$K379,1)+1,(FIND(" ",клиенты!$K379,FIND(" ",клиенты!$K379,1)+1)-1)-FIND(" ",клиенты!$K379,1))</f>
        <v>Михайловна</v>
      </c>
      <c r="N379" s="41" t="str">
        <f>RIGHT(K379,LEN(K379)-FIND(" ",клиенты!$K379,FIND(" ",клиенты!$K379,1)+1))</f>
        <v>Русакова</v>
      </c>
    </row>
    <row r="380" spans="1:14" x14ac:dyDescent="0.25">
      <c r="A380" s="43">
        <v>123</v>
      </c>
      <c r="B380" s="44" t="s">
        <v>253</v>
      </c>
      <c r="C380" s="44" t="s">
        <v>252</v>
      </c>
      <c r="D380" s="44" t="s">
        <v>140</v>
      </c>
      <c r="E380" s="45">
        <v>44600</v>
      </c>
      <c r="F380" s="44" t="str">
        <f>LEFT(клиенты!$B380,LEN(клиенты!$B380)-13)</f>
        <v>+7</v>
      </c>
      <c r="G380" s="44" t="str">
        <f>_xlfn.XLOOKUP(клиенты!$F380,'коды стран'!$B$2:$B$7,'коды стран'!$A$2:$A$7,"не найдено",0)</f>
        <v>Россия</v>
      </c>
      <c r="H380" s="45">
        <f>_xlfn.MAXIFS(Продажи[дата создания чека],Продажи[id клиента],A380)</f>
        <v>45296</v>
      </c>
      <c r="I380" s="60">
        <f t="shared" si="10"/>
        <v>22.866529774127311</v>
      </c>
      <c r="J380" s="44" t="str">
        <f>IF(LEN(C380) - LEN(SUBSTITUTE(C380," ",""))&lt;3,C380,RIGHT(C380,LEN(C380)-FIND(" ",клиенты!$C380,1)))</f>
        <v>Ермаков Всеслав Эдуардович</v>
      </c>
      <c r="K380" s="44" t="str">
        <f t="shared" si="11"/>
        <v>Всеслав Эдуардович Ермаков</v>
      </c>
      <c r="L380" s="44" t="str">
        <f>LEFT(клиенты!$K380,FIND(" ",клиенты!$K380,1)-1)</f>
        <v>Всеслав</v>
      </c>
      <c r="M380" s="44" t="str">
        <f>MID(K380,FIND(" ",клиенты!$K380,1)+1,(FIND(" ",клиенты!$K380,FIND(" ",клиенты!$K380,1)+1)-1)-FIND(" ",клиенты!$K380,1))</f>
        <v>Эдуардович</v>
      </c>
      <c r="N380" s="44" t="str">
        <f>RIGHT(K380,LEN(K380)-FIND(" ",клиенты!$K380,FIND(" ",клиенты!$K380,1)+1))</f>
        <v>Ермаков</v>
      </c>
    </row>
    <row r="381" spans="1:14" x14ac:dyDescent="0.25">
      <c r="A381" s="40">
        <v>442</v>
      </c>
      <c r="B381" s="41" t="s">
        <v>251</v>
      </c>
      <c r="C381" s="41" t="s">
        <v>250</v>
      </c>
      <c r="D381" s="41" t="s">
        <v>140</v>
      </c>
      <c r="E381" s="42">
        <v>44746</v>
      </c>
      <c r="F381" s="41" t="str">
        <f>LEFT(клиенты!$B381,LEN(клиенты!$B381)-13)</f>
        <v>+992</v>
      </c>
      <c r="G381" s="41" t="str">
        <f>_xlfn.XLOOKUP(клиенты!$F381,'коды стран'!$B$2:$B$7,'коды стран'!$A$2:$A$7,"не найдено",0)</f>
        <v>Таджикистан</v>
      </c>
      <c r="H381" s="42">
        <f>_xlfn.MAXIFS(Продажи[дата создания чека],Продажи[id клиента],A381)</f>
        <v>45350</v>
      </c>
      <c r="I381" s="59">
        <f t="shared" si="10"/>
        <v>19.843942505133469</v>
      </c>
      <c r="J381" s="41" t="str">
        <f>IF(LEN(C381) - LEN(SUBSTITUTE(C381," ",""))&lt;3,C381,RIGHT(C381,LEN(C381)-FIND(" ",клиенты!$C381,1)))</f>
        <v>Гордей Матвеевич Медведев</v>
      </c>
      <c r="K381" s="41" t="str">
        <f t="shared" si="11"/>
        <v>Гордей Матвеевич Медведев</v>
      </c>
      <c r="L381" s="41" t="str">
        <f>LEFT(клиенты!$K381,FIND(" ",клиенты!$K381,1)-1)</f>
        <v>Гордей</v>
      </c>
      <c r="M381" s="41" t="str">
        <f>MID(K381,FIND(" ",клиенты!$K381,1)+1,(FIND(" ",клиенты!$K381,FIND(" ",клиенты!$K381,1)+1)-1)-FIND(" ",клиенты!$K381,1))</f>
        <v>Матвеевич</v>
      </c>
      <c r="N381" s="41" t="str">
        <f>RIGHT(K381,LEN(K381)-FIND(" ",клиенты!$K381,FIND(" ",клиенты!$K381,1)+1))</f>
        <v>Медведев</v>
      </c>
    </row>
    <row r="382" spans="1:14" x14ac:dyDescent="0.25">
      <c r="A382" s="43">
        <v>218</v>
      </c>
      <c r="B382" s="44" t="s">
        <v>249</v>
      </c>
      <c r="C382" s="44" t="s">
        <v>248</v>
      </c>
      <c r="D382" s="44" t="s">
        <v>140</v>
      </c>
      <c r="E382" s="45">
        <v>44721</v>
      </c>
      <c r="F382" s="44" t="str">
        <f>LEFT(клиенты!$B382,LEN(клиенты!$B382)-13)</f>
        <v>+998</v>
      </c>
      <c r="G382" s="44" t="str">
        <f>_xlfn.XLOOKUP(клиенты!$F382,'коды стран'!$B$2:$B$7,'коды стран'!$A$2:$A$7,"не найдено",0)</f>
        <v>Узбекистан</v>
      </c>
      <c r="H382" s="45">
        <f>_xlfn.MAXIFS(Продажи[дата создания чека],Продажи[id клиента],A382)</f>
        <v>45159</v>
      </c>
      <c r="I382" s="60">
        <f t="shared" si="10"/>
        <v>14.390143737166325</v>
      </c>
      <c r="J382" s="44" t="str">
        <f>IF(LEN(C382) - LEN(SUBSTITUTE(C382," ",""))&lt;3,C382,RIGHT(C382,LEN(C382)-FIND(" ",клиенты!$C382,1)))</f>
        <v>Алевтина Алексеевна Исакова</v>
      </c>
      <c r="K382" s="44" t="str">
        <f t="shared" si="11"/>
        <v>Алевтина Алексеевна Исакова</v>
      </c>
      <c r="L382" s="44" t="str">
        <f>LEFT(клиенты!$K382,FIND(" ",клиенты!$K382,1)-1)</f>
        <v>Алевтина</v>
      </c>
      <c r="M382" s="44" t="str">
        <f>MID(K382,FIND(" ",клиенты!$K382,1)+1,(FIND(" ",клиенты!$K382,FIND(" ",клиенты!$K382,1)+1)-1)-FIND(" ",клиенты!$K382,1))</f>
        <v>Алексеевна</v>
      </c>
      <c r="N382" s="44" t="str">
        <f>RIGHT(K382,LEN(K382)-FIND(" ",клиенты!$K382,FIND(" ",клиенты!$K382,1)+1))</f>
        <v>Исакова</v>
      </c>
    </row>
    <row r="383" spans="1:14" x14ac:dyDescent="0.25">
      <c r="A383" s="40">
        <v>331</v>
      </c>
      <c r="B383" s="41" t="s">
        <v>247</v>
      </c>
      <c r="C383" s="41" t="s">
        <v>246</v>
      </c>
      <c r="D383" s="41" t="s">
        <v>140</v>
      </c>
      <c r="E383" s="42">
        <v>44813</v>
      </c>
      <c r="F383" s="41" t="str">
        <f>LEFT(клиенты!$B383,LEN(клиенты!$B383)-13)</f>
        <v>+998</v>
      </c>
      <c r="G383" s="41" t="str">
        <f>_xlfn.XLOOKUP(клиенты!$F383,'коды стран'!$B$2:$B$7,'коды стран'!$A$2:$A$7,"не найдено",0)</f>
        <v>Узбекистан</v>
      </c>
      <c r="H383" s="42">
        <f>_xlfn.MAXIFS(Продажи[дата создания чека],Продажи[id клиента],A383)</f>
        <v>45165</v>
      </c>
      <c r="I383" s="59">
        <f t="shared" si="10"/>
        <v>11.564681724845997</v>
      </c>
      <c r="J383" s="41" t="str">
        <f>IF(LEN(C383) - LEN(SUBSTITUTE(C383," ",""))&lt;3,C383,RIGHT(C383,LEN(C383)-FIND(" ",клиенты!$C383,1)))</f>
        <v>Мартынов Фома Гордеевич</v>
      </c>
      <c r="K383" s="41" t="str">
        <f t="shared" si="11"/>
        <v>Фома Гордеевич Мартынов</v>
      </c>
      <c r="L383" s="41" t="str">
        <f>LEFT(клиенты!$K383,FIND(" ",клиенты!$K383,1)-1)</f>
        <v>Фома</v>
      </c>
      <c r="M383" s="41" t="str">
        <f>MID(K383,FIND(" ",клиенты!$K383,1)+1,(FIND(" ",клиенты!$K383,FIND(" ",клиенты!$K383,1)+1)-1)-FIND(" ",клиенты!$K383,1))</f>
        <v>Гордеевич</v>
      </c>
      <c r="N383" s="41" t="str">
        <f>RIGHT(K383,LEN(K383)-FIND(" ",клиенты!$K383,FIND(" ",клиенты!$K383,1)+1))</f>
        <v>Мартынов</v>
      </c>
    </row>
    <row r="384" spans="1:14" x14ac:dyDescent="0.25">
      <c r="A384" s="43">
        <v>196</v>
      </c>
      <c r="B384" s="44" t="s">
        <v>245</v>
      </c>
      <c r="C384" s="44" t="s">
        <v>244</v>
      </c>
      <c r="D384" s="44" t="s">
        <v>143</v>
      </c>
      <c r="E384" s="45">
        <v>44835</v>
      </c>
      <c r="F384" s="44" t="str">
        <f>LEFT(клиенты!$B384,LEN(клиенты!$B384)-13)</f>
        <v>+7</v>
      </c>
      <c r="G384" s="44" t="str">
        <f>_xlfn.XLOOKUP(клиенты!$F384,'коды стран'!$B$2:$B$7,'коды стран'!$A$2:$A$7,"не найдено",0)</f>
        <v>Россия</v>
      </c>
      <c r="H384" s="45">
        <f>_xlfn.MAXIFS(Продажи[дата создания чека],Продажи[id клиента],A384)</f>
        <v>45206</v>
      </c>
      <c r="I384" s="60">
        <f t="shared" si="10"/>
        <v>12.188911704312115</v>
      </c>
      <c r="J384" s="44" t="str">
        <f>IF(LEN(C384) - LEN(SUBSTITUTE(C384," ",""))&lt;3,C384,RIGHT(C384,LEN(C384)-FIND(" ",клиенты!$C384,1)))</f>
        <v>Петрова Майя Богдановна</v>
      </c>
      <c r="K384" s="44" t="str">
        <f t="shared" si="11"/>
        <v>Майя Богдановна Петрова</v>
      </c>
      <c r="L384" s="44" t="str">
        <f>LEFT(клиенты!$K384,FIND(" ",клиенты!$K384,1)-1)</f>
        <v>Майя</v>
      </c>
      <c r="M384" s="44" t="str">
        <f>MID(K384,FIND(" ",клиенты!$K384,1)+1,(FIND(" ",клиенты!$K384,FIND(" ",клиенты!$K384,1)+1)-1)-FIND(" ",клиенты!$K384,1))</f>
        <v>Богдановна</v>
      </c>
      <c r="N384" s="44" t="str">
        <f>RIGHT(K384,LEN(K384)-FIND(" ",клиенты!$K384,FIND(" ",клиенты!$K384,1)+1))</f>
        <v>Петрова</v>
      </c>
    </row>
    <row r="385" spans="1:14" x14ac:dyDescent="0.25">
      <c r="A385" s="40">
        <v>36</v>
      </c>
      <c r="B385" s="41" t="s">
        <v>243</v>
      </c>
      <c r="C385" s="41" t="s">
        <v>242</v>
      </c>
      <c r="D385" s="41" t="s">
        <v>140</v>
      </c>
      <c r="E385" s="42">
        <v>44700</v>
      </c>
      <c r="F385" s="41" t="str">
        <f>LEFT(клиенты!$B385,LEN(клиенты!$B385)-13)</f>
        <v>+7</v>
      </c>
      <c r="G385" s="41" t="str">
        <f>_xlfn.XLOOKUP(клиенты!$F385,'коды стран'!$B$2:$B$7,'коды стран'!$A$2:$A$7,"не найдено",0)</f>
        <v>Россия</v>
      </c>
      <c r="H385" s="42">
        <f>_xlfn.MAXIFS(Продажи[дата создания чека],Продажи[id клиента],A385)</f>
        <v>45129</v>
      </c>
      <c r="I385" s="59">
        <f t="shared" si="10"/>
        <v>14.094455852156058</v>
      </c>
      <c r="J385" s="41" t="str">
        <f>IF(LEN(C385) - LEN(SUBSTITUTE(C385," ",""))&lt;3,C385,RIGHT(C385,LEN(C385)-FIND(" ",клиенты!$C385,1)))</f>
        <v>Бобылева Анна Мироновна</v>
      </c>
      <c r="K385" s="41" t="str">
        <f t="shared" si="11"/>
        <v>Анна Мироновна Бобылева</v>
      </c>
      <c r="L385" s="41" t="str">
        <f>LEFT(клиенты!$K385,FIND(" ",клиенты!$K385,1)-1)</f>
        <v>Анна</v>
      </c>
      <c r="M385" s="41" t="str">
        <f>MID(K385,FIND(" ",клиенты!$K385,1)+1,(FIND(" ",клиенты!$K385,FIND(" ",клиенты!$K385,1)+1)-1)-FIND(" ",клиенты!$K385,1))</f>
        <v>Мироновна</v>
      </c>
      <c r="N385" s="41" t="str">
        <f>RIGHT(K385,LEN(K385)-FIND(" ",клиенты!$K385,FIND(" ",клиенты!$K385,1)+1))</f>
        <v>Бобылева</v>
      </c>
    </row>
    <row r="386" spans="1:14" x14ac:dyDescent="0.25">
      <c r="A386" s="43">
        <v>22</v>
      </c>
      <c r="B386" s="44" t="s">
        <v>241</v>
      </c>
      <c r="C386" s="44" t="s">
        <v>240</v>
      </c>
      <c r="D386" s="44" t="s">
        <v>143</v>
      </c>
      <c r="E386" s="45">
        <v>44870</v>
      </c>
      <c r="F386" s="44" t="str">
        <f>LEFT(клиенты!$B386,LEN(клиенты!$B386)-13)</f>
        <v>+375</v>
      </c>
      <c r="G386" s="44" t="str">
        <f>_xlfn.XLOOKUP(клиенты!$F386,'коды стран'!$B$2:$B$7,'коды стран'!$A$2:$A$7,"не найдено",0)</f>
        <v>Беларусь</v>
      </c>
      <c r="H386" s="45">
        <f>_xlfn.MAXIFS(Продажи[дата создания чека],Продажи[id клиента],A386)</f>
        <v>45422</v>
      </c>
      <c r="I386" s="60">
        <f t="shared" si="10"/>
        <v>18.135523613963038</v>
      </c>
      <c r="J386" s="44" t="str">
        <f>IF(LEN(C386) - LEN(SUBSTITUTE(C386," ",""))&lt;3,C386,RIGHT(C386,LEN(C386)-FIND(" ",клиенты!$C386,1)))</f>
        <v>Кудряшов Влас Алексеевич</v>
      </c>
      <c r="K386" s="44" t="str">
        <f t="shared" si="11"/>
        <v>Влас Алексеевич Кудряшов</v>
      </c>
      <c r="L386" s="44" t="str">
        <f>LEFT(клиенты!$K386,FIND(" ",клиенты!$K386,1)-1)</f>
        <v>Влас</v>
      </c>
      <c r="M386" s="44" t="str">
        <f>MID(K386,FIND(" ",клиенты!$K386,1)+1,(FIND(" ",клиенты!$K386,FIND(" ",клиенты!$K386,1)+1)-1)-FIND(" ",клиенты!$K386,1))</f>
        <v>Алексеевич</v>
      </c>
      <c r="N386" s="44" t="str">
        <f>RIGHT(K386,LEN(K386)-FIND(" ",клиенты!$K386,FIND(" ",клиенты!$K386,1)+1))</f>
        <v>Кудряшов</v>
      </c>
    </row>
    <row r="387" spans="1:14" x14ac:dyDescent="0.25">
      <c r="A387" s="40">
        <v>360</v>
      </c>
      <c r="B387" s="41" t="s">
        <v>239</v>
      </c>
      <c r="C387" s="41" t="s">
        <v>238</v>
      </c>
      <c r="D387" s="41" t="s">
        <v>140</v>
      </c>
      <c r="E387" s="42">
        <v>44728</v>
      </c>
      <c r="F387" s="41" t="str">
        <f>LEFT(клиенты!$B387,LEN(клиенты!$B387)-13)</f>
        <v>+375</v>
      </c>
      <c r="G387" s="41" t="str">
        <f>_xlfn.XLOOKUP(клиенты!$F387,'коды стран'!$B$2:$B$7,'коды стран'!$A$2:$A$7,"не найдено",0)</f>
        <v>Беларусь</v>
      </c>
      <c r="H387" s="42">
        <f>_xlfn.MAXIFS(Продажи[дата создания чека],Продажи[id клиента],A387)</f>
        <v>45217</v>
      </c>
      <c r="I387" s="59">
        <f t="shared" ref="I387:I435" si="12">IFERROR((H387-E387)/30.4375,0)</f>
        <v>16.06570841889117</v>
      </c>
      <c r="J387" s="41" t="str">
        <f>IF(LEN(C387) - LEN(SUBSTITUTE(C387," ",""))&lt;3,C387,RIGHT(C387,LEN(C387)-FIND(" ",клиенты!$C387,1)))</f>
        <v>Миронов Фома Вилорович</v>
      </c>
      <c r="K387" s="41" t="str">
        <f t="shared" ref="K387:K435" si="13">IF(OR(
    RIGHT(MID(C387,FIND(" ",C387)+1,FIND(" ",C387,FIND(" ",C387)+1)-FIND(" ",C387)-1),2)="ич",
    RIGHT(MID(C387,FIND(" ",C387)+1,FIND(" ",C387,FIND(" ",C387)+1)-FIND(" ",C387)-1),3)="вна",
    RIGHT(MID(C387,FIND(" ",C387)+1,FIND(" ",C387,FIND(" ",C387)+1)-FIND(" ",C387)-1),3)="чна"
),
C387,
MID(C387,FIND(" ",C387)+1,FIND(" ",C387,FIND(" ",C387)+1)-FIND(" ",C387)-1)&amp;" "&amp;
RIGHT(C387,LEN(C387)-FIND("☐",SUBSTITUTE(C387," ","☐",2)))&amp;" "&amp;
LEFT(C387,FIND(" ",C387)-1)
)</f>
        <v>Фома Вилорович Миронов</v>
      </c>
      <c r="L387" s="41" t="str">
        <f>LEFT(клиенты!$K387,FIND(" ",клиенты!$K387,1)-1)</f>
        <v>Фома</v>
      </c>
      <c r="M387" s="41" t="str">
        <f>MID(K387,FIND(" ",клиенты!$K387,1)+1,(FIND(" ",клиенты!$K387,FIND(" ",клиенты!$K387,1)+1)-1)-FIND(" ",клиенты!$K387,1))</f>
        <v>Вилорович</v>
      </c>
      <c r="N387" s="41" t="str">
        <f>RIGHT(K387,LEN(K387)-FIND(" ",клиенты!$K387,FIND(" ",клиенты!$K387,1)+1))</f>
        <v>Миронов</v>
      </c>
    </row>
    <row r="388" spans="1:14" x14ac:dyDescent="0.25">
      <c r="A388" s="43">
        <v>188</v>
      </c>
      <c r="B388" s="44" t="s">
        <v>237</v>
      </c>
      <c r="C388" s="44" t="s">
        <v>236</v>
      </c>
      <c r="D388" s="44" t="s">
        <v>140</v>
      </c>
      <c r="E388" s="45">
        <v>44801</v>
      </c>
      <c r="F388" s="44" t="str">
        <f>LEFT(клиенты!$B388,LEN(клиенты!$B388)-13)</f>
        <v>+992</v>
      </c>
      <c r="G388" s="44" t="str">
        <f>_xlfn.XLOOKUP(клиенты!$F388,'коды стран'!$B$2:$B$7,'коды стран'!$A$2:$A$7,"не найдено",0)</f>
        <v>Таджикистан</v>
      </c>
      <c r="H388" s="45">
        <f>_xlfn.MAXIFS(Продажи[дата создания чека],Продажи[id клиента],A388)</f>
        <v>45349</v>
      </c>
      <c r="I388" s="60">
        <f t="shared" si="12"/>
        <v>18.004106776180699</v>
      </c>
      <c r="J388" s="44" t="str">
        <f>IF(LEN(C388) - LEN(SUBSTITUTE(C388," ",""))&lt;3,C388,RIGHT(C388,LEN(C388)-FIND(" ",клиенты!$C388,1)))</f>
        <v>Харлампий Демьянович Алексеев</v>
      </c>
      <c r="K388" s="44" t="str">
        <f t="shared" si="13"/>
        <v>Харлампий Демьянович Алексеев</v>
      </c>
      <c r="L388" s="44" t="str">
        <f>LEFT(клиенты!$K388,FIND(" ",клиенты!$K388,1)-1)</f>
        <v>Харлампий</v>
      </c>
      <c r="M388" s="44" t="str">
        <f>MID(K388,FIND(" ",клиенты!$K388,1)+1,(FIND(" ",клиенты!$K388,FIND(" ",клиенты!$K388,1)+1)-1)-FIND(" ",клиенты!$K388,1))</f>
        <v>Демьянович</v>
      </c>
      <c r="N388" s="44" t="str">
        <f>RIGHT(K388,LEN(K388)-FIND(" ",клиенты!$K388,FIND(" ",клиенты!$K388,1)+1))</f>
        <v>Алексеев</v>
      </c>
    </row>
    <row r="389" spans="1:14" x14ac:dyDescent="0.25">
      <c r="A389" s="40">
        <v>63</v>
      </c>
      <c r="B389" s="41" t="s">
        <v>235</v>
      </c>
      <c r="C389" s="41" t="s">
        <v>234</v>
      </c>
      <c r="D389" s="41" t="s">
        <v>143</v>
      </c>
      <c r="E389" s="42">
        <v>44684</v>
      </c>
      <c r="F389" s="41" t="str">
        <f>LEFT(клиенты!$B389,LEN(клиенты!$B389)-13)</f>
        <v>+380</v>
      </c>
      <c r="G389" s="41" t="str">
        <f>_xlfn.XLOOKUP(клиенты!$F389,'коды стран'!$B$2:$B$7,'коды стран'!$A$2:$A$7,"не найдено",0)</f>
        <v>Украина</v>
      </c>
      <c r="H389" s="42">
        <f>_xlfn.MAXIFS(Продажи[дата создания чека],Продажи[id клиента],A389)</f>
        <v>45409</v>
      </c>
      <c r="I389" s="59">
        <f t="shared" si="12"/>
        <v>23.819301848049282</v>
      </c>
      <c r="J389" s="41" t="str">
        <f>IF(LEN(C389) - LEN(SUBSTITUTE(C389," ",""))&lt;3,C389,RIGHT(C389,LEN(C389)-FIND(" ",клиенты!$C389,1)))</f>
        <v>Горшкова Клавдия Борисовна</v>
      </c>
      <c r="K389" s="41" t="str">
        <f t="shared" si="13"/>
        <v>Клавдия Борисовна Горшкова</v>
      </c>
      <c r="L389" s="41" t="str">
        <f>LEFT(клиенты!$K389,FIND(" ",клиенты!$K389,1)-1)</f>
        <v>Клавдия</v>
      </c>
      <c r="M389" s="41" t="str">
        <f>MID(K389,FIND(" ",клиенты!$K389,1)+1,(FIND(" ",клиенты!$K389,FIND(" ",клиенты!$K389,1)+1)-1)-FIND(" ",клиенты!$K389,1))</f>
        <v>Борисовна</v>
      </c>
      <c r="N389" s="41" t="str">
        <f>RIGHT(K389,LEN(K389)-FIND(" ",клиенты!$K389,FIND(" ",клиенты!$K389,1)+1))</f>
        <v>Горшкова</v>
      </c>
    </row>
    <row r="390" spans="1:14" x14ac:dyDescent="0.25">
      <c r="A390" s="43">
        <v>238</v>
      </c>
      <c r="B390" s="44" t="s">
        <v>233</v>
      </c>
      <c r="C390" s="44" t="s">
        <v>232</v>
      </c>
      <c r="D390" s="44" t="s">
        <v>143</v>
      </c>
      <c r="E390" s="45">
        <v>44909</v>
      </c>
      <c r="F390" s="44" t="str">
        <f>LEFT(клиенты!$B390,LEN(клиенты!$B390)-13)</f>
        <v>+380</v>
      </c>
      <c r="G390" s="44" t="str">
        <f>_xlfn.XLOOKUP(клиенты!$F390,'коды стран'!$B$2:$B$7,'коды стран'!$A$2:$A$7,"не найдено",0)</f>
        <v>Украина</v>
      </c>
      <c r="H390" s="45">
        <f>_xlfn.MAXIFS(Продажи[дата создания чека],Продажи[id клиента],A390)</f>
        <v>45244</v>
      </c>
      <c r="I390" s="60">
        <f t="shared" si="12"/>
        <v>11.006160164271048</v>
      </c>
      <c r="J390" s="44" t="str">
        <f>IF(LEN(C390) - LEN(SUBSTITUTE(C390," ",""))&lt;3,C390,RIGHT(C390,LEN(C390)-FIND(" ",клиенты!$C390,1)))</f>
        <v>Григорьев Сократ Ануфриевич</v>
      </c>
      <c r="K390" s="44" t="str">
        <f t="shared" si="13"/>
        <v>Сократ Ануфриевич Григорьев</v>
      </c>
      <c r="L390" s="44" t="str">
        <f>LEFT(клиенты!$K390,FIND(" ",клиенты!$K390,1)-1)</f>
        <v>Сократ</v>
      </c>
      <c r="M390" s="44" t="str">
        <f>MID(K390,FIND(" ",клиенты!$K390,1)+1,(FIND(" ",клиенты!$K390,FIND(" ",клиенты!$K390,1)+1)-1)-FIND(" ",клиенты!$K390,1))</f>
        <v>Ануфриевич</v>
      </c>
      <c r="N390" s="44" t="str">
        <f>RIGHT(K390,LEN(K390)-FIND(" ",клиенты!$K390,FIND(" ",клиенты!$K390,1)+1))</f>
        <v>Григорьев</v>
      </c>
    </row>
    <row r="391" spans="1:14" x14ac:dyDescent="0.25">
      <c r="A391" s="40">
        <v>105</v>
      </c>
      <c r="B391" s="41" t="s">
        <v>231</v>
      </c>
      <c r="C391" s="41" t="s">
        <v>230</v>
      </c>
      <c r="D391" s="41" t="s">
        <v>143</v>
      </c>
      <c r="E391" s="42">
        <v>44918</v>
      </c>
      <c r="F391" s="41" t="str">
        <f>LEFT(клиенты!$B391,LEN(клиенты!$B391)-13)</f>
        <v>+998</v>
      </c>
      <c r="G391" s="41" t="str">
        <f>_xlfn.XLOOKUP(клиенты!$F391,'коды стран'!$B$2:$B$7,'коды стран'!$A$2:$A$7,"не найдено",0)</f>
        <v>Узбекистан</v>
      </c>
      <c r="H391" s="42">
        <f>_xlfn.MAXIFS(Продажи[дата создания чека],Продажи[id клиента],A391)</f>
        <v>45203</v>
      </c>
      <c r="I391" s="59">
        <f t="shared" si="12"/>
        <v>9.3634496919917858</v>
      </c>
      <c r="J391" s="41" t="str">
        <f>IF(LEN(C391) - LEN(SUBSTITUTE(C391," ",""))&lt;3,C391,RIGHT(C391,LEN(C391)-FIND(" ",клиенты!$C391,1)))</f>
        <v>Овчинникова Зоя Вячеславовна</v>
      </c>
      <c r="K391" s="41" t="str">
        <f t="shared" si="13"/>
        <v>Зоя Вячеславовна Овчинникова</v>
      </c>
      <c r="L391" s="41" t="str">
        <f>LEFT(клиенты!$K391,FIND(" ",клиенты!$K391,1)-1)</f>
        <v>Зоя</v>
      </c>
      <c r="M391" s="41" t="str">
        <f>MID(K391,FIND(" ",клиенты!$K391,1)+1,(FIND(" ",клиенты!$K391,FIND(" ",клиенты!$K391,1)+1)-1)-FIND(" ",клиенты!$K391,1))</f>
        <v>Вячеславовна</v>
      </c>
      <c r="N391" s="41" t="str">
        <f>RIGHT(K391,LEN(K391)-FIND(" ",клиенты!$K391,FIND(" ",клиенты!$K391,1)+1))</f>
        <v>Овчинникова</v>
      </c>
    </row>
    <row r="392" spans="1:14" x14ac:dyDescent="0.25">
      <c r="A392" s="43">
        <v>260</v>
      </c>
      <c r="B392" s="44" t="s">
        <v>229</v>
      </c>
      <c r="C392" s="44" t="s">
        <v>228</v>
      </c>
      <c r="D392" s="44" t="s">
        <v>143</v>
      </c>
      <c r="E392" s="45">
        <v>44729</v>
      </c>
      <c r="F392" s="44" t="str">
        <f>LEFT(клиенты!$B392,LEN(клиенты!$B392)-13)</f>
        <v>+380</v>
      </c>
      <c r="G392" s="44" t="str">
        <f>_xlfn.XLOOKUP(клиенты!$F392,'коды стран'!$B$2:$B$7,'коды стран'!$A$2:$A$7,"не найдено",0)</f>
        <v>Украина</v>
      </c>
      <c r="H392" s="45">
        <f>_xlfn.MAXIFS(Продажи[дата создания чека],Продажи[id клиента],A392)</f>
        <v>45222</v>
      </c>
      <c r="I392" s="60">
        <f t="shared" si="12"/>
        <v>16.197125256673512</v>
      </c>
      <c r="J392" s="44" t="str">
        <f>IF(LEN(C392) - LEN(SUBSTITUTE(C392," ",""))&lt;3,C392,RIGHT(C392,LEN(C392)-FIND(" ",клиенты!$C392,1)))</f>
        <v>Титова Ксения Дмитриевна</v>
      </c>
      <c r="K392" s="44" t="str">
        <f t="shared" si="13"/>
        <v>Ксения Дмитриевна Титова</v>
      </c>
      <c r="L392" s="44" t="str">
        <f>LEFT(клиенты!$K392,FIND(" ",клиенты!$K392,1)-1)</f>
        <v>Ксения</v>
      </c>
      <c r="M392" s="44" t="str">
        <f>MID(K392,FIND(" ",клиенты!$K392,1)+1,(FIND(" ",клиенты!$K392,FIND(" ",клиенты!$K392,1)+1)-1)-FIND(" ",клиенты!$K392,1))</f>
        <v>Дмитриевна</v>
      </c>
      <c r="N392" s="44" t="str">
        <f>RIGHT(K392,LEN(K392)-FIND(" ",клиенты!$K392,FIND(" ",клиенты!$K392,1)+1))</f>
        <v>Титова</v>
      </c>
    </row>
    <row r="393" spans="1:14" x14ac:dyDescent="0.25">
      <c r="A393" s="40">
        <v>394</v>
      </c>
      <c r="B393" s="41" t="s">
        <v>227</v>
      </c>
      <c r="C393" s="41" t="s">
        <v>226</v>
      </c>
      <c r="D393" s="41" t="s">
        <v>143</v>
      </c>
      <c r="E393" s="42">
        <v>44708</v>
      </c>
      <c r="F393" s="41" t="str">
        <f>LEFT(клиенты!$B393,LEN(клиенты!$B393)-13)</f>
        <v>+7</v>
      </c>
      <c r="G393" s="41" t="str">
        <f>_xlfn.XLOOKUP(клиенты!$F393,'коды стран'!$B$2:$B$7,'коды стран'!$A$2:$A$7,"не найдено",0)</f>
        <v>Россия</v>
      </c>
      <c r="H393" s="42">
        <f>_xlfn.MAXIFS(Продажи[дата создания чека],Продажи[id клиента],A393)</f>
        <v>45407</v>
      </c>
      <c r="I393" s="59">
        <f t="shared" si="12"/>
        <v>22.965092402464066</v>
      </c>
      <c r="J393" s="41" t="str">
        <f>IF(LEN(C393) - LEN(SUBSTITUTE(C393," ",""))&lt;3,C393,RIGHT(C393,LEN(C393)-FIND(" ",клиенты!$C393,1)))</f>
        <v>Князев Платон Андреевич</v>
      </c>
      <c r="K393" s="41" t="str">
        <f t="shared" si="13"/>
        <v>Платон Андреевич Князев</v>
      </c>
      <c r="L393" s="41" t="str">
        <f>LEFT(клиенты!$K393,FIND(" ",клиенты!$K393,1)-1)</f>
        <v>Платон</v>
      </c>
      <c r="M393" s="41" t="str">
        <f>MID(K393,FIND(" ",клиенты!$K393,1)+1,(FIND(" ",клиенты!$K393,FIND(" ",клиенты!$K393,1)+1)-1)-FIND(" ",клиенты!$K393,1))</f>
        <v>Андреевич</v>
      </c>
      <c r="N393" s="41" t="str">
        <f>RIGHT(K393,LEN(K393)-FIND(" ",клиенты!$K393,FIND(" ",клиенты!$K393,1)+1))</f>
        <v>Князев</v>
      </c>
    </row>
    <row r="394" spans="1:14" x14ac:dyDescent="0.25">
      <c r="A394" s="43">
        <v>248</v>
      </c>
      <c r="B394" s="44" t="s">
        <v>225</v>
      </c>
      <c r="C394" s="44" t="s">
        <v>224</v>
      </c>
      <c r="D394" s="44" t="s">
        <v>140</v>
      </c>
      <c r="E394" s="45">
        <v>44694</v>
      </c>
      <c r="F394" s="44" t="str">
        <f>LEFT(клиенты!$B394,LEN(клиенты!$B394)-13)</f>
        <v>+7</v>
      </c>
      <c r="G394" s="44" t="str">
        <f>_xlfn.XLOOKUP(клиенты!$F394,'коды стран'!$B$2:$B$7,'коды стран'!$A$2:$A$7,"не найдено",0)</f>
        <v>Россия</v>
      </c>
      <c r="H394" s="45">
        <f>_xlfn.MAXIFS(Продажи[дата создания чека],Продажи[id клиента],A394)</f>
        <v>45004</v>
      </c>
      <c r="I394" s="60">
        <f t="shared" si="12"/>
        <v>10.184804928131417</v>
      </c>
      <c r="J394" s="44" t="str">
        <f>IF(LEN(C394) - LEN(SUBSTITUTE(C394," ",""))&lt;3,C394,RIGHT(C394,LEN(C394)-FIND(" ",клиенты!$C394,1)))</f>
        <v>Меркушева Марина Наумовна</v>
      </c>
      <c r="K394" s="44" t="str">
        <f t="shared" si="13"/>
        <v>Марина Наумовна Меркушева</v>
      </c>
      <c r="L394" s="44" t="str">
        <f>LEFT(клиенты!$K394,FIND(" ",клиенты!$K394,1)-1)</f>
        <v>Марина</v>
      </c>
      <c r="M394" s="44" t="str">
        <f>MID(K394,FIND(" ",клиенты!$K394,1)+1,(FIND(" ",клиенты!$K394,FIND(" ",клиенты!$K394,1)+1)-1)-FIND(" ",клиенты!$K394,1))</f>
        <v>Наумовна</v>
      </c>
      <c r="N394" s="44" t="str">
        <f>RIGHT(K394,LEN(K394)-FIND(" ",клиенты!$K394,FIND(" ",клиенты!$K394,1)+1))</f>
        <v>Меркушева</v>
      </c>
    </row>
    <row r="395" spans="1:14" x14ac:dyDescent="0.25">
      <c r="A395" s="40">
        <v>3</v>
      </c>
      <c r="B395" s="41" t="s">
        <v>223</v>
      </c>
      <c r="C395" s="41" t="s">
        <v>222</v>
      </c>
      <c r="D395" s="41" t="s">
        <v>140</v>
      </c>
      <c r="E395" s="42">
        <v>44666</v>
      </c>
      <c r="F395" s="41" t="str">
        <f>LEFT(клиенты!$B395,LEN(клиенты!$B395)-13)</f>
        <v>+380</v>
      </c>
      <c r="G395" s="41" t="str">
        <f>_xlfn.XLOOKUP(клиенты!$F395,'коды стран'!$B$2:$B$7,'коды стран'!$A$2:$A$7,"не найдено",0)</f>
        <v>Украина</v>
      </c>
      <c r="H395" s="42">
        <f>_xlfn.MAXIFS(Продажи[дата создания чека],Продажи[id клиента],A395)</f>
        <v>45376</v>
      </c>
      <c r="I395" s="59">
        <f t="shared" si="12"/>
        <v>23.326488706365502</v>
      </c>
      <c r="J395" s="41" t="str">
        <f>IF(LEN(C395) - LEN(SUBSTITUTE(C395," ",""))&lt;3,C395,RIGHT(C395,LEN(C395)-FIND(" ",клиенты!$C395,1)))</f>
        <v>Якушева Светлана Даниловна</v>
      </c>
      <c r="K395" s="41" t="str">
        <f t="shared" si="13"/>
        <v>Светлана Даниловна Якушева</v>
      </c>
      <c r="L395" s="41" t="str">
        <f>LEFT(клиенты!$K395,FIND(" ",клиенты!$K395,1)-1)</f>
        <v>Светлана</v>
      </c>
      <c r="M395" s="41" t="str">
        <f>MID(K395,FIND(" ",клиенты!$K395,1)+1,(FIND(" ",клиенты!$K395,FIND(" ",клиенты!$K395,1)+1)-1)-FIND(" ",клиенты!$K395,1))</f>
        <v>Даниловна</v>
      </c>
      <c r="N395" s="41" t="str">
        <f>RIGHT(K395,LEN(K395)-FIND(" ",клиенты!$K395,FIND(" ",клиенты!$K395,1)+1))</f>
        <v>Якушева</v>
      </c>
    </row>
    <row r="396" spans="1:14" x14ac:dyDescent="0.25">
      <c r="A396" s="43">
        <v>435</v>
      </c>
      <c r="B396" s="44" t="s">
        <v>221</v>
      </c>
      <c r="C396" s="44" t="s">
        <v>220</v>
      </c>
      <c r="D396" s="44" t="s">
        <v>140</v>
      </c>
      <c r="E396" s="45">
        <v>44618</v>
      </c>
      <c r="F396" s="44" t="str">
        <f>LEFT(клиенты!$B396,LEN(клиенты!$B396)-13)</f>
        <v>+998</v>
      </c>
      <c r="G396" s="44" t="str">
        <f>_xlfn.XLOOKUP(клиенты!$F396,'коды стран'!$B$2:$B$7,'коды стран'!$A$2:$A$7,"не найдено",0)</f>
        <v>Узбекистан</v>
      </c>
      <c r="H396" s="45">
        <f>_xlfn.MAXIFS(Продажи[дата создания чека],Продажи[id клиента],A396)</f>
        <v>45353</v>
      </c>
      <c r="I396" s="60">
        <f t="shared" si="12"/>
        <v>24.147843942505133</v>
      </c>
      <c r="J396" s="44" t="str">
        <f>IF(LEN(C396) - LEN(SUBSTITUTE(C396," ",""))&lt;3,C396,RIGHT(C396,LEN(C396)-FIND(" ",клиенты!$C396,1)))</f>
        <v>Тихонова Ираида Ефимовна</v>
      </c>
      <c r="K396" s="44" t="str">
        <f t="shared" si="13"/>
        <v>Ираида Ефимовна Тихонова</v>
      </c>
      <c r="L396" s="44" t="str">
        <f>LEFT(клиенты!$K396,FIND(" ",клиенты!$K396,1)-1)</f>
        <v>Ираида</v>
      </c>
      <c r="M396" s="44" t="str">
        <f>MID(K396,FIND(" ",клиенты!$K396,1)+1,(FIND(" ",клиенты!$K396,FIND(" ",клиенты!$K396,1)+1)-1)-FIND(" ",клиенты!$K396,1))</f>
        <v>Ефимовна</v>
      </c>
      <c r="N396" s="44" t="str">
        <f>RIGHT(K396,LEN(K396)-FIND(" ",клиенты!$K396,FIND(" ",клиенты!$K396,1)+1))</f>
        <v>Тихонова</v>
      </c>
    </row>
    <row r="397" spans="1:14" x14ac:dyDescent="0.25">
      <c r="A397" s="40">
        <v>262</v>
      </c>
      <c r="B397" s="41" t="s">
        <v>219</v>
      </c>
      <c r="C397" s="41" t="s">
        <v>218</v>
      </c>
      <c r="D397" s="41" t="s">
        <v>143</v>
      </c>
      <c r="E397" s="42">
        <v>44778</v>
      </c>
      <c r="F397" s="41" t="str">
        <f>LEFT(клиенты!$B397,LEN(клиенты!$B397)-13)</f>
        <v>+992</v>
      </c>
      <c r="G397" s="41" t="str">
        <f>_xlfn.XLOOKUP(клиенты!$F397,'коды стран'!$B$2:$B$7,'коды стран'!$A$2:$A$7,"не найдено",0)</f>
        <v>Таджикистан</v>
      </c>
      <c r="H397" s="42">
        <f>_xlfn.MAXIFS(Продажи[дата создания чека],Продажи[id клиента],A397)</f>
        <v>45404</v>
      </c>
      <c r="I397" s="59">
        <f t="shared" si="12"/>
        <v>20.566735112936346</v>
      </c>
      <c r="J397" s="41" t="str">
        <f>IF(LEN(C397) - LEN(SUBSTITUTE(C397," ",""))&lt;3,C397,RIGHT(C397,LEN(C397)-FIND(" ",клиенты!$C397,1)))</f>
        <v>Воробьева Иванна Юрьевна</v>
      </c>
      <c r="K397" s="41" t="str">
        <f t="shared" si="13"/>
        <v>Воробьева Иванна Юрьевна г-жа</v>
      </c>
      <c r="L397" s="41" t="str">
        <f>LEFT(клиенты!$K397,FIND(" ",клиенты!$K397,1)-1)</f>
        <v>Воробьева</v>
      </c>
      <c r="M397" s="41" t="str">
        <f>MID(K397,FIND(" ",клиенты!$K397,1)+1,(FIND(" ",клиенты!$K397,FIND(" ",клиенты!$K397,1)+1)-1)-FIND(" ",клиенты!$K397,1))</f>
        <v>Иванна</v>
      </c>
      <c r="N397" s="41" t="str">
        <f>RIGHT(K397,LEN(K397)-FIND(" ",клиенты!$K397,FIND(" ",клиенты!$K397,1)+1))</f>
        <v>Юрьевна г-жа</v>
      </c>
    </row>
    <row r="398" spans="1:14" x14ac:dyDescent="0.25">
      <c r="A398" s="43">
        <v>264</v>
      </c>
      <c r="B398" s="44" t="s">
        <v>217</v>
      </c>
      <c r="C398" s="44" t="s">
        <v>216</v>
      </c>
      <c r="D398" s="44" t="s">
        <v>140</v>
      </c>
      <c r="E398" s="45">
        <v>44907</v>
      </c>
      <c r="F398" s="44" t="str">
        <f>LEFT(клиенты!$B398,LEN(клиенты!$B398)-13)</f>
        <v>+375</v>
      </c>
      <c r="G398" s="44" t="str">
        <f>_xlfn.XLOOKUP(клиенты!$F398,'коды стран'!$B$2:$B$7,'коды стран'!$A$2:$A$7,"не найдено",0)</f>
        <v>Беларусь</v>
      </c>
      <c r="H398" s="45">
        <f>_xlfn.MAXIFS(Продажи[дата создания чека],Продажи[id клиента],A398)</f>
        <v>45390</v>
      </c>
      <c r="I398" s="60">
        <f t="shared" si="12"/>
        <v>15.868583162217659</v>
      </c>
      <c r="J398" s="44" t="str">
        <f>IF(LEN(C398) - LEN(SUBSTITUTE(C398," ",""))&lt;3,C398,RIGHT(C398,LEN(C398)-FIND(" ",клиенты!$C398,1)))</f>
        <v>Любомир Ермолаевич Стрелков</v>
      </c>
      <c r="K398" s="44" t="str">
        <f t="shared" si="13"/>
        <v>Любомир Ермолаевич Стрелков</v>
      </c>
      <c r="L398" s="44" t="str">
        <f>LEFT(клиенты!$K398,FIND(" ",клиенты!$K398,1)-1)</f>
        <v>Любомир</v>
      </c>
      <c r="M398" s="44" t="str">
        <f>MID(K398,FIND(" ",клиенты!$K398,1)+1,(FIND(" ",клиенты!$K398,FIND(" ",клиенты!$K398,1)+1)-1)-FIND(" ",клиенты!$K398,1))</f>
        <v>Ермолаевич</v>
      </c>
      <c r="N398" s="44" t="str">
        <f>RIGHT(K398,LEN(K398)-FIND(" ",клиенты!$K398,FIND(" ",клиенты!$K398,1)+1))</f>
        <v>Стрелков</v>
      </c>
    </row>
    <row r="399" spans="1:14" x14ac:dyDescent="0.25">
      <c r="A399" s="40">
        <v>99</v>
      </c>
      <c r="B399" s="41" t="s">
        <v>215</v>
      </c>
      <c r="C399" s="41" t="s">
        <v>214</v>
      </c>
      <c r="D399" s="41" t="s">
        <v>140</v>
      </c>
      <c r="E399" s="42">
        <v>44886</v>
      </c>
      <c r="F399" s="41" t="str">
        <f>LEFT(клиенты!$B399,LEN(клиенты!$B399)-13)</f>
        <v>+7</v>
      </c>
      <c r="G399" s="41" t="str">
        <f>_xlfn.XLOOKUP(клиенты!$F399,'коды стран'!$B$2:$B$7,'коды стран'!$A$2:$A$7,"не найдено",0)</f>
        <v>Россия</v>
      </c>
      <c r="H399" s="42">
        <f>_xlfn.MAXIFS(Продажи[дата создания чека],Продажи[id клиента],A399)</f>
        <v>44958</v>
      </c>
      <c r="I399" s="59">
        <f t="shared" si="12"/>
        <v>2.3655030800821355</v>
      </c>
      <c r="J399" s="41" t="str">
        <f>IF(LEN(C399) - LEN(SUBSTITUTE(C399," ",""))&lt;3,C399,RIGHT(C399,LEN(C399)-FIND(" ",клиенты!$C399,1)))</f>
        <v>Галина Семеновна Петухова</v>
      </c>
      <c r="K399" s="41" t="str">
        <f t="shared" si="13"/>
        <v>Галина Семеновна Петухова</v>
      </c>
      <c r="L399" s="41" t="str">
        <f>LEFT(клиенты!$K399,FIND(" ",клиенты!$K399,1)-1)</f>
        <v>Галина</v>
      </c>
      <c r="M399" s="41" t="str">
        <f>MID(K399,FIND(" ",клиенты!$K399,1)+1,(FIND(" ",клиенты!$K399,FIND(" ",клиенты!$K399,1)+1)-1)-FIND(" ",клиенты!$K399,1))</f>
        <v>Семеновна</v>
      </c>
      <c r="N399" s="41" t="str">
        <f>RIGHT(K399,LEN(K399)-FIND(" ",клиенты!$K399,FIND(" ",клиенты!$K399,1)+1))</f>
        <v>Петухова</v>
      </c>
    </row>
    <row r="400" spans="1:14" x14ac:dyDescent="0.25">
      <c r="A400" s="43">
        <v>404</v>
      </c>
      <c r="B400" s="44" t="s">
        <v>213</v>
      </c>
      <c r="C400" s="44" t="s">
        <v>212</v>
      </c>
      <c r="D400" s="44" t="s">
        <v>140</v>
      </c>
      <c r="E400" s="45">
        <v>44913</v>
      </c>
      <c r="F400" s="44" t="str">
        <f>LEFT(клиенты!$B400,LEN(клиенты!$B400)-13)</f>
        <v>+380</v>
      </c>
      <c r="G400" s="44" t="str">
        <f>_xlfn.XLOOKUP(клиенты!$F400,'коды стран'!$B$2:$B$7,'коды стран'!$A$2:$A$7,"не найдено",0)</f>
        <v>Украина</v>
      </c>
      <c r="H400" s="45">
        <f>_xlfn.MAXIFS(Продажи[дата создания чека],Продажи[id клиента],A400)</f>
        <v>45408</v>
      </c>
      <c r="I400" s="60">
        <f t="shared" si="12"/>
        <v>16.262833675564682</v>
      </c>
      <c r="J400" s="44" t="str">
        <f>IF(LEN(C400) - LEN(SUBSTITUTE(C400," ",""))&lt;3,C400,RIGHT(C400,LEN(C400)-FIND(" ",клиенты!$C400,1)))</f>
        <v>Кириллова Пелагея Юльевна</v>
      </c>
      <c r="K400" s="44" t="str">
        <f t="shared" si="13"/>
        <v>Пелагея Юльевна Кириллова</v>
      </c>
      <c r="L400" s="44" t="str">
        <f>LEFT(клиенты!$K400,FIND(" ",клиенты!$K400,1)-1)</f>
        <v>Пелагея</v>
      </c>
      <c r="M400" s="44" t="str">
        <f>MID(K400,FIND(" ",клиенты!$K400,1)+1,(FIND(" ",клиенты!$K400,FIND(" ",клиенты!$K400,1)+1)-1)-FIND(" ",клиенты!$K400,1))</f>
        <v>Юльевна</v>
      </c>
      <c r="N400" s="44" t="str">
        <f>RIGHT(K400,LEN(K400)-FIND(" ",клиенты!$K400,FIND(" ",клиенты!$K400,1)+1))</f>
        <v>Кириллова</v>
      </c>
    </row>
    <row r="401" spans="1:14" x14ac:dyDescent="0.25">
      <c r="A401" s="40">
        <v>146</v>
      </c>
      <c r="B401" s="41" t="s">
        <v>211</v>
      </c>
      <c r="C401" s="41" t="s">
        <v>210</v>
      </c>
      <c r="D401" s="41" t="s">
        <v>140</v>
      </c>
      <c r="E401" s="42">
        <v>44617</v>
      </c>
      <c r="F401" s="41" t="str">
        <f>LEFT(клиенты!$B401,LEN(клиенты!$B401)-13)</f>
        <v>+375</v>
      </c>
      <c r="G401" s="41" t="str">
        <f>_xlfn.XLOOKUP(клиенты!$F401,'коды стран'!$B$2:$B$7,'коды стран'!$A$2:$A$7,"не найдено",0)</f>
        <v>Беларусь</v>
      </c>
      <c r="H401" s="42">
        <f>_xlfn.MAXIFS(Продажи[дата создания чека],Продажи[id клиента],A401)</f>
        <v>45156</v>
      </c>
      <c r="I401" s="59">
        <f t="shared" si="12"/>
        <v>17.708418891170432</v>
      </c>
      <c r="J401" s="41" t="str">
        <f>IF(LEN(C401) - LEN(SUBSTITUTE(C401," ",""))&lt;3,C401,RIGHT(C401,LEN(C401)-FIND(" ",клиенты!$C401,1)))</f>
        <v>Еремей Бориславович Воронов</v>
      </c>
      <c r="K401" s="41" t="str">
        <f t="shared" si="13"/>
        <v>Еремей Бориславович Воронов</v>
      </c>
      <c r="L401" s="41" t="str">
        <f>LEFT(клиенты!$K401,FIND(" ",клиенты!$K401,1)-1)</f>
        <v>Еремей</v>
      </c>
      <c r="M401" s="41" t="str">
        <f>MID(K401,FIND(" ",клиенты!$K401,1)+1,(FIND(" ",клиенты!$K401,FIND(" ",клиенты!$K401,1)+1)-1)-FIND(" ",клиенты!$K401,1))</f>
        <v>Бориславович</v>
      </c>
      <c r="N401" s="41" t="str">
        <f>RIGHT(K401,LEN(K401)-FIND(" ",клиенты!$K401,FIND(" ",клиенты!$K401,1)+1))</f>
        <v>Воронов</v>
      </c>
    </row>
    <row r="402" spans="1:14" x14ac:dyDescent="0.25">
      <c r="A402" s="43">
        <v>338</v>
      </c>
      <c r="B402" s="44" t="s">
        <v>209</v>
      </c>
      <c r="C402" s="44" t="s">
        <v>208</v>
      </c>
      <c r="D402" s="44" t="s">
        <v>140</v>
      </c>
      <c r="E402" s="45">
        <v>44577</v>
      </c>
      <c r="F402" s="44" t="str">
        <f>LEFT(клиенты!$B402,LEN(клиенты!$B402)-13)</f>
        <v>+992</v>
      </c>
      <c r="G402" s="44" t="str">
        <f>_xlfn.XLOOKUP(клиенты!$F402,'коды стран'!$B$2:$B$7,'коды стран'!$A$2:$A$7,"не найдено",0)</f>
        <v>Таджикистан</v>
      </c>
      <c r="H402" s="45">
        <f>_xlfn.MAXIFS(Продажи[дата создания чека],Продажи[id клиента],A402)</f>
        <v>45344</v>
      </c>
      <c r="I402" s="60">
        <f t="shared" si="12"/>
        <v>25.199178644763862</v>
      </c>
      <c r="J402" s="44" t="str">
        <f>IF(LEN(C402) - LEN(SUBSTITUTE(C402," ",""))&lt;3,C402,RIGHT(C402,LEN(C402)-FIND(" ",клиенты!$C402,1)))</f>
        <v>Александра Геннадиевна Филатова</v>
      </c>
      <c r="K402" s="44" t="str">
        <f t="shared" si="13"/>
        <v>Александра Геннадиевна Филатова</v>
      </c>
      <c r="L402" s="44" t="str">
        <f>LEFT(клиенты!$K402,FIND(" ",клиенты!$K402,1)-1)</f>
        <v>Александра</v>
      </c>
      <c r="M402" s="44" t="str">
        <f>MID(K402,FIND(" ",клиенты!$K402,1)+1,(FIND(" ",клиенты!$K402,FIND(" ",клиенты!$K402,1)+1)-1)-FIND(" ",клиенты!$K402,1))</f>
        <v>Геннадиевна</v>
      </c>
      <c r="N402" s="44" t="str">
        <f>RIGHT(K402,LEN(K402)-FIND(" ",клиенты!$K402,FIND(" ",клиенты!$K402,1)+1))</f>
        <v>Филатова</v>
      </c>
    </row>
    <row r="403" spans="1:14" x14ac:dyDescent="0.25">
      <c r="A403" s="40">
        <v>445</v>
      </c>
      <c r="B403" s="41" t="s">
        <v>207</v>
      </c>
      <c r="C403" s="41" t="s">
        <v>206</v>
      </c>
      <c r="D403" s="41" t="s">
        <v>140</v>
      </c>
      <c r="E403" s="42">
        <v>44676</v>
      </c>
      <c r="F403" s="41" t="str">
        <f>LEFT(клиенты!$B403,LEN(клиенты!$B403)-13)</f>
        <v>+7</v>
      </c>
      <c r="G403" s="41" t="str">
        <f>_xlfn.XLOOKUP(клиенты!$F403,'коды стран'!$B$2:$B$7,'коды стран'!$A$2:$A$7,"не найдено",0)</f>
        <v>Россия</v>
      </c>
      <c r="H403" s="42">
        <f>_xlfn.MAXIFS(Продажи[дата создания чека],Продажи[id клиента],A403)</f>
        <v>45214</v>
      </c>
      <c r="I403" s="59">
        <f t="shared" si="12"/>
        <v>17.675564681724847</v>
      </c>
      <c r="J403" s="41" t="str">
        <f>IF(LEN(C403) - LEN(SUBSTITUTE(C403," ",""))&lt;3,C403,RIGHT(C403,LEN(C403)-FIND(" ",клиенты!$C403,1)))</f>
        <v>Марфа Архиповна Белоусова</v>
      </c>
      <c r="K403" s="41" t="str">
        <f t="shared" si="13"/>
        <v>Марфа Архиповна Белоусова</v>
      </c>
      <c r="L403" s="41" t="str">
        <f>LEFT(клиенты!$K403,FIND(" ",клиенты!$K403,1)-1)</f>
        <v>Марфа</v>
      </c>
      <c r="M403" s="41" t="str">
        <f>MID(K403,FIND(" ",клиенты!$K403,1)+1,(FIND(" ",клиенты!$K403,FIND(" ",клиенты!$K403,1)+1)-1)-FIND(" ",клиенты!$K403,1))</f>
        <v>Архиповна</v>
      </c>
      <c r="N403" s="41" t="str">
        <f>RIGHT(K403,LEN(K403)-FIND(" ",клиенты!$K403,FIND(" ",клиенты!$K403,1)+1))</f>
        <v>Белоусова</v>
      </c>
    </row>
    <row r="404" spans="1:14" x14ac:dyDescent="0.25">
      <c r="A404" s="43">
        <v>208</v>
      </c>
      <c r="B404" s="44" t="s">
        <v>205</v>
      </c>
      <c r="C404" s="44" t="s">
        <v>204</v>
      </c>
      <c r="D404" s="44" t="s">
        <v>140</v>
      </c>
      <c r="E404" s="45">
        <v>44736</v>
      </c>
      <c r="F404" s="44" t="str">
        <f>LEFT(клиенты!$B404,LEN(клиенты!$B404)-13)</f>
        <v>+380</v>
      </c>
      <c r="G404" s="44" t="str">
        <f>_xlfn.XLOOKUP(клиенты!$F404,'коды стран'!$B$2:$B$7,'коды стран'!$A$2:$A$7,"не найдено",0)</f>
        <v>Украина</v>
      </c>
      <c r="H404" s="45">
        <f>_xlfn.MAXIFS(Продажи[дата создания чека],Продажи[id клиента],A404)</f>
        <v>45194</v>
      </c>
      <c r="I404" s="60">
        <f t="shared" si="12"/>
        <v>15.047227926078028</v>
      </c>
      <c r="J404" s="44" t="str">
        <f>IF(LEN(C404) - LEN(SUBSTITUTE(C404," ",""))&lt;3,C404,RIGHT(C404,LEN(C404)-FIND(" ",клиенты!$C404,1)))</f>
        <v>Эммануил Филимонович Захаров</v>
      </c>
      <c r="K404" s="44" t="str">
        <f t="shared" si="13"/>
        <v>Эммануил Филимонович Захаров</v>
      </c>
      <c r="L404" s="44" t="str">
        <f>LEFT(клиенты!$K404,FIND(" ",клиенты!$K404,1)-1)</f>
        <v>Эммануил</v>
      </c>
      <c r="M404" s="44" t="str">
        <f>MID(K404,FIND(" ",клиенты!$K404,1)+1,(FIND(" ",клиенты!$K404,FIND(" ",клиенты!$K404,1)+1)-1)-FIND(" ",клиенты!$K404,1))</f>
        <v>Филимонович</v>
      </c>
      <c r="N404" s="44" t="str">
        <f>RIGHT(K404,LEN(K404)-FIND(" ",клиенты!$K404,FIND(" ",клиенты!$K404,1)+1))</f>
        <v>Захаров</v>
      </c>
    </row>
    <row r="405" spans="1:14" x14ac:dyDescent="0.25">
      <c r="A405" s="40">
        <v>343</v>
      </c>
      <c r="B405" s="41" t="s">
        <v>203</v>
      </c>
      <c r="C405" s="41" t="s">
        <v>202</v>
      </c>
      <c r="D405" s="41" t="s">
        <v>140</v>
      </c>
      <c r="E405" s="42">
        <v>44874</v>
      </c>
      <c r="F405" s="41" t="str">
        <f>LEFT(клиенты!$B405,LEN(клиенты!$B405)-13)</f>
        <v>+380</v>
      </c>
      <c r="G405" s="41" t="str">
        <f>_xlfn.XLOOKUP(клиенты!$F405,'коды стран'!$B$2:$B$7,'коды стран'!$A$2:$A$7,"не найдено",0)</f>
        <v>Украина</v>
      </c>
      <c r="H405" s="42">
        <f>_xlfn.MAXIFS(Продажи[дата создания чека],Продажи[id клиента],A405)</f>
        <v>45289</v>
      </c>
      <c r="I405" s="59">
        <f t="shared" si="12"/>
        <v>13.634496919917865</v>
      </c>
      <c r="J405" s="41" t="str">
        <f>IF(LEN(C405) - LEN(SUBSTITUTE(C405," ",""))&lt;3,C405,RIGHT(C405,LEN(C405)-FIND(" ",клиенты!$C405,1)))</f>
        <v>Абрамов Амвросий Богданович</v>
      </c>
      <c r="K405" s="41" t="str">
        <f t="shared" si="13"/>
        <v>Амвросий Богданович Абрамов</v>
      </c>
      <c r="L405" s="41" t="str">
        <f>LEFT(клиенты!$K405,FIND(" ",клиенты!$K405,1)-1)</f>
        <v>Амвросий</v>
      </c>
      <c r="M405" s="41" t="str">
        <f>MID(K405,FIND(" ",клиенты!$K405,1)+1,(FIND(" ",клиенты!$K405,FIND(" ",клиенты!$K405,1)+1)-1)-FIND(" ",клиенты!$K405,1))</f>
        <v>Богданович</v>
      </c>
      <c r="N405" s="41" t="str">
        <f>RIGHT(K405,LEN(K405)-FIND(" ",клиенты!$K405,FIND(" ",клиенты!$K405,1)+1))</f>
        <v>Абрамов</v>
      </c>
    </row>
    <row r="406" spans="1:14" x14ac:dyDescent="0.25">
      <c r="A406" s="43">
        <v>486</v>
      </c>
      <c r="B406" s="44" t="s">
        <v>201</v>
      </c>
      <c r="C406" s="44" t="s">
        <v>200</v>
      </c>
      <c r="D406" s="44" t="s">
        <v>143</v>
      </c>
      <c r="E406" s="45">
        <v>44723</v>
      </c>
      <c r="F406" s="44" t="str">
        <f>LEFT(клиенты!$B406,LEN(клиенты!$B406)-13)</f>
        <v>+7</v>
      </c>
      <c r="G406" s="44" t="str">
        <f>_xlfn.XLOOKUP(клиенты!$F406,'коды стран'!$B$2:$B$7,'коды стран'!$A$2:$A$7,"не найдено",0)</f>
        <v>Россия</v>
      </c>
      <c r="H406" s="45">
        <f>_xlfn.MAXIFS(Продажи[дата создания чека],Продажи[id клиента],A406)</f>
        <v>45299</v>
      </c>
      <c r="I406" s="60">
        <f t="shared" si="12"/>
        <v>18.924024640657084</v>
      </c>
      <c r="J406" s="44" t="str">
        <f>IF(LEN(C406) - LEN(SUBSTITUTE(C406," ",""))&lt;3,C406,RIGHT(C406,LEN(C406)-FIND(" ",клиенты!$C406,1)))</f>
        <v>Волков Викентий Герасимович</v>
      </c>
      <c r="K406" s="44" t="str">
        <f t="shared" si="13"/>
        <v>Викентий Герасимович Волков</v>
      </c>
      <c r="L406" s="44" t="str">
        <f>LEFT(клиенты!$K406,FIND(" ",клиенты!$K406,1)-1)</f>
        <v>Викентий</v>
      </c>
      <c r="M406" s="44" t="str">
        <f>MID(K406,FIND(" ",клиенты!$K406,1)+1,(FIND(" ",клиенты!$K406,FIND(" ",клиенты!$K406,1)+1)-1)-FIND(" ",клиенты!$K406,1))</f>
        <v>Герасимович</v>
      </c>
      <c r="N406" s="44" t="str">
        <f>RIGHT(K406,LEN(K406)-FIND(" ",клиенты!$K406,FIND(" ",клиенты!$K406,1)+1))</f>
        <v>Волков</v>
      </c>
    </row>
    <row r="407" spans="1:14" x14ac:dyDescent="0.25">
      <c r="A407" s="40">
        <v>299</v>
      </c>
      <c r="B407" s="41" t="s">
        <v>199</v>
      </c>
      <c r="C407" s="41" t="s">
        <v>198</v>
      </c>
      <c r="D407" s="41" t="s">
        <v>140</v>
      </c>
      <c r="E407" s="42">
        <v>44666</v>
      </c>
      <c r="F407" s="41" t="str">
        <f>LEFT(клиенты!$B407,LEN(клиенты!$B407)-13)</f>
        <v>+380</v>
      </c>
      <c r="G407" s="41" t="str">
        <f>_xlfn.XLOOKUP(клиенты!$F407,'коды стран'!$B$2:$B$7,'коды стран'!$A$2:$A$7,"не найдено",0)</f>
        <v>Украина</v>
      </c>
      <c r="H407" s="42">
        <f>_xlfn.MAXIFS(Продажи[дата создания чека],Продажи[id клиента],A407)</f>
        <v>45374</v>
      </c>
      <c r="I407" s="59">
        <f t="shared" si="12"/>
        <v>23.260780287474333</v>
      </c>
      <c r="J407" s="41" t="str">
        <f>IF(LEN(C407) - LEN(SUBSTITUTE(C407," ",""))&lt;3,C407,RIGHT(C407,LEN(C407)-FIND(" ",клиенты!$C407,1)))</f>
        <v>Одинцов Анисим Евсеевич</v>
      </c>
      <c r="K407" s="41" t="str">
        <f t="shared" si="13"/>
        <v>Анисим Евсеевич Одинцов</v>
      </c>
      <c r="L407" s="41" t="str">
        <f>LEFT(клиенты!$K407,FIND(" ",клиенты!$K407,1)-1)</f>
        <v>Анисим</v>
      </c>
      <c r="M407" s="41" t="str">
        <f>MID(K407,FIND(" ",клиенты!$K407,1)+1,(FIND(" ",клиенты!$K407,FIND(" ",клиенты!$K407,1)+1)-1)-FIND(" ",клиенты!$K407,1))</f>
        <v>Евсеевич</v>
      </c>
      <c r="N407" s="41" t="str">
        <f>RIGHT(K407,LEN(K407)-FIND(" ",клиенты!$K407,FIND(" ",клиенты!$K407,1)+1))</f>
        <v>Одинцов</v>
      </c>
    </row>
    <row r="408" spans="1:14" x14ac:dyDescent="0.25">
      <c r="A408" s="43">
        <v>368</v>
      </c>
      <c r="B408" s="44" t="s">
        <v>197</v>
      </c>
      <c r="C408" s="44" t="s">
        <v>196</v>
      </c>
      <c r="D408" s="44" t="s">
        <v>143</v>
      </c>
      <c r="E408" s="45">
        <v>44872</v>
      </c>
      <c r="F408" s="44" t="str">
        <f>LEFT(клиенты!$B408,LEN(клиенты!$B408)-13)</f>
        <v>+998</v>
      </c>
      <c r="G408" s="44" t="str">
        <f>_xlfn.XLOOKUP(клиенты!$F408,'коды стран'!$B$2:$B$7,'коды стран'!$A$2:$A$7,"не найдено",0)</f>
        <v>Узбекистан</v>
      </c>
      <c r="H408" s="45">
        <f>_xlfn.MAXIFS(Продажи[дата создания чека],Продажи[id клиента],A408)</f>
        <v>45173</v>
      </c>
      <c r="I408" s="60">
        <f t="shared" si="12"/>
        <v>9.8891170431211499</v>
      </c>
      <c r="J408" s="44" t="str">
        <f>IF(LEN(C408) - LEN(SUBSTITUTE(C408," ",""))&lt;3,C408,RIGHT(C408,LEN(C408)-FIND(" ",клиенты!$C408,1)))</f>
        <v>Никодим Арсенович Потапов</v>
      </c>
      <c r="K408" s="44" t="str">
        <f t="shared" si="13"/>
        <v>Никодим Арсенович Потапов</v>
      </c>
      <c r="L408" s="44" t="str">
        <f>LEFT(клиенты!$K408,FIND(" ",клиенты!$K408,1)-1)</f>
        <v>Никодим</v>
      </c>
      <c r="M408" s="44" t="str">
        <f>MID(K408,FIND(" ",клиенты!$K408,1)+1,(FIND(" ",клиенты!$K408,FIND(" ",клиенты!$K408,1)+1)-1)-FIND(" ",клиенты!$K408,1))</f>
        <v>Арсенович</v>
      </c>
      <c r="N408" s="44" t="str">
        <f>RIGHT(K408,LEN(K408)-FIND(" ",клиенты!$K408,FIND(" ",клиенты!$K408,1)+1))</f>
        <v>Потапов</v>
      </c>
    </row>
    <row r="409" spans="1:14" x14ac:dyDescent="0.25">
      <c r="A409" s="40">
        <v>108</v>
      </c>
      <c r="B409" s="41" t="s">
        <v>195</v>
      </c>
      <c r="C409" s="41" t="s">
        <v>194</v>
      </c>
      <c r="D409" s="41" t="s">
        <v>143</v>
      </c>
      <c r="E409" s="42">
        <v>44835</v>
      </c>
      <c r="F409" s="41" t="str">
        <f>LEFT(клиенты!$B409,LEN(клиенты!$B409)-13)</f>
        <v>+998</v>
      </c>
      <c r="G409" s="41" t="str">
        <f>_xlfn.XLOOKUP(клиенты!$F409,'коды стран'!$B$2:$B$7,'коды стран'!$A$2:$A$7,"не найдено",0)</f>
        <v>Узбекистан</v>
      </c>
      <c r="H409" s="42">
        <f>_xlfn.MAXIFS(Продажи[дата создания чека],Продажи[id клиента],A409)</f>
        <v>45422</v>
      </c>
      <c r="I409" s="59">
        <f t="shared" si="12"/>
        <v>19.285420944558521</v>
      </c>
      <c r="J409" s="41" t="str">
        <f>IF(LEN(C409) - LEN(SUBSTITUTE(C409," ",""))&lt;3,C409,RIGHT(C409,LEN(C409)-FIND(" ",клиенты!$C409,1)))</f>
        <v>Алла Рудольфовна Сидорова</v>
      </c>
      <c r="K409" s="41" t="str">
        <f t="shared" si="13"/>
        <v>Алла Рудольфовна Сидорова</v>
      </c>
      <c r="L409" s="41" t="str">
        <f>LEFT(клиенты!$K409,FIND(" ",клиенты!$K409,1)-1)</f>
        <v>Алла</v>
      </c>
      <c r="M409" s="41" t="str">
        <f>MID(K409,FIND(" ",клиенты!$K409,1)+1,(FIND(" ",клиенты!$K409,FIND(" ",клиенты!$K409,1)+1)-1)-FIND(" ",клиенты!$K409,1))</f>
        <v>Рудольфовна</v>
      </c>
      <c r="N409" s="41" t="str">
        <f>RIGHT(K409,LEN(K409)-FIND(" ",клиенты!$K409,FIND(" ",клиенты!$K409,1)+1))</f>
        <v>Сидорова</v>
      </c>
    </row>
    <row r="410" spans="1:14" x14ac:dyDescent="0.25">
      <c r="A410" s="43">
        <v>443</v>
      </c>
      <c r="B410" s="44" t="s">
        <v>193</v>
      </c>
      <c r="C410" s="44" t="s">
        <v>192</v>
      </c>
      <c r="D410" s="44" t="s">
        <v>143</v>
      </c>
      <c r="E410" s="45">
        <v>44649</v>
      </c>
      <c r="F410" s="44" t="str">
        <f>LEFT(клиенты!$B410,LEN(клиенты!$B410)-13)</f>
        <v>+7</v>
      </c>
      <c r="G410" s="44" t="str">
        <f>_xlfn.XLOOKUP(клиенты!$F410,'коды стран'!$B$2:$B$7,'коды стран'!$A$2:$A$7,"не найдено",0)</f>
        <v>Россия</v>
      </c>
      <c r="H410" s="45">
        <f>_xlfn.MAXIFS(Продажи[дата создания чека],Продажи[id клиента],A410)</f>
        <v>45294</v>
      </c>
      <c r="I410" s="60">
        <f t="shared" si="12"/>
        <v>21.190965092402465</v>
      </c>
      <c r="J410" s="44" t="str">
        <f>IF(LEN(C410) - LEN(SUBSTITUTE(C410," ",""))&lt;3,C410,RIGHT(C410,LEN(C410)-FIND(" ",клиенты!$C410,1)))</f>
        <v>Агата Олеговна Мартынова</v>
      </c>
      <c r="K410" s="44" t="str">
        <f t="shared" si="13"/>
        <v>Агата Олеговна Мартынова</v>
      </c>
      <c r="L410" s="44" t="str">
        <f>LEFT(клиенты!$K410,FIND(" ",клиенты!$K410,1)-1)</f>
        <v>Агата</v>
      </c>
      <c r="M410" s="44" t="str">
        <f>MID(K410,FIND(" ",клиенты!$K410,1)+1,(FIND(" ",клиенты!$K410,FIND(" ",клиенты!$K410,1)+1)-1)-FIND(" ",клиенты!$K410,1))</f>
        <v>Олеговна</v>
      </c>
      <c r="N410" s="44" t="str">
        <f>RIGHT(K410,LEN(K410)-FIND(" ",клиенты!$K410,FIND(" ",клиенты!$K410,1)+1))</f>
        <v>Мартынова</v>
      </c>
    </row>
    <row r="411" spans="1:14" x14ac:dyDescent="0.25">
      <c r="A411" s="40">
        <v>91</v>
      </c>
      <c r="B411" s="41" t="s">
        <v>191</v>
      </c>
      <c r="C411" s="41" t="s">
        <v>190</v>
      </c>
      <c r="D411" s="41" t="s">
        <v>140</v>
      </c>
      <c r="E411" s="42">
        <v>44687</v>
      </c>
      <c r="F411" s="41" t="str">
        <f>LEFT(клиенты!$B411,LEN(клиенты!$B411)-13)</f>
        <v>+7</v>
      </c>
      <c r="G411" s="41" t="str">
        <f>_xlfn.XLOOKUP(клиенты!$F411,'коды стран'!$B$2:$B$7,'коды стран'!$A$2:$A$7,"не найдено",0)</f>
        <v>Россия</v>
      </c>
      <c r="H411" s="42">
        <f>_xlfn.MAXIFS(Продажи[дата создания чека],Продажи[id клиента],A411)</f>
        <v>45322</v>
      </c>
      <c r="I411" s="59">
        <f t="shared" si="12"/>
        <v>20.862422997946613</v>
      </c>
      <c r="J411" s="41" t="str">
        <f>IF(LEN(C411) - LEN(SUBSTITUTE(C411," ",""))&lt;3,C411,RIGHT(C411,LEN(C411)-FIND(" ",клиенты!$C411,1)))</f>
        <v>Стрелкова Наина Эдуардовна</v>
      </c>
      <c r="K411" s="41" t="str">
        <f t="shared" si="13"/>
        <v>Наина Эдуардовна Стрелкова</v>
      </c>
      <c r="L411" s="41" t="str">
        <f>LEFT(клиенты!$K411,FIND(" ",клиенты!$K411,1)-1)</f>
        <v>Наина</v>
      </c>
      <c r="M411" s="41" t="str">
        <f>MID(K411,FIND(" ",клиенты!$K411,1)+1,(FIND(" ",клиенты!$K411,FIND(" ",клиенты!$K411,1)+1)-1)-FIND(" ",клиенты!$K411,1))</f>
        <v>Эдуардовна</v>
      </c>
      <c r="N411" s="41" t="str">
        <f>RIGHT(K411,LEN(K411)-FIND(" ",клиенты!$K411,FIND(" ",клиенты!$K411,1)+1))</f>
        <v>Стрелкова</v>
      </c>
    </row>
    <row r="412" spans="1:14" x14ac:dyDescent="0.25">
      <c r="A412" s="43">
        <v>473</v>
      </c>
      <c r="B412" s="44" t="s">
        <v>189</v>
      </c>
      <c r="C412" s="44" t="s">
        <v>188</v>
      </c>
      <c r="D412" s="44" t="s">
        <v>143</v>
      </c>
      <c r="E412" s="45">
        <v>44799</v>
      </c>
      <c r="F412" s="44" t="str">
        <f>LEFT(клиенты!$B412,LEN(клиенты!$B412)-13)</f>
        <v>+7</v>
      </c>
      <c r="G412" s="44" t="str">
        <f>_xlfn.XLOOKUP(клиенты!$F412,'коды стран'!$B$2:$B$7,'коды стран'!$A$2:$A$7,"не найдено",0)</f>
        <v>Россия</v>
      </c>
      <c r="H412" s="45">
        <f>_xlfn.MAXIFS(Продажи[дата создания чека],Продажи[id клиента],A412)</f>
        <v>45145</v>
      </c>
      <c r="I412" s="60">
        <f t="shared" si="12"/>
        <v>11.367556468172484</v>
      </c>
      <c r="J412" s="44" t="str">
        <f>IF(LEN(C412) - LEN(SUBSTITUTE(C412," ",""))&lt;3,C412,RIGHT(C412,LEN(C412)-FIND(" ",клиенты!$C412,1)))</f>
        <v>Ипат Дмитриевич Панов</v>
      </c>
      <c r="K412" s="44" t="str">
        <f t="shared" si="13"/>
        <v>Ипат Дмитриевич Панов</v>
      </c>
      <c r="L412" s="44" t="str">
        <f>LEFT(клиенты!$K412,FIND(" ",клиенты!$K412,1)-1)</f>
        <v>Ипат</v>
      </c>
      <c r="M412" s="44" t="str">
        <f>MID(K412,FIND(" ",клиенты!$K412,1)+1,(FIND(" ",клиенты!$K412,FIND(" ",клиенты!$K412,1)+1)-1)-FIND(" ",клиенты!$K412,1))</f>
        <v>Дмитриевич</v>
      </c>
      <c r="N412" s="44" t="str">
        <f>RIGHT(K412,LEN(K412)-FIND(" ",клиенты!$K412,FIND(" ",клиенты!$K412,1)+1))</f>
        <v>Панов</v>
      </c>
    </row>
    <row r="413" spans="1:14" x14ac:dyDescent="0.25">
      <c r="A413" s="40">
        <v>482</v>
      </c>
      <c r="B413" s="41" t="s">
        <v>187</v>
      </c>
      <c r="C413" s="41" t="s">
        <v>186</v>
      </c>
      <c r="D413" s="41" t="s">
        <v>140</v>
      </c>
      <c r="E413" s="42">
        <v>44679</v>
      </c>
      <c r="F413" s="41" t="str">
        <f>LEFT(клиенты!$B413,LEN(клиенты!$B413)-13)</f>
        <v>+380</v>
      </c>
      <c r="G413" s="41" t="str">
        <f>_xlfn.XLOOKUP(клиенты!$F413,'коды стран'!$B$2:$B$7,'коды стран'!$A$2:$A$7,"не найдено",0)</f>
        <v>Украина</v>
      </c>
      <c r="H413" s="42">
        <f>_xlfn.MAXIFS(Продажи[дата создания чека],Продажи[id клиента],A413)</f>
        <v>45319</v>
      </c>
      <c r="I413" s="59">
        <f t="shared" si="12"/>
        <v>21.026694045174537</v>
      </c>
      <c r="J413" s="41" t="str">
        <f>IF(LEN(C413) - LEN(SUBSTITUTE(C413," ",""))&lt;3,C413,RIGHT(C413,LEN(C413)-FIND(" ",клиенты!$C413,1)))</f>
        <v>Творимир Артурович Гришин</v>
      </c>
      <c r="K413" s="41" t="str">
        <f t="shared" si="13"/>
        <v>Творимир Артурович Гришин</v>
      </c>
      <c r="L413" s="41" t="str">
        <f>LEFT(клиенты!$K413,FIND(" ",клиенты!$K413,1)-1)</f>
        <v>Творимир</v>
      </c>
      <c r="M413" s="41" t="str">
        <f>MID(K413,FIND(" ",клиенты!$K413,1)+1,(FIND(" ",клиенты!$K413,FIND(" ",клиенты!$K413,1)+1)-1)-FIND(" ",клиенты!$K413,1))</f>
        <v>Артурович</v>
      </c>
      <c r="N413" s="41" t="str">
        <f>RIGHT(K413,LEN(K413)-FIND(" ",клиенты!$K413,FIND(" ",клиенты!$K413,1)+1))</f>
        <v>Гришин</v>
      </c>
    </row>
    <row r="414" spans="1:14" x14ac:dyDescent="0.25">
      <c r="A414" s="43">
        <v>48</v>
      </c>
      <c r="B414" s="44" t="s">
        <v>185</v>
      </c>
      <c r="C414" s="44" t="s">
        <v>184</v>
      </c>
      <c r="D414" s="44" t="s">
        <v>140</v>
      </c>
      <c r="E414" s="45">
        <v>44856</v>
      </c>
      <c r="F414" s="44" t="str">
        <f>LEFT(клиенты!$B414,LEN(клиенты!$B414)-13)</f>
        <v>+998</v>
      </c>
      <c r="G414" s="44" t="str">
        <f>_xlfn.XLOOKUP(клиенты!$F414,'коды стран'!$B$2:$B$7,'коды стран'!$A$2:$A$7,"не найдено",0)</f>
        <v>Узбекистан</v>
      </c>
      <c r="H414" s="45">
        <f>_xlfn.MAXIFS(Продажи[дата создания чека],Продажи[id клиента],A414)</f>
        <v>44971</v>
      </c>
      <c r="I414" s="60">
        <f t="shared" si="12"/>
        <v>3.7782340862422998</v>
      </c>
      <c r="J414" s="44" t="str">
        <f>IF(LEN(C414) - LEN(SUBSTITUTE(C414," ",""))&lt;3,C414,RIGHT(C414,LEN(C414)-FIND(" ",клиенты!$C414,1)))</f>
        <v>Лаврентьева Вера Владиславовна</v>
      </c>
      <c r="K414" s="44" t="str">
        <f t="shared" si="13"/>
        <v>Вера Владиславовна Лаврентьева</v>
      </c>
      <c r="L414" s="44" t="str">
        <f>LEFT(клиенты!$K414,FIND(" ",клиенты!$K414,1)-1)</f>
        <v>Вера</v>
      </c>
      <c r="M414" s="44" t="str">
        <f>MID(K414,FIND(" ",клиенты!$K414,1)+1,(FIND(" ",клиенты!$K414,FIND(" ",клиенты!$K414,1)+1)-1)-FIND(" ",клиенты!$K414,1))</f>
        <v>Владиславовна</v>
      </c>
      <c r="N414" s="44" t="str">
        <f>RIGHT(K414,LEN(K414)-FIND(" ",клиенты!$K414,FIND(" ",клиенты!$K414,1)+1))</f>
        <v>Лаврентьева</v>
      </c>
    </row>
    <row r="415" spans="1:14" x14ac:dyDescent="0.25">
      <c r="A415" s="40">
        <v>26</v>
      </c>
      <c r="B415" s="41" t="s">
        <v>183</v>
      </c>
      <c r="C415" s="41" t="s">
        <v>182</v>
      </c>
      <c r="D415" s="41" t="s">
        <v>143</v>
      </c>
      <c r="E415" s="42">
        <v>44819</v>
      </c>
      <c r="F415" s="41" t="str">
        <f>LEFT(клиенты!$B415,LEN(клиенты!$B415)-13)</f>
        <v>+992</v>
      </c>
      <c r="G415" s="41" t="str">
        <f>_xlfn.XLOOKUP(клиенты!$F415,'коды стран'!$B$2:$B$7,'коды стран'!$A$2:$A$7,"не найдено",0)</f>
        <v>Таджикистан</v>
      </c>
      <c r="H415" s="42">
        <f>_xlfn.MAXIFS(Продажи[дата создания чека],Продажи[id клиента],A415)</f>
        <v>45427</v>
      </c>
      <c r="I415" s="59">
        <f t="shared" si="12"/>
        <v>19.975359342915812</v>
      </c>
      <c r="J415" s="41" t="str">
        <f>IF(LEN(C415) - LEN(SUBSTITUTE(C415," ",""))&lt;3,C415,RIGHT(C415,LEN(C415)-FIND(" ",клиенты!$C415,1)))</f>
        <v>Корнилов Леон Иосипович</v>
      </c>
      <c r="K415" s="41" t="str">
        <f t="shared" si="13"/>
        <v>Леон Иосипович Корнилов</v>
      </c>
      <c r="L415" s="41" t="str">
        <f>LEFT(клиенты!$K415,FIND(" ",клиенты!$K415,1)-1)</f>
        <v>Леон</v>
      </c>
      <c r="M415" s="41" t="str">
        <f>MID(K415,FIND(" ",клиенты!$K415,1)+1,(FIND(" ",клиенты!$K415,FIND(" ",клиенты!$K415,1)+1)-1)-FIND(" ",клиенты!$K415,1))</f>
        <v>Иосипович</v>
      </c>
      <c r="N415" s="41" t="str">
        <f>RIGHT(K415,LEN(K415)-FIND(" ",клиенты!$K415,FIND(" ",клиенты!$K415,1)+1))</f>
        <v>Корнилов</v>
      </c>
    </row>
    <row r="416" spans="1:14" x14ac:dyDescent="0.25">
      <c r="A416" s="43">
        <v>417</v>
      </c>
      <c r="B416" s="44" t="s">
        <v>181</v>
      </c>
      <c r="C416" s="44" t="s">
        <v>180</v>
      </c>
      <c r="D416" s="44" t="s">
        <v>140</v>
      </c>
      <c r="E416" s="45">
        <v>44608</v>
      </c>
      <c r="F416" s="44" t="str">
        <f>LEFT(клиенты!$B416,LEN(клиенты!$B416)-13)</f>
        <v>+992</v>
      </c>
      <c r="G416" s="44" t="str">
        <f>_xlfn.XLOOKUP(клиенты!$F416,'коды стран'!$B$2:$B$7,'коды стран'!$A$2:$A$7,"не найдено",0)</f>
        <v>Таджикистан</v>
      </c>
      <c r="H416" s="45">
        <f>_xlfn.MAXIFS(Продажи[дата создания чека],Продажи[id клиента],A416)</f>
        <v>45060</v>
      </c>
      <c r="I416" s="60">
        <f t="shared" si="12"/>
        <v>14.850102669404517</v>
      </c>
      <c r="J416" s="44" t="str">
        <f>IF(LEN(C416) - LEN(SUBSTITUTE(C416," ",""))&lt;3,C416,RIGHT(C416,LEN(C416)-FIND(" ",клиенты!$C416,1)))</f>
        <v>Игнатова Вера Вячеславовна</v>
      </c>
      <c r="K416" s="44" t="str">
        <f t="shared" si="13"/>
        <v>Вера Вячеславовна Игнатова</v>
      </c>
      <c r="L416" s="44" t="str">
        <f>LEFT(клиенты!$K416,FIND(" ",клиенты!$K416,1)-1)</f>
        <v>Вера</v>
      </c>
      <c r="M416" s="44" t="str">
        <f>MID(K416,FIND(" ",клиенты!$K416,1)+1,(FIND(" ",клиенты!$K416,FIND(" ",клиенты!$K416,1)+1)-1)-FIND(" ",клиенты!$K416,1))</f>
        <v>Вячеславовна</v>
      </c>
      <c r="N416" s="44" t="str">
        <f>RIGHT(K416,LEN(K416)-FIND(" ",клиенты!$K416,FIND(" ",клиенты!$K416,1)+1))</f>
        <v>Игнатова</v>
      </c>
    </row>
    <row r="417" spans="1:14" x14ac:dyDescent="0.25">
      <c r="A417" s="40">
        <v>491</v>
      </c>
      <c r="B417" s="41" t="s">
        <v>179</v>
      </c>
      <c r="C417" s="41" t="s">
        <v>178</v>
      </c>
      <c r="D417" s="41" t="s">
        <v>143</v>
      </c>
      <c r="E417" s="42">
        <v>44752</v>
      </c>
      <c r="F417" s="41" t="str">
        <f>LEFT(клиенты!$B417,LEN(клиенты!$B417)-13)</f>
        <v>+7</v>
      </c>
      <c r="G417" s="41" t="str">
        <f>_xlfn.XLOOKUP(клиенты!$F417,'коды стран'!$B$2:$B$7,'коды стран'!$A$2:$A$7,"не найдено",0)</f>
        <v>Россия</v>
      </c>
      <c r="H417" s="42">
        <f>_xlfn.MAXIFS(Продажи[дата создания чека],Продажи[id клиента],A417)</f>
        <v>45032</v>
      </c>
      <c r="I417" s="59">
        <f t="shared" si="12"/>
        <v>9.1991786447638599</v>
      </c>
      <c r="J417" s="41" t="str">
        <f>IF(LEN(C417) - LEN(SUBSTITUTE(C417," ",""))&lt;3,C417,RIGHT(C417,LEN(C417)-FIND(" ",клиенты!$C417,1)))</f>
        <v>Михайлова Лора Наумовна</v>
      </c>
      <c r="K417" s="41" t="str">
        <f t="shared" si="13"/>
        <v>Лора Наумовна Михайлова</v>
      </c>
      <c r="L417" s="41" t="str">
        <f>LEFT(клиенты!$K417,FIND(" ",клиенты!$K417,1)-1)</f>
        <v>Лора</v>
      </c>
      <c r="M417" s="41" t="str">
        <f>MID(K417,FIND(" ",клиенты!$K417,1)+1,(FIND(" ",клиенты!$K417,FIND(" ",клиенты!$K417,1)+1)-1)-FIND(" ",клиенты!$K417,1))</f>
        <v>Наумовна</v>
      </c>
      <c r="N417" s="41" t="str">
        <f>RIGHT(K417,LEN(K417)-FIND(" ",клиенты!$K417,FIND(" ",клиенты!$K417,1)+1))</f>
        <v>Михайлова</v>
      </c>
    </row>
    <row r="418" spans="1:14" x14ac:dyDescent="0.25">
      <c r="A418" s="43">
        <v>492</v>
      </c>
      <c r="B418" s="44" t="s">
        <v>177</v>
      </c>
      <c r="C418" s="44" t="s">
        <v>176</v>
      </c>
      <c r="D418" s="44" t="s">
        <v>143</v>
      </c>
      <c r="E418" s="45">
        <v>44688</v>
      </c>
      <c r="F418" s="44" t="str">
        <f>LEFT(клиенты!$B418,LEN(клиенты!$B418)-13)</f>
        <v>+380</v>
      </c>
      <c r="G418" s="44" t="str">
        <f>_xlfn.XLOOKUP(клиенты!$F418,'коды стран'!$B$2:$B$7,'коды стран'!$A$2:$A$7,"не найдено",0)</f>
        <v>Украина</v>
      </c>
      <c r="H418" s="45">
        <f>_xlfn.MAXIFS(Продажи[дата создания чека],Продажи[id клиента],A418)</f>
        <v>45237</v>
      </c>
      <c r="I418" s="60">
        <f t="shared" si="12"/>
        <v>18.036960985626283</v>
      </c>
      <c r="J418" s="44" t="str">
        <f>IF(LEN(C418) - LEN(SUBSTITUTE(C418," ",""))&lt;3,C418,RIGHT(C418,LEN(C418)-FIND(" ",клиенты!$C418,1)))</f>
        <v>Феликс Ааронович Яковлев</v>
      </c>
      <c r="K418" s="44" t="str">
        <f t="shared" si="13"/>
        <v>Феликс Ааронович Яковлев</v>
      </c>
      <c r="L418" s="44" t="str">
        <f>LEFT(клиенты!$K418,FIND(" ",клиенты!$K418,1)-1)</f>
        <v>Феликс</v>
      </c>
      <c r="M418" s="44" t="str">
        <f>MID(K418,FIND(" ",клиенты!$K418,1)+1,(FIND(" ",клиенты!$K418,FIND(" ",клиенты!$K418,1)+1)-1)-FIND(" ",клиенты!$K418,1))</f>
        <v>Ааронович</v>
      </c>
      <c r="N418" s="44" t="str">
        <f>RIGHT(K418,LEN(K418)-FIND(" ",клиенты!$K418,FIND(" ",клиенты!$K418,1)+1))</f>
        <v>Яковлев</v>
      </c>
    </row>
    <row r="419" spans="1:14" x14ac:dyDescent="0.25">
      <c r="A419" s="40">
        <v>155</v>
      </c>
      <c r="B419" s="41" t="s">
        <v>175</v>
      </c>
      <c r="C419" s="41" t="s">
        <v>174</v>
      </c>
      <c r="D419" s="41" t="s">
        <v>140</v>
      </c>
      <c r="E419" s="42">
        <v>44564</v>
      </c>
      <c r="F419" s="41" t="str">
        <f>LEFT(клиенты!$B419,LEN(клиенты!$B419)-13)</f>
        <v>+380</v>
      </c>
      <c r="G419" s="41" t="str">
        <f>_xlfn.XLOOKUP(клиенты!$F419,'коды стран'!$B$2:$B$7,'коды стран'!$A$2:$A$7,"не найдено",0)</f>
        <v>Украина</v>
      </c>
      <c r="H419" s="42">
        <f>_xlfn.MAXIFS(Продажи[дата создания чека],Продажи[id клиента],A419)</f>
        <v>45154</v>
      </c>
      <c r="I419" s="59">
        <f t="shared" si="12"/>
        <v>19.383983572895279</v>
      </c>
      <c r="J419" s="41" t="str">
        <f>IF(LEN(C419) - LEN(SUBSTITUTE(C419," ",""))&lt;3,C419,RIGHT(C419,LEN(C419)-FIND(" ",клиенты!$C419,1)))</f>
        <v>Емельянов Игорь Андреевич</v>
      </c>
      <c r="K419" s="41" t="str">
        <f t="shared" si="13"/>
        <v>Игорь Андреевич Емельянов</v>
      </c>
      <c r="L419" s="41" t="str">
        <f>LEFT(клиенты!$K419,FIND(" ",клиенты!$K419,1)-1)</f>
        <v>Игорь</v>
      </c>
      <c r="M419" s="41" t="str">
        <f>MID(K419,FIND(" ",клиенты!$K419,1)+1,(FIND(" ",клиенты!$K419,FIND(" ",клиенты!$K419,1)+1)-1)-FIND(" ",клиенты!$K419,1))</f>
        <v>Андреевич</v>
      </c>
      <c r="N419" s="41" t="str">
        <f>RIGHT(K419,LEN(K419)-FIND(" ",клиенты!$K419,FIND(" ",клиенты!$K419,1)+1))</f>
        <v>Емельянов</v>
      </c>
    </row>
    <row r="420" spans="1:14" x14ac:dyDescent="0.25">
      <c r="A420" s="43">
        <v>430</v>
      </c>
      <c r="B420" s="44" t="s">
        <v>173</v>
      </c>
      <c r="C420" s="44" t="s">
        <v>172</v>
      </c>
      <c r="D420" s="44" t="s">
        <v>140</v>
      </c>
      <c r="E420" s="45">
        <v>44799</v>
      </c>
      <c r="F420" s="44" t="str">
        <f>LEFT(клиенты!$B420,LEN(клиенты!$B420)-13)</f>
        <v>+992</v>
      </c>
      <c r="G420" s="44" t="str">
        <f>_xlfn.XLOOKUP(клиенты!$F420,'коды стран'!$B$2:$B$7,'коды стран'!$A$2:$A$7,"не найдено",0)</f>
        <v>Таджикистан</v>
      </c>
      <c r="H420" s="45">
        <f>_xlfn.MAXIFS(Продажи[дата создания чека],Продажи[id клиента],A420)</f>
        <v>45125</v>
      </c>
      <c r="I420" s="60">
        <f t="shared" si="12"/>
        <v>10.710472279260781</v>
      </c>
      <c r="J420" s="44" t="str">
        <f>IF(LEN(C420) - LEN(SUBSTITUTE(C420," ",""))&lt;3,C420,RIGHT(C420,LEN(C420)-FIND(" ",клиенты!$C420,1)))</f>
        <v>Любосмысл Тихонович Веселов</v>
      </c>
      <c r="K420" s="44" t="str">
        <f t="shared" si="13"/>
        <v>Любосмысл Тихонович Веселов</v>
      </c>
      <c r="L420" s="44" t="str">
        <f>LEFT(клиенты!$K420,FIND(" ",клиенты!$K420,1)-1)</f>
        <v>Любосмысл</v>
      </c>
      <c r="M420" s="44" t="str">
        <f>MID(K420,FIND(" ",клиенты!$K420,1)+1,(FIND(" ",клиенты!$K420,FIND(" ",клиенты!$K420,1)+1)-1)-FIND(" ",клиенты!$K420,1))</f>
        <v>Тихонович</v>
      </c>
      <c r="N420" s="44" t="str">
        <f>RIGHT(K420,LEN(K420)-FIND(" ",клиенты!$K420,FIND(" ",клиенты!$K420,1)+1))</f>
        <v>Веселов</v>
      </c>
    </row>
    <row r="421" spans="1:14" x14ac:dyDescent="0.25">
      <c r="A421" s="40">
        <v>488</v>
      </c>
      <c r="B421" s="41" t="s">
        <v>171</v>
      </c>
      <c r="C421" s="41" t="s">
        <v>170</v>
      </c>
      <c r="D421" s="41" t="s">
        <v>143</v>
      </c>
      <c r="E421" s="42">
        <v>44738</v>
      </c>
      <c r="F421" s="41" t="str">
        <f>LEFT(клиенты!$B421,LEN(клиенты!$B421)-13)</f>
        <v>+375</v>
      </c>
      <c r="G421" s="41" t="str">
        <f>_xlfn.XLOOKUP(клиенты!$F421,'коды стран'!$B$2:$B$7,'коды стран'!$A$2:$A$7,"не найдено",0)</f>
        <v>Беларусь</v>
      </c>
      <c r="H421" s="42">
        <f>_xlfn.MAXIFS(Продажи[дата создания чека],Продажи[id клиента],A421)</f>
        <v>45410</v>
      </c>
      <c r="I421" s="59">
        <f t="shared" si="12"/>
        <v>22.078028747433265</v>
      </c>
      <c r="J421" s="41" t="str">
        <f>IF(LEN(C421) - LEN(SUBSTITUTE(C421," ",""))&lt;3,C421,RIGHT(C421,LEN(C421)-FIND(" ",клиенты!$C421,1)))</f>
        <v>Ольга Аскольдовна Данилова</v>
      </c>
      <c r="K421" s="41" t="str">
        <f t="shared" si="13"/>
        <v>Ольга Аскольдовна Данилова</v>
      </c>
      <c r="L421" s="41" t="str">
        <f>LEFT(клиенты!$K421,FIND(" ",клиенты!$K421,1)-1)</f>
        <v>Ольга</v>
      </c>
      <c r="M421" s="41" t="str">
        <f>MID(K421,FIND(" ",клиенты!$K421,1)+1,(FIND(" ",клиенты!$K421,FIND(" ",клиенты!$K421,1)+1)-1)-FIND(" ",клиенты!$K421,1))</f>
        <v>Аскольдовна</v>
      </c>
      <c r="N421" s="41" t="str">
        <f>RIGHT(K421,LEN(K421)-FIND(" ",клиенты!$K421,FIND(" ",клиенты!$K421,1)+1))</f>
        <v>Данилова</v>
      </c>
    </row>
    <row r="422" spans="1:14" x14ac:dyDescent="0.25">
      <c r="A422" s="43">
        <v>6</v>
      </c>
      <c r="B422" s="44" t="s">
        <v>169</v>
      </c>
      <c r="C422" s="44" t="s">
        <v>168</v>
      </c>
      <c r="D422" s="44" t="s">
        <v>140</v>
      </c>
      <c r="E422" s="45">
        <v>44710</v>
      </c>
      <c r="F422" s="44" t="str">
        <f>LEFT(клиенты!$B422,LEN(клиенты!$B422)-13)</f>
        <v>+380</v>
      </c>
      <c r="G422" s="44" t="str">
        <f>_xlfn.XLOOKUP(клиенты!$F422,'коды стран'!$B$2:$B$7,'коды стран'!$A$2:$A$7,"не найдено",0)</f>
        <v>Украина</v>
      </c>
      <c r="H422" s="45">
        <f>_xlfn.MAXIFS(Продажи[дата создания чека],Продажи[id клиента],A422)</f>
        <v>44970</v>
      </c>
      <c r="I422" s="60">
        <f t="shared" si="12"/>
        <v>8.5420944558521565</v>
      </c>
      <c r="J422" s="44" t="str">
        <f>IF(LEN(C422) - LEN(SUBSTITUTE(C422," ",""))&lt;3,C422,RIGHT(C422,LEN(C422)-FIND(" ",клиенты!$C422,1)))</f>
        <v>Эмилия Болеславовна Цветкова</v>
      </c>
      <c r="K422" s="44" t="str">
        <f t="shared" si="13"/>
        <v>Эмилия Болеславовна Цветкова</v>
      </c>
      <c r="L422" s="44" t="str">
        <f>LEFT(клиенты!$K422,FIND(" ",клиенты!$K422,1)-1)</f>
        <v>Эмилия</v>
      </c>
      <c r="M422" s="44" t="str">
        <f>MID(K422,FIND(" ",клиенты!$K422,1)+1,(FIND(" ",клиенты!$K422,FIND(" ",клиенты!$K422,1)+1)-1)-FIND(" ",клиенты!$K422,1))</f>
        <v>Болеславовна</v>
      </c>
      <c r="N422" s="44" t="str">
        <f>RIGHT(K422,LEN(K422)-FIND(" ",клиенты!$K422,FIND(" ",клиенты!$K422,1)+1))</f>
        <v>Цветкова</v>
      </c>
    </row>
    <row r="423" spans="1:14" x14ac:dyDescent="0.25">
      <c r="A423" s="40">
        <v>400</v>
      </c>
      <c r="B423" s="41" t="s">
        <v>167</v>
      </c>
      <c r="C423" s="41" t="s">
        <v>166</v>
      </c>
      <c r="D423" s="41" t="s">
        <v>143</v>
      </c>
      <c r="E423" s="42">
        <v>44765</v>
      </c>
      <c r="F423" s="41" t="str">
        <f>LEFT(клиенты!$B423,LEN(клиенты!$B423)-13)</f>
        <v>+375</v>
      </c>
      <c r="G423" s="41" t="str">
        <f>_xlfn.XLOOKUP(клиенты!$F423,'коды стран'!$B$2:$B$7,'коды стран'!$A$2:$A$7,"не найдено",0)</f>
        <v>Беларусь</v>
      </c>
      <c r="H423" s="42">
        <f>_xlfn.MAXIFS(Продажи[дата создания чека],Продажи[id клиента],A423)</f>
        <v>45101</v>
      </c>
      <c r="I423" s="59">
        <f t="shared" si="12"/>
        <v>11.039014373716633</v>
      </c>
      <c r="J423" s="41" t="str">
        <f>IF(LEN(C423) - LEN(SUBSTITUTE(C423," ",""))&lt;3,C423,RIGHT(C423,LEN(C423)-FIND(" ",клиенты!$C423,1)))</f>
        <v>Константинов Милован Денисович</v>
      </c>
      <c r="K423" s="41" t="str">
        <f t="shared" si="13"/>
        <v>Милован Денисович Константинов</v>
      </c>
      <c r="L423" s="41" t="str">
        <f>LEFT(клиенты!$K423,FIND(" ",клиенты!$K423,1)-1)</f>
        <v>Милован</v>
      </c>
      <c r="M423" s="41" t="str">
        <f>MID(K423,FIND(" ",клиенты!$K423,1)+1,(FIND(" ",клиенты!$K423,FIND(" ",клиенты!$K423,1)+1)-1)-FIND(" ",клиенты!$K423,1))</f>
        <v>Денисович</v>
      </c>
      <c r="N423" s="41" t="str">
        <f>RIGHT(K423,LEN(K423)-FIND(" ",клиенты!$K423,FIND(" ",клиенты!$K423,1)+1))</f>
        <v>Константинов</v>
      </c>
    </row>
    <row r="424" spans="1:14" x14ac:dyDescent="0.25">
      <c r="A424" s="43">
        <v>282</v>
      </c>
      <c r="B424" s="44" t="s">
        <v>165</v>
      </c>
      <c r="C424" s="44" t="s">
        <v>164</v>
      </c>
      <c r="D424" s="44" t="s">
        <v>143</v>
      </c>
      <c r="E424" s="45">
        <v>44735</v>
      </c>
      <c r="F424" s="44" t="str">
        <f>LEFT(клиенты!$B424,LEN(клиенты!$B424)-13)</f>
        <v>+998</v>
      </c>
      <c r="G424" s="44" t="str">
        <f>_xlfn.XLOOKUP(клиенты!$F424,'коды стран'!$B$2:$B$7,'коды стран'!$A$2:$A$7,"не найдено",0)</f>
        <v>Узбекистан</v>
      </c>
      <c r="H424" s="45">
        <f>_xlfn.MAXIFS(Продажи[дата создания чека],Продажи[id клиента],A424)</f>
        <v>45005</v>
      </c>
      <c r="I424" s="60">
        <f t="shared" si="12"/>
        <v>8.8706365503080082</v>
      </c>
      <c r="J424" s="44" t="str">
        <f>IF(LEN(C424) - LEN(SUBSTITUTE(C424," ",""))&lt;3,C424,RIGHT(C424,LEN(C424)-FIND(" ",клиенты!$C424,1)))</f>
        <v>Светлана Семеновна Николаева</v>
      </c>
      <c r="K424" s="44" t="str">
        <f t="shared" si="13"/>
        <v>Светлана Семеновна Николаева</v>
      </c>
      <c r="L424" s="44" t="str">
        <f>LEFT(клиенты!$K424,FIND(" ",клиенты!$K424,1)-1)</f>
        <v>Светлана</v>
      </c>
      <c r="M424" s="44" t="str">
        <f>MID(K424,FIND(" ",клиенты!$K424,1)+1,(FIND(" ",клиенты!$K424,FIND(" ",клиенты!$K424,1)+1)-1)-FIND(" ",клиенты!$K424,1))</f>
        <v>Семеновна</v>
      </c>
      <c r="N424" s="44" t="str">
        <f>RIGHT(K424,LEN(K424)-FIND(" ",клиенты!$K424,FIND(" ",клиенты!$K424,1)+1))</f>
        <v>Николаева</v>
      </c>
    </row>
    <row r="425" spans="1:14" x14ac:dyDescent="0.25">
      <c r="A425" s="40">
        <v>433</v>
      </c>
      <c r="B425" s="41" t="s">
        <v>163</v>
      </c>
      <c r="C425" s="41" t="s">
        <v>162</v>
      </c>
      <c r="D425" s="41" t="s">
        <v>143</v>
      </c>
      <c r="E425" s="42">
        <v>44832</v>
      </c>
      <c r="F425" s="41" t="str">
        <f>LEFT(клиенты!$B425,LEN(клиенты!$B425)-13)</f>
        <v>+992</v>
      </c>
      <c r="G425" s="41" t="str">
        <f>_xlfn.XLOOKUP(клиенты!$F425,'коды стран'!$B$2:$B$7,'коды стран'!$A$2:$A$7,"не найдено",0)</f>
        <v>Таджикистан</v>
      </c>
      <c r="H425" s="42">
        <f>_xlfn.MAXIFS(Продажи[дата создания чека],Продажи[id клиента],A425)</f>
        <v>45364</v>
      </c>
      <c r="I425" s="59">
        <f t="shared" si="12"/>
        <v>17.478439425051334</v>
      </c>
      <c r="J425" s="41" t="str">
        <f>IF(LEN(C425) - LEN(SUBSTITUTE(C425," ",""))&lt;3,C425,RIGHT(C425,LEN(C425)-FIND(" ",клиенты!$C425,1)))</f>
        <v>Людмила Борисовна Иванова</v>
      </c>
      <c r="K425" s="41" t="str">
        <f t="shared" si="13"/>
        <v>Людмила Борисовна Иванова</v>
      </c>
      <c r="L425" s="41" t="str">
        <f>LEFT(клиенты!$K425,FIND(" ",клиенты!$K425,1)-1)</f>
        <v>Людмила</v>
      </c>
      <c r="M425" s="41" t="str">
        <f>MID(K425,FIND(" ",клиенты!$K425,1)+1,(FIND(" ",клиенты!$K425,FIND(" ",клиенты!$K425,1)+1)-1)-FIND(" ",клиенты!$K425,1))</f>
        <v>Борисовна</v>
      </c>
      <c r="N425" s="41" t="str">
        <f>RIGHT(K425,LEN(K425)-FIND(" ",клиенты!$K425,FIND(" ",клиенты!$K425,1)+1))</f>
        <v>Иванова</v>
      </c>
    </row>
    <row r="426" spans="1:14" x14ac:dyDescent="0.25">
      <c r="A426" s="43">
        <v>212</v>
      </c>
      <c r="B426" s="44" t="s">
        <v>161</v>
      </c>
      <c r="C426" s="44" t="s">
        <v>160</v>
      </c>
      <c r="D426" s="44" t="s">
        <v>140</v>
      </c>
      <c r="E426" s="45">
        <v>44815</v>
      </c>
      <c r="F426" s="44" t="str">
        <f>LEFT(клиенты!$B426,LEN(клиенты!$B426)-13)</f>
        <v>+998</v>
      </c>
      <c r="G426" s="44" t="str">
        <f>_xlfn.XLOOKUP(клиенты!$F426,'коды стран'!$B$2:$B$7,'коды стран'!$A$2:$A$7,"не найдено",0)</f>
        <v>Узбекистан</v>
      </c>
      <c r="H426" s="45">
        <f>_xlfn.MAXIFS(Продажи[дата создания чека],Продажи[id клиента],A426)</f>
        <v>45319</v>
      </c>
      <c r="I426" s="60">
        <f t="shared" si="12"/>
        <v>16.558521560574949</v>
      </c>
      <c r="J426" s="44" t="str">
        <f>IF(LEN(C426) - LEN(SUBSTITUTE(C426," ",""))&lt;3,C426,RIGHT(C426,LEN(C426)-FIND(" ",клиенты!$C426,1)))</f>
        <v>Амос Гордеевич Евсеев</v>
      </c>
      <c r="K426" s="44" t="str">
        <f t="shared" si="13"/>
        <v>Амос Гордеевич Евсеев</v>
      </c>
      <c r="L426" s="44" t="str">
        <f>LEFT(клиенты!$K426,FIND(" ",клиенты!$K426,1)-1)</f>
        <v>Амос</v>
      </c>
      <c r="M426" s="44" t="str">
        <f>MID(K426,FIND(" ",клиенты!$K426,1)+1,(FIND(" ",клиенты!$K426,FIND(" ",клиенты!$K426,1)+1)-1)-FIND(" ",клиенты!$K426,1))</f>
        <v>Гордеевич</v>
      </c>
      <c r="N426" s="44" t="str">
        <f>RIGHT(K426,LEN(K426)-FIND(" ",клиенты!$K426,FIND(" ",клиенты!$K426,1)+1))</f>
        <v>Евсеев</v>
      </c>
    </row>
    <row r="427" spans="1:14" x14ac:dyDescent="0.25">
      <c r="A427" s="40">
        <v>499</v>
      </c>
      <c r="B427" s="41" t="s">
        <v>159</v>
      </c>
      <c r="C427" s="41" t="s">
        <v>158</v>
      </c>
      <c r="D427" s="41" t="s">
        <v>143</v>
      </c>
      <c r="E427" s="42">
        <v>44798</v>
      </c>
      <c r="F427" s="41" t="str">
        <f>LEFT(клиенты!$B427,LEN(клиенты!$B427)-13)</f>
        <v>+375</v>
      </c>
      <c r="G427" s="41" t="str">
        <f>_xlfn.XLOOKUP(клиенты!$F427,'коды стран'!$B$2:$B$7,'коды стран'!$A$2:$A$7,"не найдено",0)</f>
        <v>Беларусь</v>
      </c>
      <c r="H427" s="42">
        <f>_xlfn.MAXIFS(Продажи[дата создания чека],Продажи[id клиента],A427)</f>
        <v>45285</v>
      </c>
      <c r="I427" s="59">
        <f t="shared" si="12"/>
        <v>16</v>
      </c>
      <c r="J427" s="41" t="str">
        <f>IF(LEN(C427) - LEN(SUBSTITUTE(C427," ",""))&lt;3,C427,RIGHT(C427,LEN(C427)-FIND(" ",клиенты!$C427,1)))</f>
        <v>Якуб Филатович Молчанов</v>
      </c>
      <c r="K427" s="41" t="str">
        <f t="shared" si="13"/>
        <v>Якуб Филатович Молчанов</v>
      </c>
      <c r="L427" s="41" t="str">
        <f>LEFT(клиенты!$K427,FIND(" ",клиенты!$K427,1)-1)</f>
        <v>Якуб</v>
      </c>
      <c r="M427" s="41" t="str">
        <f>MID(K427,FIND(" ",клиенты!$K427,1)+1,(FIND(" ",клиенты!$K427,FIND(" ",клиенты!$K427,1)+1)-1)-FIND(" ",клиенты!$K427,1))</f>
        <v>Филатович</v>
      </c>
      <c r="N427" s="41" t="str">
        <f>RIGHT(K427,LEN(K427)-FIND(" ",клиенты!$K427,FIND(" ",клиенты!$K427,1)+1))</f>
        <v>Молчанов</v>
      </c>
    </row>
    <row r="428" spans="1:14" x14ac:dyDescent="0.25">
      <c r="A428" s="43">
        <v>347</v>
      </c>
      <c r="B428" s="44" t="s">
        <v>157</v>
      </c>
      <c r="C428" s="44" t="s">
        <v>156</v>
      </c>
      <c r="D428" s="44" t="s">
        <v>143</v>
      </c>
      <c r="E428" s="45">
        <v>44588</v>
      </c>
      <c r="F428" s="44" t="str">
        <f>LEFT(клиенты!$B428,LEN(клиенты!$B428)-13)</f>
        <v>+992</v>
      </c>
      <c r="G428" s="44" t="str">
        <f>_xlfn.XLOOKUP(клиенты!$F428,'коды стран'!$B$2:$B$7,'коды стран'!$A$2:$A$7,"не найдено",0)</f>
        <v>Таджикистан</v>
      </c>
      <c r="H428" s="45">
        <f>_xlfn.MAXIFS(Продажи[дата создания чека],Продажи[id клиента],A428)</f>
        <v>45312</v>
      </c>
      <c r="I428" s="60">
        <f t="shared" si="12"/>
        <v>23.786447638603697</v>
      </c>
      <c r="J428" s="44" t="str">
        <f>IF(LEN(C428) - LEN(SUBSTITUTE(C428," ",""))&lt;3,C428,RIGHT(C428,LEN(C428)-FIND(" ",клиенты!$C428,1)))</f>
        <v>Афанасьев Кузьма Исидорович</v>
      </c>
      <c r="K428" s="44" t="str">
        <f t="shared" si="13"/>
        <v>Кузьма Исидорович Афанасьев</v>
      </c>
      <c r="L428" s="44" t="str">
        <f>LEFT(клиенты!$K428,FIND(" ",клиенты!$K428,1)-1)</f>
        <v>Кузьма</v>
      </c>
      <c r="M428" s="44" t="str">
        <f>MID(K428,FIND(" ",клиенты!$K428,1)+1,(FIND(" ",клиенты!$K428,FIND(" ",клиенты!$K428,1)+1)-1)-FIND(" ",клиенты!$K428,1))</f>
        <v>Исидорович</v>
      </c>
      <c r="N428" s="44" t="str">
        <f>RIGHT(K428,LEN(K428)-FIND(" ",клиенты!$K428,FIND(" ",клиенты!$K428,1)+1))</f>
        <v>Афанасьев</v>
      </c>
    </row>
    <row r="429" spans="1:14" x14ac:dyDescent="0.25">
      <c r="A429" s="40">
        <v>469</v>
      </c>
      <c r="B429" s="41" t="s">
        <v>155</v>
      </c>
      <c r="C429" s="41" t="s">
        <v>154</v>
      </c>
      <c r="D429" s="41" t="s">
        <v>143</v>
      </c>
      <c r="E429" s="42">
        <v>44659</v>
      </c>
      <c r="F429" s="41" t="str">
        <f>LEFT(клиенты!$B429,LEN(клиенты!$B429)-13)</f>
        <v>+7</v>
      </c>
      <c r="G429" s="41" t="str">
        <f>_xlfn.XLOOKUP(клиенты!$F429,'коды стран'!$B$2:$B$7,'коды стран'!$A$2:$A$7,"не найдено",0)</f>
        <v>Россия</v>
      </c>
      <c r="H429" s="42">
        <f>_xlfn.MAXIFS(Продажи[дата создания чека],Продажи[id клиента],A429)</f>
        <v>45008</v>
      </c>
      <c r="I429" s="59">
        <f t="shared" si="12"/>
        <v>11.466119096509241</v>
      </c>
      <c r="J429" s="41" t="str">
        <f>IF(LEN(C429) - LEN(SUBSTITUTE(C429," ",""))&lt;3,C429,RIGHT(C429,LEN(C429)-FIND(" ",клиенты!$C429,1)))</f>
        <v>Лариса Романовна Крюкова</v>
      </c>
      <c r="K429" s="41" t="str">
        <f t="shared" si="13"/>
        <v>Лариса Романовна Крюкова</v>
      </c>
      <c r="L429" s="41" t="str">
        <f>LEFT(клиенты!$K429,FIND(" ",клиенты!$K429,1)-1)</f>
        <v>Лариса</v>
      </c>
      <c r="M429" s="41" t="str">
        <f>MID(K429,FIND(" ",клиенты!$K429,1)+1,(FIND(" ",клиенты!$K429,FIND(" ",клиенты!$K429,1)+1)-1)-FIND(" ",клиенты!$K429,1))</f>
        <v>Романовна</v>
      </c>
      <c r="N429" s="41" t="str">
        <f>RIGHT(K429,LEN(K429)-FIND(" ",клиенты!$K429,FIND(" ",клиенты!$K429,1)+1))</f>
        <v>Крюкова</v>
      </c>
    </row>
    <row r="430" spans="1:14" x14ac:dyDescent="0.25">
      <c r="A430" s="43">
        <v>93</v>
      </c>
      <c r="B430" s="44" t="s">
        <v>153</v>
      </c>
      <c r="C430" s="44" t="s">
        <v>152</v>
      </c>
      <c r="D430" s="44" t="s">
        <v>140</v>
      </c>
      <c r="E430" s="45">
        <v>44905</v>
      </c>
      <c r="F430" s="44" t="str">
        <f>LEFT(клиенты!$B430,LEN(клиенты!$B430)-13)</f>
        <v>+380</v>
      </c>
      <c r="G430" s="44" t="str">
        <f>_xlfn.XLOOKUP(клиенты!$F430,'коды стран'!$B$2:$B$7,'коды стран'!$A$2:$A$7,"не найдено",0)</f>
        <v>Украина</v>
      </c>
      <c r="H430" s="45">
        <f>_xlfn.MAXIFS(Продажи[дата создания чека],Продажи[id клиента],A430)</f>
        <v>45335</v>
      </c>
      <c r="I430" s="60">
        <f t="shared" si="12"/>
        <v>14.127310061601642</v>
      </c>
      <c r="J430" s="44" t="str">
        <f>IF(LEN(C430) - LEN(SUBSTITUTE(C430," ",""))&lt;3,C430,RIGHT(C430,LEN(C430)-FIND(" ",клиенты!$C430,1)))</f>
        <v>Авдеев Олимпий Жанович</v>
      </c>
      <c r="K430" s="44" t="str">
        <f t="shared" si="13"/>
        <v>Олимпий Жанович Авдеев</v>
      </c>
      <c r="L430" s="44" t="str">
        <f>LEFT(клиенты!$K430,FIND(" ",клиенты!$K430,1)-1)</f>
        <v>Олимпий</v>
      </c>
      <c r="M430" s="44" t="str">
        <f>MID(K430,FIND(" ",клиенты!$K430,1)+1,(FIND(" ",клиенты!$K430,FIND(" ",клиенты!$K430,1)+1)-1)-FIND(" ",клиенты!$K430,1))</f>
        <v>Жанович</v>
      </c>
      <c r="N430" s="44" t="str">
        <f>RIGHT(K430,LEN(K430)-FIND(" ",клиенты!$K430,FIND(" ",клиенты!$K430,1)+1))</f>
        <v>Авдеев</v>
      </c>
    </row>
    <row r="431" spans="1:14" x14ac:dyDescent="0.25">
      <c r="A431" s="40">
        <v>200</v>
      </c>
      <c r="B431" s="41" t="s">
        <v>151</v>
      </c>
      <c r="C431" s="41" t="s">
        <v>150</v>
      </c>
      <c r="D431" s="41" t="s">
        <v>143</v>
      </c>
      <c r="E431" s="42">
        <v>44783</v>
      </c>
      <c r="F431" s="41" t="str">
        <f>LEFT(клиенты!$B431,LEN(клиенты!$B431)-13)</f>
        <v>+998</v>
      </c>
      <c r="G431" s="41" t="str">
        <f>_xlfn.XLOOKUP(клиенты!$F431,'коды стран'!$B$2:$B$7,'коды стран'!$A$2:$A$7,"не найдено",0)</f>
        <v>Узбекистан</v>
      </c>
      <c r="H431" s="42">
        <f>_xlfn.MAXIFS(Продажи[дата создания чека],Продажи[id клиента],A431)</f>
        <v>45032</v>
      </c>
      <c r="I431" s="59">
        <f t="shared" si="12"/>
        <v>8.1806981519507183</v>
      </c>
      <c r="J431" s="41" t="str">
        <f>IF(LEN(C431) - LEN(SUBSTITUTE(C431," ",""))&lt;3,C431,RIGHT(C431,LEN(C431)-FIND(" ",клиенты!$C431,1)))</f>
        <v>Воробьева Анжела Аскольдовна</v>
      </c>
      <c r="K431" s="41" t="str">
        <f t="shared" si="13"/>
        <v>Анжела Аскольдовна Воробьева</v>
      </c>
      <c r="L431" s="41" t="str">
        <f>LEFT(клиенты!$K431,FIND(" ",клиенты!$K431,1)-1)</f>
        <v>Анжела</v>
      </c>
      <c r="M431" s="41" t="str">
        <f>MID(K431,FIND(" ",клиенты!$K431,1)+1,(FIND(" ",клиенты!$K431,FIND(" ",клиенты!$K431,1)+1)-1)-FIND(" ",клиенты!$K431,1))</f>
        <v>Аскольдовна</v>
      </c>
      <c r="N431" s="41" t="str">
        <f>RIGHT(K431,LEN(K431)-FIND(" ",клиенты!$K431,FIND(" ",клиенты!$K431,1)+1))</f>
        <v>Воробьева</v>
      </c>
    </row>
    <row r="432" spans="1:14" x14ac:dyDescent="0.25">
      <c r="A432" s="43">
        <v>95</v>
      </c>
      <c r="B432" s="44" t="s">
        <v>149</v>
      </c>
      <c r="C432" s="44" t="s">
        <v>148</v>
      </c>
      <c r="D432" s="44" t="s">
        <v>140</v>
      </c>
      <c r="E432" s="45">
        <v>44704</v>
      </c>
      <c r="F432" s="44" t="str">
        <f>LEFT(клиенты!$B432,LEN(клиенты!$B432)-13)</f>
        <v>+998</v>
      </c>
      <c r="G432" s="44" t="str">
        <f>_xlfn.XLOOKUP(клиенты!$F432,'коды стран'!$B$2:$B$7,'коды стран'!$A$2:$A$7,"не найдено",0)</f>
        <v>Узбекистан</v>
      </c>
      <c r="H432" s="45">
        <f>_xlfn.MAXIFS(Продажи[дата создания чека],Продажи[id клиента],A432)</f>
        <v>45289</v>
      </c>
      <c r="I432" s="60">
        <f t="shared" si="12"/>
        <v>19.219712525667351</v>
      </c>
      <c r="J432" s="44" t="str">
        <f>IF(LEN(C432) - LEN(SUBSTITUTE(C432," ",""))&lt;3,C432,RIGHT(C432,LEN(C432)-FIND(" ",клиенты!$C432,1)))</f>
        <v>Белоусова Жанна Кузьминична</v>
      </c>
      <c r="K432" s="44" t="str">
        <f t="shared" si="13"/>
        <v>Жанна Кузьминична Белоусова</v>
      </c>
      <c r="L432" s="44" t="str">
        <f>LEFT(клиенты!$K432,FIND(" ",клиенты!$K432,1)-1)</f>
        <v>Жанна</v>
      </c>
      <c r="M432" s="44" t="str">
        <f>MID(K432,FIND(" ",клиенты!$K432,1)+1,(FIND(" ",клиенты!$K432,FIND(" ",клиенты!$K432,1)+1)-1)-FIND(" ",клиенты!$K432,1))</f>
        <v>Кузьминична</v>
      </c>
      <c r="N432" s="44" t="str">
        <f>RIGHT(K432,LEN(K432)-FIND(" ",клиенты!$K432,FIND(" ",клиенты!$K432,1)+1))</f>
        <v>Белоусова</v>
      </c>
    </row>
    <row r="433" spans="1:14" x14ac:dyDescent="0.25">
      <c r="A433" s="40">
        <v>20</v>
      </c>
      <c r="B433" s="41" t="s">
        <v>147</v>
      </c>
      <c r="C433" s="41" t="s">
        <v>146</v>
      </c>
      <c r="D433" s="41" t="s">
        <v>140</v>
      </c>
      <c r="E433" s="42">
        <v>44691</v>
      </c>
      <c r="F433" s="41" t="str">
        <f>LEFT(клиенты!$B433,LEN(клиенты!$B433)-13)</f>
        <v>+998</v>
      </c>
      <c r="G433" s="41" t="str">
        <f>_xlfn.XLOOKUP(клиенты!$F433,'коды стран'!$B$2:$B$7,'коды стран'!$A$2:$A$7,"не найдено",0)</f>
        <v>Узбекистан</v>
      </c>
      <c r="H433" s="42">
        <f>_xlfn.MAXIFS(Продажи[дата создания чека],Продажи[id клиента],A433)</f>
        <v>45037</v>
      </c>
      <c r="I433" s="59">
        <f t="shared" si="12"/>
        <v>11.367556468172484</v>
      </c>
      <c r="J433" s="41" t="str">
        <f>IF(LEN(C433) - LEN(SUBSTITUTE(C433," ",""))&lt;3,C433,RIGHT(C433,LEN(C433)-FIND(" ",клиенты!$C433,1)))</f>
        <v>Амвросий Игнатович Юдин</v>
      </c>
      <c r="K433" s="41" t="str">
        <f t="shared" si="13"/>
        <v>Амвросий Игнатович Юдин</v>
      </c>
      <c r="L433" s="41" t="str">
        <f>LEFT(клиенты!$K433,FIND(" ",клиенты!$K433,1)-1)</f>
        <v>Амвросий</v>
      </c>
      <c r="M433" s="41" t="str">
        <f>MID(K433,FIND(" ",клиенты!$K433,1)+1,(FIND(" ",клиенты!$K433,FIND(" ",клиенты!$K433,1)+1)-1)-FIND(" ",клиенты!$K433,1))</f>
        <v>Игнатович</v>
      </c>
      <c r="N433" s="41" t="str">
        <f>RIGHT(K433,LEN(K433)-FIND(" ",клиенты!$K433,FIND(" ",клиенты!$K433,1)+1))</f>
        <v>Юдин</v>
      </c>
    </row>
    <row r="434" spans="1:14" x14ac:dyDescent="0.25">
      <c r="A434" s="43">
        <v>94</v>
      </c>
      <c r="B434" s="44" t="s">
        <v>145</v>
      </c>
      <c r="C434" s="44" t="s">
        <v>144</v>
      </c>
      <c r="D434" s="44" t="s">
        <v>143</v>
      </c>
      <c r="E434" s="45">
        <v>44723</v>
      </c>
      <c r="F434" s="44" t="str">
        <f>LEFT(клиенты!$B434,LEN(клиенты!$B434)-13)</f>
        <v>+380</v>
      </c>
      <c r="G434" s="44" t="str">
        <f>_xlfn.XLOOKUP(клиенты!$F434,'коды стран'!$B$2:$B$7,'коды стран'!$A$2:$A$7,"не найдено",0)</f>
        <v>Украина</v>
      </c>
      <c r="H434" s="45">
        <f>_xlfn.MAXIFS(Продажи[дата создания чека],Продажи[id клиента],A434)</f>
        <v>45382</v>
      </c>
      <c r="I434" s="60">
        <f t="shared" si="12"/>
        <v>21.650924024640656</v>
      </c>
      <c r="J434" s="44" t="str">
        <f>IF(LEN(C434) - LEN(SUBSTITUTE(C434," ",""))&lt;3,C434,RIGHT(C434,LEN(C434)-FIND(" ",клиенты!$C434,1)))</f>
        <v>Евдокия Эдуардовна Соловьева</v>
      </c>
      <c r="K434" s="44" t="str">
        <f t="shared" si="13"/>
        <v>Евдокия Эдуардовна Соловьева</v>
      </c>
      <c r="L434" s="44" t="str">
        <f>LEFT(клиенты!$K434,FIND(" ",клиенты!$K434,1)-1)</f>
        <v>Евдокия</v>
      </c>
      <c r="M434" s="44" t="str">
        <f>MID(K434,FIND(" ",клиенты!$K434,1)+1,(FIND(" ",клиенты!$K434,FIND(" ",клиенты!$K434,1)+1)-1)-FIND(" ",клиенты!$K434,1))</f>
        <v>Эдуардовна</v>
      </c>
      <c r="N434" s="44" t="str">
        <f>RIGHT(K434,LEN(K434)-FIND(" ",клиенты!$K434,FIND(" ",клиенты!$K434,1)+1))</f>
        <v>Соловьева</v>
      </c>
    </row>
    <row r="435" spans="1:14" x14ac:dyDescent="0.25">
      <c r="A435" s="40">
        <v>427</v>
      </c>
      <c r="B435" s="41" t="s">
        <v>142</v>
      </c>
      <c r="C435" s="41" t="s">
        <v>141</v>
      </c>
      <c r="D435" s="41" t="s">
        <v>140</v>
      </c>
      <c r="E435" s="42">
        <v>44834</v>
      </c>
      <c r="F435" s="41" t="str">
        <f>LEFT(клиенты!$B435,LEN(клиенты!$B435)-13)</f>
        <v>+7</v>
      </c>
      <c r="G435" s="41" t="str">
        <f>_xlfn.XLOOKUP(клиенты!$F435,'коды стран'!$B$2:$B$7,'коды стран'!$A$2:$A$7,"не найдено",0)</f>
        <v>Россия</v>
      </c>
      <c r="H435" s="42">
        <f>_xlfn.MAXIFS(Продажи[дата создания чека],Продажи[id клиента],A435)</f>
        <v>45377</v>
      </c>
      <c r="I435" s="59">
        <f t="shared" si="12"/>
        <v>17.839835728952771</v>
      </c>
      <c r="J435" s="41" t="str">
        <f>IF(LEN(C435) - LEN(SUBSTITUTE(C435," ",""))&lt;3,C435,RIGHT(C435,LEN(C435)-FIND(" ",клиенты!$C435,1)))</f>
        <v>Лидия Андреевна Крюкова</v>
      </c>
      <c r="K435" s="41" t="str">
        <f t="shared" si="13"/>
        <v>Лидия Андреевна Крюкова</v>
      </c>
      <c r="L435" s="41" t="str">
        <f>LEFT(клиенты!$K435,FIND(" ",клиенты!$K435,1)-1)</f>
        <v>Лидия</v>
      </c>
      <c r="M435" s="41" t="str">
        <f>MID(K435,FIND(" ",клиенты!$K435,1)+1,(FIND(" ",клиенты!$K435,FIND(" ",клиенты!$K435,1)+1)-1)-FIND(" ",клиенты!$K435,1))</f>
        <v>Андреевна</v>
      </c>
      <c r="N435" s="41" t="str">
        <f>RIGHT(K435,LEN(K435)-FIND(" ",клиенты!$K435,FIND(" ",клиенты!$K435,1)+1))</f>
        <v>Крюкова</v>
      </c>
    </row>
  </sheetData>
  <autoFilter ref="A1:W435" xr:uid="{00000000-0001-0000-0D00-000000000000}"/>
  <mergeCells count="2">
    <mergeCell ref="X23:AG23"/>
    <mergeCell ref="Q26:AA29"/>
  </mergeCells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33"/>
  <sheetViews>
    <sheetView workbookViewId="0">
      <selection activeCell="F11" sqref="F11"/>
    </sheetView>
  </sheetViews>
  <sheetFormatPr defaultColWidth="8.85546875" defaultRowHeight="15" x14ac:dyDescent="0.25"/>
  <cols>
    <col min="1" max="1" width="11.42578125" customWidth="1"/>
    <col min="2" max="2" width="18.85546875" customWidth="1"/>
    <col min="3" max="3" width="18.140625" bestFit="1" customWidth="1"/>
  </cols>
  <sheetData>
    <row r="1" spans="1:3" ht="34.5" customHeight="1" x14ac:dyDescent="0.25">
      <c r="A1" s="15" t="s">
        <v>1</v>
      </c>
      <c r="B1" s="15" t="s">
        <v>126</v>
      </c>
      <c r="C1" s="15" t="s">
        <v>125</v>
      </c>
    </row>
    <row r="2" spans="1:3" x14ac:dyDescent="0.25">
      <c r="A2">
        <v>300</v>
      </c>
      <c r="B2" t="s">
        <v>29</v>
      </c>
      <c r="C2" t="s">
        <v>61</v>
      </c>
    </row>
    <row r="3" spans="1:3" x14ac:dyDescent="0.25">
      <c r="A3">
        <v>486</v>
      </c>
      <c r="B3" t="s">
        <v>76</v>
      </c>
      <c r="C3" t="s">
        <v>75</v>
      </c>
    </row>
    <row r="4" spans="1:3" x14ac:dyDescent="0.25">
      <c r="A4">
        <v>76</v>
      </c>
      <c r="B4" t="s">
        <v>69</v>
      </c>
      <c r="C4" t="s">
        <v>124</v>
      </c>
    </row>
    <row r="5" spans="1:3" x14ac:dyDescent="0.25">
      <c r="A5">
        <v>240</v>
      </c>
      <c r="B5" t="s">
        <v>40</v>
      </c>
      <c r="C5" t="s">
        <v>91</v>
      </c>
    </row>
    <row r="6" spans="1:3" x14ac:dyDescent="0.25">
      <c r="A6">
        <v>32</v>
      </c>
      <c r="B6" t="s">
        <v>31</v>
      </c>
      <c r="C6" t="s">
        <v>95</v>
      </c>
    </row>
    <row r="7" spans="1:3" x14ac:dyDescent="0.25">
      <c r="A7">
        <v>162</v>
      </c>
      <c r="B7" t="s">
        <v>33</v>
      </c>
      <c r="C7" t="s">
        <v>32</v>
      </c>
    </row>
    <row r="8" spans="1:3" x14ac:dyDescent="0.25">
      <c r="A8">
        <v>323</v>
      </c>
      <c r="B8" t="s">
        <v>55</v>
      </c>
      <c r="C8" t="s">
        <v>54</v>
      </c>
    </row>
    <row r="9" spans="1:3" x14ac:dyDescent="0.25">
      <c r="A9">
        <v>60</v>
      </c>
      <c r="B9" t="s">
        <v>53</v>
      </c>
      <c r="C9" t="s">
        <v>82</v>
      </c>
    </row>
    <row r="10" spans="1:3" x14ac:dyDescent="0.25">
      <c r="A10">
        <v>401</v>
      </c>
      <c r="B10" t="s">
        <v>60</v>
      </c>
      <c r="C10" t="s">
        <v>107</v>
      </c>
    </row>
    <row r="11" spans="1:3" x14ac:dyDescent="0.25">
      <c r="A11">
        <v>100</v>
      </c>
      <c r="B11" t="s">
        <v>46</v>
      </c>
      <c r="C11" t="s">
        <v>73</v>
      </c>
    </row>
    <row r="12" spans="1:3" x14ac:dyDescent="0.25">
      <c r="A12">
        <v>217</v>
      </c>
      <c r="B12" t="s">
        <v>108</v>
      </c>
      <c r="C12" t="s">
        <v>110</v>
      </c>
    </row>
    <row r="13" spans="1:3" x14ac:dyDescent="0.25">
      <c r="A13">
        <v>445</v>
      </c>
      <c r="B13" t="s">
        <v>29</v>
      </c>
      <c r="C13" t="s">
        <v>28</v>
      </c>
    </row>
    <row r="14" spans="1:3" x14ac:dyDescent="0.25">
      <c r="A14">
        <v>284</v>
      </c>
      <c r="B14" t="s">
        <v>108</v>
      </c>
      <c r="C14" t="s">
        <v>115</v>
      </c>
    </row>
    <row r="15" spans="1:3" x14ac:dyDescent="0.25">
      <c r="A15">
        <v>116</v>
      </c>
      <c r="B15" t="s">
        <v>76</v>
      </c>
      <c r="C15" t="s">
        <v>96</v>
      </c>
    </row>
    <row r="16" spans="1:3" x14ac:dyDescent="0.25">
      <c r="A16">
        <v>378</v>
      </c>
      <c r="B16" t="s">
        <v>33</v>
      </c>
      <c r="C16" t="s">
        <v>32</v>
      </c>
    </row>
    <row r="17" spans="1:3" x14ac:dyDescent="0.25">
      <c r="A17">
        <v>299</v>
      </c>
      <c r="B17" t="s">
        <v>60</v>
      </c>
      <c r="C17" t="s">
        <v>70</v>
      </c>
    </row>
    <row r="18" spans="1:3" x14ac:dyDescent="0.25">
      <c r="A18">
        <v>359</v>
      </c>
      <c r="B18" t="s">
        <v>108</v>
      </c>
      <c r="C18" t="s">
        <v>14</v>
      </c>
    </row>
    <row r="19" spans="1:3" x14ac:dyDescent="0.25">
      <c r="A19">
        <v>337</v>
      </c>
      <c r="B19" t="s">
        <v>40</v>
      </c>
      <c r="C19" t="s">
        <v>39</v>
      </c>
    </row>
    <row r="20" spans="1:3" x14ac:dyDescent="0.25">
      <c r="A20">
        <v>226</v>
      </c>
      <c r="B20" t="s">
        <v>50</v>
      </c>
      <c r="C20" t="s">
        <v>92</v>
      </c>
    </row>
    <row r="21" spans="1:3" x14ac:dyDescent="0.25">
      <c r="A21">
        <v>310</v>
      </c>
      <c r="B21" t="s">
        <v>40</v>
      </c>
      <c r="C21" t="s">
        <v>39</v>
      </c>
    </row>
    <row r="22" spans="1:3" x14ac:dyDescent="0.25">
      <c r="A22">
        <v>137</v>
      </c>
      <c r="B22" t="s">
        <v>35</v>
      </c>
      <c r="C22" t="s">
        <v>74</v>
      </c>
    </row>
    <row r="23" spans="1:3" x14ac:dyDescent="0.25">
      <c r="A23">
        <v>385</v>
      </c>
      <c r="B23" t="s">
        <v>40</v>
      </c>
      <c r="C23" t="s">
        <v>101</v>
      </c>
    </row>
    <row r="24" spans="1:3" x14ac:dyDescent="0.25">
      <c r="A24">
        <v>451</v>
      </c>
      <c r="B24" t="s">
        <v>90</v>
      </c>
      <c r="C24" t="s">
        <v>114</v>
      </c>
    </row>
    <row r="25" spans="1:3" x14ac:dyDescent="0.25">
      <c r="A25">
        <v>7</v>
      </c>
      <c r="B25" t="s">
        <v>50</v>
      </c>
      <c r="C25" t="s">
        <v>104</v>
      </c>
    </row>
    <row r="26" spans="1:3" x14ac:dyDescent="0.25">
      <c r="A26">
        <v>495</v>
      </c>
      <c r="B26" t="s">
        <v>60</v>
      </c>
      <c r="C26" t="s">
        <v>107</v>
      </c>
    </row>
    <row r="27" spans="1:3" x14ac:dyDescent="0.25">
      <c r="A27">
        <v>415</v>
      </c>
      <c r="B27" t="s">
        <v>72</v>
      </c>
      <c r="C27" t="s">
        <v>102</v>
      </c>
    </row>
    <row r="28" spans="1:3" x14ac:dyDescent="0.25">
      <c r="A28">
        <v>176</v>
      </c>
      <c r="B28" t="s">
        <v>29</v>
      </c>
      <c r="C28" t="s">
        <v>61</v>
      </c>
    </row>
    <row r="29" spans="1:3" x14ac:dyDescent="0.25">
      <c r="A29">
        <v>181</v>
      </c>
      <c r="B29" t="s">
        <v>44</v>
      </c>
      <c r="C29" t="s">
        <v>99</v>
      </c>
    </row>
    <row r="30" spans="1:3" x14ac:dyDescent="0.25">
      <c r="A30">
        <v>399</v>
      </c>
      <c r="B30" t="s">
        <v>37</v>
      </c>
      <c r="C30" t="s">
        <v>87</v>
      </c>
    </row>
    <row r="31" spans="1:3" x14ac:dyDescent="0.25">
      <c r="A31">
        <v>382</v>
      </c>
      <c r="B31" t="s">
        <v>31</v>
      </c>
      <c r="C31" t="s">
        <v>62</v>
      </c>
    </row>
    <row r="32" spans="1:3" x14ac:dyDescent="0.25">
      <c r="A32">
        <v>103</v>
      </c>
      <c r="B32" t="s">
        <v>55</v>
      </c>
      <c r="C32" t="s">
        <v>118</v>
      </c>
    </row>
    <row r="33" spans="1:3" x14ac:dyDescent="0.25">
      <c r="A33">
        <v>104</v>
      </c>
      <c r="B33" t="s">
        <v>46</v>
      </c>
      <c r="C33" t="s">
        <v>73</v>
      </c>
    </row>
    <row r="34" spans="1:3" x14ac:dyDescent="0.25">
      <c r="A34">
        <v>213</v>
      </c>
      <c r="B34" t="s">
        <v>29</v>
      </c>
      <c r="C34" t="s">
        <v>61</v>
      </c>
    </row>
    <row r="35" spans="1:3" x14ac:dyDescent="0.25">
      <c r="A35">
        <v>157</v>
      </c>
      <c r="B35" t="s">
        <v>50</v>
      </c>
      <c r="C35" t="s">
        <v>104</v>
      </c>
    </row>
    <row r="36" spans="1:3" x14ac:dyDescent="0.25">
      <c r="A36">
        <v>237</v>
      </c>
      <c r="B36" t="s">
        <v>48</v>
      </c>
      <c r="C36" t="s">
        <v>80</v>
      </c>
    </row>
    <row r="37" spans="1:3" x14ac:dyDescent="0.25">
      <c r="A37">
        <v>8</v>
      </c>
      <c r="B37" t="s">
        <v>40</v>
      </c>
      <c r="C37" t="s">
        <v>39</v>
      </c>
    </row>
    <row r="38" spans="1:3" x14ac:dyDescent="0.25">
      <c r="A38">
        <v>65</v>
      </c>
      <c r="B38" t="s">
        <v>37</v>
      </c>
      <c r="C38" t="s">
        <v>87</v>
      </c>
    </row>
    <row r="39" spans="1:3" x14ac:dyDescent="0.25">
      <c r="A39">
        <v>45</v>
      </c>
      <c r="B39" t="s">
        <v>33</v>
      </c>
      <c r="C39" t="s">
        <v>51</v>
      </c>
    </row>
    <row r="40" spans="1:3" x14ac:dyDescent="0.25">
      <c r="A40">
        <v>36</v>
      </c>
      <c r="B40" t="s">
        <v>40</v>
      </c>
      <c r="C40" t="s">
        <v>116</v>
      </c>
    </row>
    <row r="41" spans="1:3" x14ac:dyDescent="0.25">
      <c r="A41">
        <v>443</v>
      </c>
      <c r="B41" t="s">
        <v>53</v>
      </c>
      <c r="C41" t="s">
        <v>82</v>
      </c>
    </row>
    <row r="42" spans="1:3" x14ac:dyDescent="0.25">
      <c r="A42">
        <v>384</v>
      </c>
      <c r="B42" t="s">
        <v>29</v>
      </c>
      <c r="C42" t="s">
        <v>28</v>
      </c>
    </row>
    <row r="43" spans="1:3" x14ac:dyDescent="0.25">
      <c r="A43">
        <v>41</v>
      </c>
      <c r="B43" t="s">
        <v>90</v>
      </c>
      <c r="C43" t="s">
        <v>120</v>
      </c>
    </row>
    <row r="44" spans="1:3" x14ac:dyDescent="0.25">
      <c r="A44">
        <v>484</v>
      </c>
      <c r="B44" t="s">
        <v>69</v>
      </c>
      <c r="C44" t="s">
        <v>100</v>
      </c>
    </row>
    <row r="45" spans="1:3" x14ac:dyDescent="0.25">
      <c r="A45">
        <v>390</v>
      </c>
      <c r="B45" t="s">
        <v>33</v>
      </c>
      <c r="C45" t="s">
        <v>121</v>
      </c>
    </row>
    <row r="46" spans="1:3" x14ac:dyDescent="0.25">
      <c r="A46">
        <v>57</v>
      </c>
      <c r="B46" t="s">
        <v>69</v>
      </c>
      <c r="C46" t="s">
        <v>124</v>
      </c>
    </row>
    <row r="47" spans="1:3" x14ac:dyDescent="0.25">
      <c r="A47">
        <v>285</v>
      </c>
      <c r="B47" t="s">
        <v>40</v>
      </c>
      <c r="C47" t="s">
        <v>39</v>
      </c>
    </row>
    <row r="48" spans="1:3" x14ac:dyDescent="0.25">
      <c r="A48">
        <v>444</v>
      </c>
      <c r="B48" t="s">
        <v>46</v>
      </c>
      <c r="C48" t="s">
        <v>66</v>
      </c>
    </row>
    <row r="49" spans="1:3" x14ac:dyDescent="0.25">
      <c r="A49">
        <v>35</v>
      </c>
      <c r="B49" t="s">
        <v>42</v>
      </c>
      <c r="C49" t="s">
        <v>63</v>
      </c>
    </row>
    <row r="50" spans="1:3" x14ac:dyDescent="0.25">
      <c r="A50">
        <v>296</v>
      </c>
      <c r="B50" t="s">
        <v>42</v>
      </c>
      <c r="C50" t="s">
        <v>63</v>
      </c>
    </row>
    <row r="51" spans="1:3" x14ac:dyDescent="0.25">
      <c r="A51">
        <v>227</v>
      </c>
      <c r="B51" t="s">
        <v>40</v>
      </c>
      <c r="C51" t="s">
        <v>101</v>
      </c>
    </row>
    <row r="52" spans="1:3" x14ac:dyDescent="0.25">
      <c r="A52">
        <v>167</v>
      </c>
      <c r="B52" t="s">
        <v>108</v>
      </c>
      <c r="C52" t="s">
        <v>115</v>
      </c>
    </row>
    <row r="53" spans="1:3" x14ac:dyDescent="0.25">
      <c r="A53">
        <v>146</v>
      </c>
      <c r="B53" t="s">
        <v>33</v>
      </c>
      <c r="C53" t="s">
        <v>51</v>
      </c>
    </row>
    <row r="54" spans="1:3" x14ac:dyDescent="0.25">
      <c r="A54">
        <v>338</v>
      </c>
      <c r="B54" t="s">
        <v>50</v>
      </c>
      <c r="C54" t="s">
        <v>104</v>
      </c>
    </row>
    <row r="55" spans="1:3" x14ac:dyDescent="0.25">
      <c r="A55">
        <v>155</v>
      </c>
      <c r="B55" t="s">
        <v>46</v>
      </c>
      <c r="C55" t="s">
        <v>66</v>
      </c>
    </row>
    <row r="56" spans="1:3" x14ac:dyDescent="0.25">
      <c r="A56">
        <v>239</v>
      </c>
      <c r="B56" t="s">
        <v>46</v>
      </c>
      <c r="C56" t="s">
        <v>66</v>
      </c>
    </row>
    <row r="57" spans="1:3" x14ac:dyDescent="0.25">
      <c r="A57">
        <v>158</v>
      </c>
      <c r="B57" t="s">
        <v>29</v>
      </c>
      <c r="C57" t="s">
        <v>28</v>
      </c>
    </row>
    <row r="58" spans="1:3" x14ac:dyDescent="0.25">
      <c r="A58">
        <v>147</v>
      </c>
      <c r="B58" t="s">
        <v>48</v>
      </c>
      <c r="C58" t="s">
        <v>64</v>
      </c>
    </row>
    <row r="59" spans="1:3" x14ac:dyDescent="0.25">
      <c r="A59">
        <v>311</v>
      </c>
      <c r="B59" t="s">
        <v>40</v>
      </c>
      <c r="C59" t="s">
        <v>39</v>
      </c>
    </row>
    <row r="60" spans="1:3" x14ac:dyDescent="0.25">
      <c r="A60">
        <v>465</v>
      </c>
      <c r="B60" t="s">
        <v>46</v>
      </c>
      <c r="C60" t="s">
        <v>73</v>
      </c>
    </row>
    <row r="61" spans="1:3" x14ac:dyDescent="0.25">
      <c r="A61">
        <v>449</v>
      </c>
      <c r="B61" t="s">
        <v>108</v>
      </c>
      <c r="C61" t="s">
        <v>110</v>
      </c>
    </row>
    <row r="62" spans="1:3" x14ac:dyDescent="0.25">
      <c r="A62">
        <v>144</v>
      </c>
      <c r="B62" t="s">
        <v>40</v>
      </c>
      <c r="C62" t="s">
        <v>116</v>
      </c>
    </row>
    <row r="63" spans="1:3" x14ac:dyDescent="0.25">
      <c r="A63">
        <v>375</v>
      </c>
      <c r="B63" t="s">
        <v>40</v>
      </c>
      <c r="C63" t="s">
        <v>91</v>
      </c>
    </row>
    <row r="64" spans="1:3" x14ac:dyDescent="0.25">
      <c r="A64">
        <v>408</v>
      </c>
      <c r="B64" t="s">
        <v>46</v>
      </c>
      <c r="C64" t="s">
        <v>66</v>
      </c>
    </row>
    <row r="65" spans="1:3" x14ac:dyDescent="0.25">
      <c r="A65">
        <v>425</v>
      </c>
      <c r="B65" t="s">
        <v>76</v>
      </c>
      <c r="C65" t="s">
        <v>96</v>
      </c>
    </row>
    <row r="66" spans="1:3" x14ac:dyDescent="0.25">
      <c r="A66">
        <v>277</v>
      </c>
      <c r="B66" t="s">
        <v>60</v>
      </c>
      <c r="C66" t="s">
        <v>107</v>
      </c>
    </row>
    <row r="67" spans="1:3" x14ac:dyDescent="0.25">
      <c r="A67">
        <v>130</v>
      </c>
      <c r="B67" t="s">
        <v>76</v>
      </c>
      <c r="C67" t="s">
        <v>75</v>
      </c>
    </row>
    <row r="68" spans="1:3" x14ac:dyDescent="0.25">
      <c r="A68">
        <v>30</v>
      </c>
      <c r="B68" t="s">
        <v>72</v>
      </c>
      <c r="C68" t="s">
        <v>102</v>
      </c>
    </row>
    <row r="69" spans="1:3" x14ac:dyDescent="0.25">
      <c r="A69">
        <v>75</v>
      </c>
      <c r="B69" t="s">
        <v>69</v>
      </c>
      <c r="C69" t="s">
        <v>68</v>
      </c>
    </row>
    <row r="70" spans="1:3" x14ac:dyDescent="0.25">
      <c r="A70">
        <v>118</v>
      </c>
      <c r="B70" t="s">
        <v>29</v>
      </c>
      <c r="C70" t="s">
        <v>61</v>
      </c>
    </row>
    <row r="71" spans="1:3" x14ac:dyDescent="0.25">
      <c r="A71">
        <v>19</v>
      </c>
      <c r="B71" t="s">
        <v>108</v>
      </c>
      <c r="C71" t="s">
        <v>109</v>
      </c>
    </row>
    <row r="72" spans="1:3" x14ac:dyDescent="0.25">
      <c r="A72">
        <v>204</v>
      </c>
      <c r="B72" t="s">
        <v>69</v>
      </c>
      <c r="C72" t="s">
        <v>124</v>
      </c>
    </row>
    <row r="73" spans="1:3" x14ac:dyDescent="0.25">
      <c r="A73">
        <v>304</v>
      </c>
      <c r="B73" t="s">
        <v>48</v>
      </c>
      <c r="C73" t="s">
        <v>80</v>
      </c>
    </row>
    <row r="74" spans="1:3" x14ac:dyDescent="0.25">
      <c r="A74">
        <v>189</v>
      </c>
      <c r="B74" t="s">
        <v>37</v>
      </c>
      <c r="C74" t="s">
        <v>36</v>
      </c>
    </row>
    <row r="75" spans="1:3" x14ac:dyDescent="0.25">
      <c r="A75">
        <v>392</v>
      </c>
      <c r="B75" t="s">
        <v>53</v>
      </c>
      <c r="C75" t="s">
        <v>84</v>
      </c>
    </row>
    <row r="76" spans="1:3" x14ac:dyDescent="0.25">
      <c r="A76">
        <v>10</v>
      </c>
      <c r="B76" t="s">
        <v>33</v>
      </c>
      <c r="C76" t="s">
        <v>32</v>
      </c>
    </row>
    <row r="77" spans="1:3" x14ac:dyDescent="0.25">
      <c r="A77">
        <v>64</v>
      </c>
      <c r="B77" t="s">
        <v>57</v>
      </c>
      <c r="C77" t="s">
        <v>81</v>
      </c>
    </row>
    <row r="78" spans="1:3" x14ac:dyDescent="0.25">
      <c r="A78">
        <v>334</v>
      </c>
      <c r="B78" t="s">
        <v>44</v>
      </c>
      <c r="C78" t="s">
        <v>43</v>
      </c>
    </row>
    <row r="79" spans="1:3" x14ac:dyDescent="0.25">
      <c r="A79">
        <v>345</v>
      </c>
      <c r="B79" t="s">
        <v>48</v>
      </c>
      <c r="C79" t="s">
        <v>80</v>
      </c>
    </row>
    <row r="80" spans="1:3" x14ac:dyDescent="0.25">
      <c r="A80">
        <v>281</v>
      </c>
      <c r="B80" t="s">
        <v>60</v>
      </c>
      <c r="C80" t="s">
        <v>70</v>
      </c>
    </row>
    <row r="81" spans="1:3" x14ac:dyDescent="0.25">
      <c r="A81">
        <v>276</v>
      </c>
      <c r="B81" t="s">
        <v>57</v>
      </c>
      <c r="C81" t="s">
        <v>78</v>
      </c>
    </row>
    <row r="82" spans="1:3" x14ac:dyDescent="0.25">
      <c r="A82">
        <v>234</v>
      </c>
      <c r="B82" t="s">
        <v>60</v>
      </c>
      <c r="C82" t="s">
        <v>107</v>
      </c>
    </row>
    <row r="83" spans="1:3" x14ac:dyDescent="0.25">
      <c r="A83">
        <v>319</v>
      </c>
      <c r="B83" t="s">
        <v>46</v>
      </c>
      <c r="C83" t="s">
        <v>66</v>
      </c>
    </row>
    <row r="84" spans="1:3" x14ac:dyDescent="0.25">
      <c r="A84">
        <v>24</v>
      </c>
      <c r="B84" t="s">
        <v>46</v>
      </c>
      <c r="C84" t="s">
        <v>45</v>
      </c>
    </row>
    <row r="85" spans="1:3" x14ac:dyDescent="0.25">
      <c r="A85">
        <v>357</v>
      </c>
      <c r="B85" t="s">
        <v>108</v>
      </c>
      <c r="C85" t="s">
        <v>109</v>
      </c>
    </row>
    <row r="86" spans="1:3" x14ac:dyDescent="0.25">
      <c r="A86">
        <v>265</v>
      </c>
      <c r="B86" t="s">
        <v>108</v>
      </c>
      <c r="C86" t="s">
        <v>14</v>
      </c>
    </row>
    <row r="87" spans="1:3" x14ac:dyDescent="0.25">
      <c r="A87">
        <v>102</v>
      </c>
      <c r="B87" t="s">
        <v>69</v>
      </c>
      <c r="C87" t="s">
        <v>68</v>
      </c>
    </row>
    <row r="88" spans="1:3" x14ac:dyDescent="0.25">
      <c r="A88">
        <v>212</v>
      </c>
      <c r="B88" t="s">
        <v>72</v>
      </c>
      <c r="C88" t="s">
        <v>122</v>
      </c>
    </row>
    <row r="89" spans="1:3" x14ac:dyDescent="0.25">
      <c r="A89">
        <v>215</v>
      </c>
      <c r="B89" t="s">
        <v>33</v>
      </c>
      <c r="C89" t="s">
        <v>32</v>
      </c>
    </row>
    <row r="90" spans="1:3" x14ac:dyDescent="0.25">
      <c r="A90">
        <v>364</v>
      </c>
      <c r="B90" t="s">
        <v>29</v>
      </c>
      <c r="C90" t="s">
        <v>89</v>
      </c>
    </row>
    <row r="91" spans="1:3" x14ac:dyDescent="0.25">
      <c r="A91">
        <v>499</v>
      </c>
      <c r="B91" t="s">
        <v>69</v>
      </c>
      <c r="C91" t="s">
        <v>98</v>
      </c>
    </row>
    <row r="92" spans="1:3" x14ac:dyDescent="0.25">
      <c r="A92">
        <v>202</v>
      </c>
      <c r="B92" t="s">
        <v>31</v>
      </c>
      <c r="C92" t="s">
        <v>62</v>
      </c>
    </row>
    <row r="93" spans="1:3" x14ac:dyDescent="0.25">
      <c r="A93">
        <v>244</v>
      </c>
      <c r="B93" t="s">
        <v>108</v>
      </c>
      <c r="C93" t="s">
        <v>115</v>
      </c>
    </row>
    <row r="94" spans="1:3" x14ac:dyDescent="0.25">
      <c r="A94">
        <v>363</v>
      </c>
      <c r="B94" t="s">
        <v>37</v>
      </c>
      <c r="C94" t="s">
        <v>36</v>
      </c>
    </row>
    <row r="95" spans="1:3" x14ac:dyDescent="0.25">
      <c r="A95">
        <v>434</v>
      </c>
      <c r="B95" t="s">
        <v>50</v>
      </c>
      <c r="C95" t="s">
        <v>49</v>
      </c>
    </row>
    <row r="96" spans="1:3" x14ac:dyDescent="0.25">
      <c r="A96">
        <v>305</v>
      </c>
      <c r="B96" t="s">
        <v>69</v>
      </c>
      <c r="C96" t="s">
        <v>98</v>
      </c>
    </row>
    <row r="97" spans="1:3" x14ac:dyDescent="0.25">
      <c r="A97">
        <v>37</v>
      </c>
      <c r="B97" t="s">
        <v>76</v>
      </c>
      <c r="C97" t="s">
        <v>75</v>
      </c>
    </row>
    <row r="98" spans="1:3" x14ac:dyDescent="0.25">
      <c r="A98">
        <v>242</v>
      </c>
      <c r="B98" t="s">
        <v>31</v>
      </c>
      <c r="C98" t="s">
        <v>62</v>
      </c>
    </row>
    <row r="99" spans="1:3" x14ac:dyDescent="0.25">
      <c r="A99">
        <v>332</v>
      </c>
      <c r="B99" t="s">
        <v>60</v>
      </c>
      <c r="C99" t="s">
        <v>59</v>
      </c>
    </row>
    <row r="100" spans="1:3" x14ac:dyDescent="0.25">
      <c r="A100">
        <v>452</v>
      </c>
      <c r="B100" t="s">
        <v>35</v>
      </c>
      <c r="C100" t="s">
        <v>74</v>
      </c>
    </row>
    <row r="101" spans="1:3" x14ac:dyDescent="0.25">
      <c r="A101">
        <v>132</v>
      </c>
      <c r="B101" t="s">
        <v>55</v>
      </c>
      <c r="C101" t="s">
        <v>54</v>
      </c>
    </row>
    <row r="102" spans="1:3" x14ac:dyDescent="0.25">
      <c r="A102">
        <v>457</v>
      </c>
      <c r="B102" t="s">
        <v>33</v>
      </c>
      <c r="C102" t="s">
        <v>112</v>
      </c>
    </row>
    <row r="103" spans="1:3" x14ac:dyDescent="0.25">
      <c r="A103">
        <v>250</v>
      </c>
      <c r="B103" t="s">
        <v>35</v>
      </c>
      <c r="C103" t="s">
        <v>58</v>
      </c>
    </row>
    <row r="104" spans="1:3" x14ac:dyDescent="0.25">
      <c r="A104">
        <v>195</v>
      </c>
      <c r="B104" t="s">
        <v>37</v>
      </c>
      <c r="C104" t="s">
        <v>111</v>
      </c>
    </row>
    <row r="105" spans="1:3" x14ac:dyDescent="0.25">
      <c r="A105">
        <v>186</v>
      </c>
      <c r="B105" t="s">
        <v>50</v>
      </c>
      <c r="C105" t="s">
        <v>104</v>
      </c>
    </row>
    <row r="106" spans="1:3" x14ac:dyDescent="0.25">
      <c r="A106">
        <v>490</v>
      </c>
      <c r="B106" t="s">
        <v>50</v>
      </c>
      <c r="C106" t="s">
        <v>49</v>
      </c>
    </row>
    <row r="107" spans="1:3" x14ac:dyDescent="0.25">
      <c r="A107">
        <v>72</v>
      </c>
      <c r="B107" t="s">
        <v>48</v>
      </c>
      <c r="C107" t="s">
        <v>64</v>
      </c>
    </row>
    <row r="108" spans="1:3" x14ac:dyDescent="0.25">
      <c r="A108">
        <v>430</v>
      </c>
      <c r="B108" t="s">
        <v>60</v>
      </c>
      <c r="C108" t="s">
        <v>88</v>
      </c>
    </row>
    <row r="109" spans="1:3" x14ac:dyDescent="0.25">
      <c r="A109">
        <v>223</v>
      </c>
      <c r="B109" t="s">
        <v>60</v>
      </c>
      <c r="C109" t="s">
        <v>107</v>
      </c>
    </row>
    <row r="110" spans="1:3" x14ac:dyDescent="0.25">
      <c r="A110">
        <v>164</v>
      </c>
      <c r="B110" t="s">
        <v>44</v>
      </c>
      <c r="C110" t="s">
        <v>65</v>
      </c>
    </row>
    <row r="111" spans="1:3" x14ac:dyDescent="0.25">
      <c r="A111">
        <v>393</v>
      </c>
      <c r="B111" t="s">
        <v>55</v>
      </c>
      <c r="C111" t="s">
        <v>86</v>
      </c>
    </row>
    <row r="112" spans="1:3" x14ac:dyDescent="0.25">
      <c r="A112">
        <v>166</v>
      </c>
      <c r="B112" t="s">
        <v>33</v>
      </c>
      <c r="C112" t="s">
        <v>51</v>
      </c>
    </row>
    <row r="113" spans="1:3" x14ac:dyDescent="0.25">
      <c r="A113">
        <v>249</v>
      </c>
      <c r="B113" t="s">
        <v>60</v>
      </c>
      <c r="C113" t="s">
        <v>70</v>
      </c>
    </row>
    <row r="114" spans="1:3" x14ac:dyDescent="0.25">
      <c r="A114">
        <v>83</v>
      </c>
      <c r="B114" t="s">
        <v>33</v>
      </c>
      <c r="C114" t="s">
        <v>121</v>
      </c>
    </row>
    <row r="115" spans="1:3" x14ac:dyDescent="0.25">
      <c r="A115">
        <v>236</v>
      </c>
      <c r="B115" t="s">
        <v>69</v>
      </c>
      <c r="C115" t="s">
        <v>98</v>
      </c>
    </row>
    <row r="116" spans="1:3" x14ac:dyDescent="0.25">
      <c r="A116">
        <v>379</v>
      </c>
      <c r="B116" t="s">
        <v>46</v>
      </c>
      <c r="C116" t="s">
        <v>77</v>
      </c>
    </row>
    <row r="117" spans="1:3" x14ac:dyDescent="0.25">
      <c r="A117">
        <v>431</v>
      </c>
      <c r="B117" t="s">
        <v>31</v>
      </c>
      <c r="C117" t="s">
        <v>103</v>
      </c>
    </row>
    <row r="118" spans="1:3" x14ac:dyDescent="0.25">
      <c r="A118">
        <v>463</v>
      </c>
      <c r="B118" t="s">
        <v>53</v>
      </c>
      <c r="C118" t="s">
        <v>84</v>
      </c>
    </row>
    <row r="119" spans="1:3" x14ac:dyDescent="0.25">
      <c r="A119">
        <v>494</v>
      </c>
      <c r="B119" t="s">
        <v>50</v>
      </c>
      <c r="C119" t="s">
        <v>49</v>
      </c>
    </row>
    <row r="120" spans="1:3" x14ac:dyDescent="0.25">
      <c r="A120">
        <v>394</v>
      </c>
      <c r="B120" t="s">
        <v>53</v>
      </c>
      <c r="C120" t="s">
        <v>84</v>
      </c>
    </row>
    <row r="121" spans="1:3" x14ac:dyDescent="0.25">
      <c r="A121">
        <v>380</v>
      </c>
      <c r="B121" t="s">
        <v>48</v>
      </c>
      <c r="C121" t="s">
        <v>64</v>
      </c>
    </row>
    <row r="122" spans="1:3" x14ac:dyDescent="0.25">
      <c r="A122">
        <v>309</v>
      </c>
      <c r="B122" t="s">
        <v>48</v>
      </c>
      <c r="C122" t="s">
        <v>80</v>
      </c>
    </row>
    <row r="123" spans="1:3" x14ac:dyDescent="0.25">
      <c r="A123">
        <v>112</v>
      </c>
      <c r="B123" t="s">
        <v>44</v>
      </c>
      <c r="C123" t="s">
        <v>65</v>
      </c>
    </row>
    <row r="124" spans="1:3" x14ac:dyDescent="0.25">
      <c r="A124">
        <v>81</v>
      </c>
      <c r="B124" t="s">
        <v>60</v>
      </c>
      <c r="C124" t="s">
        <v>59</v>
      </c>
    </row>
    <row r="125" spans="1:3" x14ac:dyDescent="0.25">
      <c r="A125">
        <v>4</v>
      </c>
      <c r="B125" t="s">
        <v>90</v>
      </c>
      <c r="C125" t="s">
        <v>114</v>
      </c>
    </row>
    <row r="126" spans="1:3" x14ac:dyDescent="0.25">
      <c r="A126">
        <v>209</v>
      </c>
      <c r="B126" t="s">
        <v>37</v>
      </c>
      <c r="C126" t="s">
        <v>93</v>
      </c>
    </row>
    <row r="127" spans="1:3" x14ac:dyDescent="0.25">
      <c r="A127">
        <v>156</v>
      </c>
      <c r="B127" t="s">
        <v>35</v>
      </c>
      <c r="C127" t="s">
        <v>58</v>
      </c>
    </row>
    <row r="128" spans="1:3" x14ac:dyDescent="0.25">
      <c r="A128">
        <v>441</v>
      </c>
      <c r="B128" t="s">
        <v>60</v>
      </c>
      <c r="C128" t="s">
        <v>70</v>
      </c>
    </row>
    <row r="129" spans="1:3" x14ac:dyDescent="0.25">
      <c r="A129">
        <v>180</v>
      </c>
      <c r="B129" t="s">
        <v>72</v>
      </c>
      <c r="C129" t="s">
        <v>117</v>
      </c>
    </row>
    <row r="130" spans="1:3" x14ac:dyDescent="0.25">
      <c r="A130">
        <v>438</v>
      </c>
      <c r="B130" t="s">
        <v>53</v>
      </c>
      <c r="C130" t="s">
        <v>105</v>
      </c>
    </row>
    <row r="131" spans="1:3" x14ac:dyDescent="0.25">
      <c r="A131">
        <v>232</v>
      </c>
      <c r="B131" t="s">
        <v>44</v>
      </c>
      <c r="C131" t="s">
        <v>99</v>
      </c>
    </row>
    <row r="132" spans="1:3" x14ac:dyDescent="0.25">
      <c r="A132">
        <v>206</v>
      </c>
      <c r="B132" t="s">
        <v>44</v>
      </c>
      <c r="C132" t="s">
        <v>43</v>
      </c>
    </row>
    <row r="133" spans="1:3" x14ac:dyDescent="0.25">
      <c r="A133">
        <v>295</v>
      </c>
      <c r="B133" t="s">
        <v>69</v>
      </c>
      <c r="C133" t="s">
        <v>68</v>
      </c>
    </row>
    <row r="134" spans="1:3" x14ac:dyDescent="0.25">
      <c r="A134">
        <v>221</v>
      </c>
      <c r="B134" t="s">
        <v>72</v>
      </c>
      <c r="C134" t="s">
        <v>102</v>
      </c>
    </row>
    <row r="135" spans="1:3" x14ac:dyDescent="0.25">
      <c r="A135">
        <v>333</v>
      </c>
      <c r="B135" t="s">
        <v>55</v>
      </c>
      <c r="C135" t="s">
        <v>118</v>
      </c>
    </row>
    <row r="136" spans="1:3" x14ac:dyDescent="0.25">
      <c r="A136">
        <v>498</v>
      </c>
      <c r="B136" t="s">
        <v>44</v>
      </c>
      <c r="C136" t="s">
        <v>43</v>
      </c>
    </row>
    <row r="137" spans="1:3" x14ac:dyDescent="0.25">
      <c r="A137">
        <v>476</v>
      </c>
      <c r="B137" t="s">
        <v>55</v>
      </c>
      <c r="C137" t="s">
        <v>97</v>
      </c>
    </row>
    <row r="138" spans="1:3" x14ac:dyDescent="0.25">
      <c r="A138">
        <v>126</v>
      </c>
      <c r="B138" t="s">
        <v>29</v>
      </c>
      <c r="C138" t="s">
        <v>89</v>
      </c>
    </row>
    <row r="139" spans="1:3" x14ac:dyDescent="0.25">
      <c r="A139">
        <v>255</v>
      </c>
      <c r="B139" t="s">
        <v>53</v>
      </c>
      <c r="C139" t="s">
        <v>105</v>
      </c>
    </row>
    <row r="140" spans="1:3" x14ac:dyDescent="0.25">
      <c r="A140">
        <v>138</v>
      </c>
      <c r="B140" t="s">
        <v>50</v>
      </c>
      <c r="C140" t="s">
        <v>49</v>
      </c>
    </row>
    <row r="141" spans="1:3" x14ac:dyDescent="0.25">
      <c r="A141">
        <v>403</v>
      </c>
      <c r="B141" t="s">
        <v>60</v>
      </c>
      <c r="C141" t="s">
        <v>88</v>
      </c>
    </row>
    <row r="142" spans="1:3" x14ac:dyDescent="0.25">
      <c r="A142">
        <v>280</v>
      </c>
      <c r="B142" t="s">
        <v>50</v>
      </c>
      <c r="C142" t="s">
        <v>104</v>
      </c>
    </row>
    <row r="143" spans="1:3" x14ac:dyDescent="0.25">
      <c r="A143">
        <v>356</v>
      </c>
      <c r="B143" t="s">
        <v>69</v>
      </c>
      <c r="C143" t="s">
        <v>98</v>
      </c>
    </row>
    <row r="144" spans="1:3" x14ac:dyDescent="0.25">
      <c r="A144">
        <v>282</v>
      </c>
      <c r="B144" t="s">
        <v>90</v>
      </c>
      <c r="C144" t="s">
        <v>120</v>
      </c>
    </row>
    <row r="145" spans="1:3" x14ac:dyDescent="0.25">
      <c r="A145">
        <v>459</v>
      </c>
      <c r="B145" t="s">
        <v>42</v>
      </c>
      <c r="C145" t="s">
        <v>85</v>
      </c>
    </row>
    <row r="146" spans="1:3" x14ac:dyDescent="0.25">
      <c r="A146">
        <v>402</v>
      </c>
      <c r="B146" t="s">
        <v>37</v>
      </c>
      <c r="C146" t="s">
        <v>111</v>
      </c>
    </row>
    <row r="147" spans="1:3" x14ac:dyDescent="0.25">
      <c r="A147">
        <v>320</v>
      </c>
      <c r="B147" t="s">
        <v>48</v>
      </c>
      <c r="C147" t="s">
        <v>64</v>
      </c>
    </row>
    <row r="148" spans="1:3" x14ac:dyDescent="0.25">
      <c r="A148">
        <v>447</v>
      </c>
      <c r="B148" t="s">
        <v>46</v>
      </c>
      <c r="C148" t="s">
        <v>66</v>
      </c>
    </row>
    <row r="149" spans="1:3" x14ac:dyDescent="0.25">
      <c r="A149">
        <v>406</v>
      </c>
      <c r="B149" t="s">
        <v>33</v>
      </c>
      <c r="C149" t="s">
        <v>32</v>
      </c>
    </row>
    <row r="150" spans="1:3" x14ac:dyDescent="0.25">
      <c r="A150">
        <v>391</v>
      </c>
      <c r="B150" t="s">
        <v>55</v>
      </c>
      <c r="C150" t="s">
        <v>97</v>
      </c>
    </row>
    <row r="151" spans="1:3" x14ac:dyDescent="0.25">
      <c r="A151">
        <v>82</v>
      </c>
      <c r="B151" t="s">
        <v>50</v>
      </c>
      <c r="C151" t="s">
        <v>123</v>
      </c>
    </row>
    <row r="152" spans="1:3" x14ac:dyDescent="0.25">
      <c r="A152">
        <v>243</v>
      </c>
      <c r="B152" t="s">
        <v>90</v>
      </c>
      <c r="C152" t="s">
        <v>114</v>
      </c>
    </row>
    <row r="153" spans="1:3" x14ac:dyDescent="0.25">
      <c r="A153">
        <v>432</v>
      </c>
      <c r="B153" t="s">
        <v>40</v>
      </c>
      <c r="C153" t="s">
        <v>91</v>
      </c>
    </row>
    <row r="154" spans="1:3" x14ac:dyDescent="0.25">
      <c r="A154">
        <v>159</v>
      </c>
      <c r="B154" t="s">
        <v>42</v>
      </c>
      <c r="C154" t="s">
        <v>85</v>
      </c>
    </row>
    <row r="155" spans="1:3" x14ac:dyDescent="0.25">
      <c r="A155">
        <v>197</v>
      </c>
      <c r="B155" t="s">
        <v>69</v>
      </c>
      <c r="C155" t="s">
        <v>124</v>
      </c>
    </row>
    <row r="156" spans="1:3" x14ac:dyDescent="0.25">
      <c r="A156">
        <v>110</v>
      </c>
      <c r="B156" t="s">
        <v>40</v>
      </c>
      <c r="C156" t="s">
        <v>39</v>
      </c>
    </row>
    <row r="157" spans="1:3" x14ac:dyDescent="0.25">
      <c r="A157">
        <v>288</v>
      </c>
      <c r="B157" t="s">
        <v>50</v>
      </c>
      <c r="C157" t="s">
        <v>123</v>
      </c>
    </row>
    <row r="158" spans="1:3" x14ac:dyDescent="0.25">
      <c r="A158">
        <v>493</v>
      </c>
      <c r="B158" t="s">
        <v>31</v>
      </c>
      <c r="C158" t="s">
        <v>62</v>
      </c>
    </row>
    <row r="159" spans="1:3" x14ac:dyDescent="0.25">
      <c r="A159">
        <v>446</v>
      </c>
      <c r="B159" t="s">
        <v>72</v>
      </c>
      <c r="C159" t="s">
        <v>122</v>
      </c>
    </row>
    <row r="160" spans="1:3" x14ac:dyDescent="0.25">
      <c r="A160">
        <v>428</v>
      </c>
      <c r="B160" t="s">
        <v>48</v>
      </c>
      <c r="C160" t="s">
        <v>64</v>
      </c>
    </row>
    <row r="161" spans="1:3" x14ac:dyDescent="0.25">
      <c r="A161">
        <v>192</v>
      </c>
      <c r="B161" t="s">
        <v>108</v>
      </c>
      <c r="C161" t="s">
        <v>109</v>
      </c>
    </row>
    <row r="162" spans="1:3" x14ac:dyDescent="0.25">
      <c r="A162">
        <v>69</v>
      </c>
      <c r="B162" t="s">
        <v>72</v>
      </c>
      <c r="C162" t="s">
        <v>71</v>
      </c>
    </row>
    <row r="163" spans="1:3" x14ac:dyDescent="0.25">
      <c r="A163">
        <v>270</v>
      </c>
      <c r="B163" t="s">
        <v>76</v>
      </c>
      <c r="C163" t="s">
        <v>79</v>
      </c>
    </row>
    <row r="164" spans="1:3" x14ac:dyDescent="0.25">
      <c r="A164">
        <v>348</v>
      </c>
      <c r="B164" t="s">
        <v>72</v>
      </c>
      <c r="C164" t="s">
        <v>71</v>
      </c>
    </row>
    <row r="165" spans="1:3" x14ac:dyDescent="0.25">
      <c r="A165">
        <v>321</v>
      </c>
      <c r="B165" t="s">
        <v>108</v>
      </c>
      <c r="C165" t="s">
        <v>115</v>
      </c>
    </row>
    <row r="166" spans="1:3" x14ac:dyDescent="0.25">
      <c r="A166">
        <v>341</v>
      </c>
      <c r="B166" t="s">
        <v>40</v>
      </c>
      <c r="C166" t="s">
        <v>101</v>
      </c>
    </row>
    <row r="167" spans="1:3" x14ac:dyDescent="0.25">
      <c r="A167">
        <v>473</v>
      </c>
      <c r="B167" t="s">
        <v>37</v>
      </c>
      <c r="C167" t="s">
        <v>87</v>
      </c>
    </row>
    <row r="168" spans="1:3" x14ac:dyDescent="0.25">
      <c r="A168">
        <v>482</v>
      </c>
      <c r="B168" t="s">
        <v>42</v>
      </c>
      <c r="C168" t="s">
        <v>63</v>
      </c>
    </row>
    <row r="169" spans="1:3" x14ac:dyDescent="0.25">
      <c r="A169">
        <v>169</v>
      </c>
      <c r="B169" t="s">
        <v>35</v>
      </c>
      <c r="C169" t="s">
        <v>38</v>
      </c>
    </row>
    <row r="170" spans="1:3" x14ac:dyDescent="0.25">
      <c r="A170">
        <v>397</v>
      </c>
      <c r="B170" t="s">
        <v>46</v>
      </c>
      <c r="C170" t="s">
        <v>73</v>
      </c>
    </row>
    <row r="171" spans="1:3" x14ac:dyDescent="0.25">
      <c r="A171">
        <v>436</v>
      </c>
      <c r="B171" t="s">
        <v>31</v>
      </c>
      <c r="C171" t="s">
        <v>103</v>
      </c>
    </row>
    <row r="172" spans="1:3" x14ac:dyDescent="0.25">
      <c r="A172">
        <v>369</v>
      </c>
      <c r="B172" t="s">
        <v>44</v>
      </c>
      <c r="C172" t="s">
        <v>43</v>
      </c>
    </row>
    <row r="173" spans="1:3" x14ac:dyDescent="0.25">
      <c r="A173">
        <v>361</v>
      </c>
      <c r="B173" t="s">
        <v>108</v>
      </c>
      <c r="C173" t="s">
        <v>115</v>
      </c>
    </row>
    <row r="174" spans="1:3" x14ac:dyDescent="0.25">
      <c r="A174">
        <v>87</v>
      </c>
      <c r="B174" t="s">
        <v>53</v>
      </c>
      <c r="C174" t="s">
        <v>82</v>
      </c>
    </row>
    <row r="175" spans="1:3" x14ac:dyDescent="0.25">
      <c r="A175">
        <v>376</v>
      </c>
      <c r="B175" t="s">
        <v>48</v>
      </c>
      <c r="C175" t="s">
        <v>83</v>
      </c>
    </row>
    <row r="176" spans="1:3" x14ac:dyDescent="0.25">
      <c r="A176">
        <v>111</v>
      </c>
      <c r="B176" t="s">
        <v>29</v>
      </c>
      <c r="C176" t="s">
        <v>28</v>
      </c>
    </row>
    <row r="177" spans="1:3" x14ac:dyDescent="0.25">
      <c r="A177">
        <v>344</v>
      </c>
      <c r="B177" t="s">
        <v>33</v>
      </c>
      <c r="C177" t="s">
        <v>121</v>
      </c>
    </row>
    <row r="178" spans="1:3" x14ac:dyDescent="0.25">
      <c r="A178">
        <v>462</v>
      </c>
      <c r="B178" t="s">
        <v>90</v>
      </c>
      <c r="C178" t="s">
        <v>114</v>
      </c>
    </row>
    <row r="179" spans="1:3" x14ac:dyDescent="0.25">
      <c r="A179">
        <v>279</v>
      </c>
      <c r="B179" t="s">
        <v>42</v>
      </c>
      <c r="C179" t="s">
        <v>67</v>
      </c>
    </row>
    <row r="180" spans="1:3" x14ac:dyDescent="0.25">
      <c r="A180">
        <v>322</v>
      </c>
      <c r="B180" t="s">
        <v>42</v>
      </c>
      <c r="C180" t="s">
        <v>67</v>
      </c>
    </row>
    <row r="181" spans="1:3" x14ac:dyDescent="0.25">
      <c r="A181">
        <v>317</v>
      </c>
      <c r="B181" t="s">
        <v>33</v>
      </c>
      <c r="C181" t="s">
        <v>32</v>
      </c>
    </row>
    <row r="182" spans="1:3" x14ac:dyDescent="0.25">
      <c r="A182">
        <v>25</v>
      </c>
      <c r="B182" t="s">
        <v>72</v>
      </c>
      <c r="C182" t="s">
        <v>117</v>
      </c>
    </row>
    <row r="183" spans="1:3" x14ac:dyDescent="0.25">
      <c r="A183">
        <v>410</v>
      </c>
      <c r="B183" t="s">
        <v>72</v>
      </c>
      <c r="C183" t="s">
        <v>122</v>
      </c>
    </row>
    <row r="184" spans="1:3" x14ac:dyDescent="0.25">
      <c r="A184">
        <v>207</v>
      </c>
      <c r="B184" t="s">
        <v>29</v>
      </c>
      <c r="C184" t="s">
        <v>94</v>
      </c>
    </row>
    <row r="185" spans="1:3" x14ac:dyDescent="0.25">
      <c r="A185">
        <v>131</v>
      </c>
      <c r="B185" t="s">
        <v>33</v>
      </c>
      <c r="C185" t="s">
        <v>121</v>
      </c>
    </row>
    <row r="186" spans="1:3" x14ac:dyDescent="0.25">
      <c r="A186">
        <v>96</v>
      </c>
      <c r="B186" t="s">
        <v>76</v>
      </c>
      <c r="C186" t="s">
        <v>106</v>
      </c>
    </row>
    <row r="187" spans="1:3" x14ac:dyDescent="0.25">
      <c r="A187">
        <v>268</v>
      </c>
      <c r="B187" t="s">
        <v>90</v>
      </c>
      <c r="C187" t="s">
        <v>63</v>
      </c>
    </row>
    <row r="188" spans="1:3" x14ac:dyDescent="0.25">
      <c r="A188">
        <v>358</v>
      </c>
      <c r="B188" t="s">
        <v>48</v>
      </c>
      <c r="C188" t="s">
        <v>47</v>
      </c>
    </row>
    <row r="189" spans="1:3" x14ac:dyDescent="0.25">
      <c r="A189">
        <v>160</v>
      </c>
      <c r="B189" t="s">
        <v>42</v>
      </c>
      <c r="C189" t="s">
        <v>63</v>
      </c>
    </row>
    <row r="190" spans="1:3" x14ac:dyDescent="0.25">
      <c r="A190">
        <v>23</v>
      </c>
      <c r="B190" t="s">
        <v>55</v>
      </c>
      <c r="C190" t="s">
        <v>118</v>
      </c>
    </row>
    <row r="191" spans="1:3" x14ac:dyDescent="0.25">
      <c r="A191">
        <v>49</v>
      </c>
      <c r="B191" t="s">
        <v>90</v>
      </c>
      <c r="C191" t="s">
        <v>120</v>
      </c>
    </row>
    <row r="192" spans="1:3" x14ac:dyDescent="0.25">
      <c r="A192">
        <v>485</v>
      </c>
      <c r="B192" t="s">
        <v>40</v>
      </c>
      <c r="C192" t="s">
        <v>91</v>
      </c>
    </row>
    <row r="193" spans="1:3" x14ac:dyDescent="0.25">
      <c r="A193">
        <v>40</v>
      </c>
      <c r="B193" t="s">
        <v>57</v>
      </c>
      <c r="C193" t="s">
        <v>119</v>
      </c>
    </row>
    <row r="194" spans="1:3" x14ac:dyDescent="0.25">
      <c r="A194">
        <v>275</v>
      </c>
      <c r="B194" t="s">
        <v>50</v>
      </c>
      <c r="C194" t="s">
        <v>49</v>
      </c>
    </row>
    <row r="195" spans="1:3" x14ac:dyDescent="0.25">
      <c r="A195">
        <v>205</v>
      </c>
      <c r="B195" t="s">
        <v>40</v>
      </c>
      <c r="C195" t="s">
        <v>91</v>
      </c>
    </row>
    <row r="196" spans="1:3" x14ac:dyDescent="0.25">
      <c r="A196">
        <v>219</v>
      </c>
      <c r="B196" t="s">
        <v>46</v>
      </c>
      <c r="C196" t="s">
        <v>45</v>
      </c>
    </row>
    <row r="197" spans="1:3" x14ac:dyDescent="0.25">
      <c r="A197">
        <v>435</v>
      </c>
      <c r="B197" t="s">
        <v>108</v>
      </c>
      <c r="C197" t="s">
        <v>109</v>
      </c>
    </row>
    <row r="198" spans="1:3" x14ac:dyDescent="0.25">
      <c r="A198">
        <v>26</v>
      </c>
      <c r="B198" t="s">
        <v>108</v>
      </c>
      <c r="C198" t="s">
        <v>115</v>
      </c>
    </row>
    <row r="199" spans="1:3" x14ac:dyDescent="0.25">
      <c r="A199">
        <v>273</v>
      </c>
      <c r="B199" t="s">
        <v>48</v>
      </c>
      <c r="C199" t="s">
        <v>83</v>
      </c>
    </row>
    <row r="200" spans="1:3" x14ac:dyDescent="0.25">
      <c r="A200">
        <v>340</v>
      </c>
      <c r="B200" t="s">
        <v>50</v>
      </c>
      <c r="C200" t="s">
        <v>92</v>
      </c>
    </row>
    <row r="201" spans="1:3" x14ac:dyDescent="0.25">
      <c r="A201">
        <v>34</v>
      </c>
      <c r="B201" t="s">
        <v>42</v>
      </c>
      <c r="C201" t="s">
        <v>41</v>
      </c>
    </row>
    <row r="202" spans="1:3" x14ac:dyDescent="0.25">
      <c r="A202">
        <v>117</v>
      </c>
      <c r="B202" t="s">
        <v>40</v>
      </c>
      <c r="C202" t="s">
        <v>116</v>
      </c>
    </row>
    <row r="203" spans="1:3" x14ac:dyDescent="0.25">
      <c r="A203">
        <v>201</v>
      </c>
      <c r="B203" t="s">
        <v>69</v>
      </c>
      <c r="C203" t="s">
        <v>68</v>
      </c>
    </row>
    <row r="204" spans="1:3" x14ac:dyDescent="0.25">
      <c r="A204">
        <v>377</v>
      </c>
      <c r="B204" t="s">
        <v>57</v>
      </c>
      <c r="C204" t="s">
        <v>81</v>
      </c>
    </row>
    <row r="205" spans="1:3" x14ac:dyDescent="0.25">
      <c r="A205">
        <v>251</v>
      </c>
      <c r="B205" t="s">
        <v>31</v>
      </c>
      <c r="C205" t="s">
        <v>103</v>
      </c>
    </row>
    <row r="206" spans="1:3" x14ac:dyDescent="0.25">
      <c r="A206">
        <v>409</v>
      </c>
      <c r="B206" t="s">
        <v>35</v>
      </c>
      <c r="C206" t="s">
        <v>38</v>
      </c>
    </row>
    <row r="207" spans="1:3" x14ac:dyDescent="0.25">
      <c r="A207">
        <v>422</v>
      </c>
      <c r="B207" t="s">
        <v>53</v>
      </c>
      <c r="C207" t="s">
        <v>105</v>
      </c>
    </row>
    <row r="208" spans="1:3" x14ac:dyDescent="0.25">
      <c r="A208">
        <v>222</v>
      </c>
      <c r="B208" t="s">
        <v>44</v>
      </c>
      <c r="C208" t="s">
        <v>99</v>
      </c>
    </row>
    <row r="209" spans="1:3" x14ac:dyDescent="0.25">
      <c r="A209">
        <v>497</v>
      </c>
      <c r="B209" t="s">
        <v>48</v>
      </c>
      <c r="C209" t="s">
        <v>64</v>
      </c>
    </row>
    <row r="210" spans="1:3" x14ac:dyDescent="0.25">
      <c r="A210">
        <v>351</v>
      </c>
      <c r="B210" t="s">
        <v>72</v>
      </c>
      <c r="C210" t="s">
        <v>117</v>
      </c>
    </row>
    <row r="211" spans="1:3" x14ac:dyDescent="0.25">
      <c r="A211">
        <v>464</v>
      </c>
      <c r="B211" t="s">
        <v>50</v>
      </c>
      <c r="C211" t="s">
        <v>49</v>
      </c>
    </row>
    <row r="212" spans="1:3" x14ac:dyDescent="0.25">
      <c r="A212">
        <v>241</v>
      </c>
      <c r="B212" t="s">
        <v>57</v>
      </c>
      <c r="C212" t="s">
        <v>81</v>
      </c>
    </row>
    <row r="213" spans="1:3" x14ac:dyDescent="0.25">
      <c r="A213">
        <v>258</v>
      </c>
      <c r="B213" t="s">
        <v>55</v>
      </c>
      <c r="C213" t="s">
        <v>118</v>
      </c>
    </row>
    <row r="214" spans="1:3" x14ac:dyDescent="0.25">
      <c r="A214">
        <v>216</v>
      </c>
      <c r="B214" t="s">
        <v>53</v>
      </c>
      <c r="C214" t="s">
        <v>84</v>
      </c>
    </row>
    <row r="215" spans="1:3" x14ac:dyDescent="0.25">
      <c r="A215">
        <v>272</v>
      </c>
      <c r="B215" t="s">
        <v>42</v>
      </c>
      <c r="C215" t="s">
        <v>41</v>
      </c>
    </row>
    <row r="216" spans="1:3" x14ac:dyDescent="0.25">
      <c r="A216">
        <v>225</v>
      </c>
      <c r="B216" t="s">
        <v>76</v>
      </c>
      <c r="C216" t="s">
        <v>75</v>
      </c>
    </row>
    <row r="217" spans="1:3" x14ac:dyDescent="0.25">
      <c r="A217">
        <v>467</v>
      </c>
      <c r="B217" t="s">
        <v>40</v>
      </c>
      <c r="C217" t="s">
        <v>91</v>
      </c>
    </row>
    <row r="218" spans="1:3" x14ac:dyDescent="0.25">
      <c r="A218">
        <v>139</v>
      </c>
      <c r="B218" t="s">
        <v>46</v>
      </c>
      <c r="C218" t="s">
        <v>73</v>
      </c>
    </row>
    <row r="219" spans="1:3" x14ac:dyDescent="0.25">
      <c r="A219">
        <v>404</v>
      </c>
      <c r="B219" t="s">
        <v>46</v>
      </c>
      <c r="C219" t="s">
        <v>73</v>
      </c>
    </row>
    <row r="220" spans="1:3" x14ac:dyDescent="0.25">
      <c r="A220">
        <v>328</v>
      </c>
      <c r="B220" t="s">
        <v>72</v>
      </c>
      <c r="C220" t="s">
        <v>117</v>
      </c>
    </row>
    <row r="221" spans="1:3" x14ac:dyDescent="0.25">
      <c r="A221">
        <v>424</v>
      </c>
      <c r="B221" t="s">
        <v>69</v>
      </c>
      <c r="C221" t="s">
        <v>100</v>
      </c>
    </row>
    <row r="222" spans="1:3" x14ac:dyDescent="0.25">
      <c r="A222">
        <v>86</v>
      </c>
      <c r="B222" t="s">
        <v>29</v>
      </c>
      <c r="C222" t="s">
        <v>89</v>
      </c>
    </row>
    <row r="223" spans="1:3" x14ac:dyDescent="0.25">
      <c r="A223">
        <v>17</v>
      </c>
      <c r="B223" t="s">
        <v>53</v>
      </c>
      <c r="C223" t="s">
        <v>82</v>
      </c>
    </row>
    <row r="224" spans="1:3" x14ac:dyDescent="0.25">
      <c r="A224">
        <v>43</v>
      </c>
      <c r="B224" t="s">
        <v>69</v>
      </c>
      <c r="C224" t="s">
        <v>100</v>
      </c>
    </row>
    <row r="225" spans="1:3" x14ac:dyDescent="0.25">
      <c r="A225">
        <v>5</v>
      </c>
      <c r="B225" t="s">
        <v>40</v>
      </c>
      <c r="C225" t="s">
        <v>116</v>
      </c>
    </row>
    <row r="226" spans="1:3" x14ac:dyDescent="0.25">
      <c r="A226">
        <v>298</v>
      </c>
      <c r="B226" t="s">
        <v>42</v>
      </c>
      <c r="C226" t="s">
        <v>67</v>
      </c>
    </row>
    <row r="227" spans="1:3" x14ac:dyDescent="0.25">
      <c r="A227">
        <v>421</v>
      </c>
      <c r="B227" t="s">
        <v>60</v>
      </c>
      <c r="C227" t="s">
        <v>107</v>
      </c>
    </row>
    <row r="228" spans="1:3" x14ac:dyDescent="0.25">
      <c r="A228">
        <v>483</v>
      </c>
      <c r="B228" t="s">
        <v>57</v>
      </c>
      <c r="C228" t="s">
        <v>78</v>
      </c>
    </row>
    <row r="229" spans="1:3" x14ac:dyDescent="0.25">
      <c r="A229">
        <v>414</v>
      </c>
      <c r="B229" t="s">
        <v>35</v>
      </c>
      <c r="C229" t="s">
        <v>74</v>
      </c>
    </row>
    <row r="230" spans="1:3" x14ac:dyDescent="0.25">
      <c r="A230">
        <v>389</v>
      </c>
      <c r="B230" t="s">
        <v>60</v>
      </c>
      <c r="C230" t="s">
        <v>88</v>
      </c>
    </row>
    <row r="231" spans="1:3" x14ac:dyDescent="0.25">
      <c r="A231">
        <v>367</v>
      </c>
      <c r="B231" t="s">
        <v>57</v>
      </c>
      <c r="C231" t="s">
        <v>81</v>
      </c>
    </row>
    <row r="232" spans="1:3" x14ac:dyDescent="0.25">
      <c r="A232">
        <v>128</v>
      </c>
      <c r="B232" t="s">
        <v>108</v>
      </c>
      <c r="C232" t="s">
        <v>14</v>
      </c>
    </row>
    <row r="233" spans="1:3" x14ac:dyDescent="0.25">
      <c r="A233">
        <v>368</v>
      </c>
      <c r="B233" t="s">
        <v>50</v>
      </c>
      <c r="C233" t="s">
        <v>49</v>
      </c>
    </row>
    <row r="234" spans="1:3" x14ac:dyDescent="0.25">
      <c r="A234">
        <v>74</v>
      </c>
      <c r="B234" t="s">
        <v>57</v>
      </c>
      <c r="C234" t="s">
        <v>56</v>
      </c>
    </row>
    <row r="235" spans="1:3" x14ac:dyDescent="0.25">
      <c r="A235">
        <v>149</v>
      </c>
      <c r="B235" t="s">
        <v>48</v>
      </c>
      <c r="C235" t="s">
        <v>64</v>
      </c>
    </row>
    <row r="236" spans="1:3" x14ac:dyDescent="0.25">
      <c r="A236">
        <v>229</v>
      </c>
      <c r="B236" t="s">
        <v>108</v>
      </c>
      <c r="C236" t="s">
        <v>115</v>
      </c>
    </row>
    <row r="237" spans="1:3" x14ac:dyDescent="0.25">
      <c r="A237">
        <v>28</v>
      </c>
      <c r="B237" t="s">
        <v>42</v>
      </c>
      <c r="C237" t="s">
        <v>85</v>
      </c>
    </row>
    <row r="238" spans="1:3" x14ac:dyDescent="0.25">
      <c r="A238">
        <v>260</v>
      </c>
      <c r="B238" t="s">
        <v>76</v>
      </c>
      <c r="C238" t="s">
        <v>96</v>
      </c>
    </row>
    <row r="239" spans="1:3" x14ac:dyDescent="0.25">
      <c r="A239">
        <v>140</v>
      </c>
      <c r="B239" t="s">
        <v>90</v>
      </c>
      <c r="C239" t="s">
        <v>114</v>
      </c>
    </row>
    <row r="240" spans="1:3" x14ac:dyDescent="0.25">
      <c r="A240">
        <v>67</v>
      </c>
      <c r="B240" t="s">
        <v>46</v>
      </c>
      <c r="C240" t="s">
        <v>45</v>
      </c>
    </row>
    <row r="241" spans="1:3" x14ac:dyDescent="0.25">
      <c r="A241">
        <v>448</v>
      </c>
      <c r="B241" t="s">
        <v>46</v>
      </c>
      <c r="C241" t="s">
        <v>73</v>
      </c>
    </row>
    <row r="242" spans="1:3" x14ac:dyDescent="0.25">
      <c r="A242">
        <v>331</v>
      </c>
      <c r="B242" t="s">
        <v>76</v>
      </c>
      <c r="C242" t="s">
        <v>106</v>
      </c>
    </row>
    <row r="243" spans="1:3" x14ac:dyDescent="0.25">
      <c r="A243">
        <v>325</v>
      </c>
      <c r="B243" t="s">
        <v>33</v>
      </c>
      <c r="C243" t="s">
        <v>51</v>
      </c>
    </row>
    <row r="244" spans="1:3" x14ac:dyDescent="0.25">
      <c r="A244">
        <v>346</v>
      </c>
      <c r="B244" t="s">
        <v>60</v>
      </c>
      <c r="C244" t="s">
        <v>107</v>
      </c>
    </row>
    <row r="245" spans="1:3" x14ac:dyDescent="0.25">
      <c r="A245">
        <v>115</v>
      </c>
      <c r="B245" t="s">
        <v>50</v>
      </c>
      <c r="C245" t="s">
        <v>104</v>
      </c>
    </row>
    <row r="246" spans="1:3" x14ac:dyDescent="0.25">
      <c r="A246">
        <v>360</v>
      </c>
      <c r="B246" t="s">
        <v>76</v>
      </c>
      <c r="C246" t="s">
        <v>79</v>
      </c>
    </row>
    <row r="247" spans="1:3" x14ac:dyDescent="0.25">
      <c r="A247">
        <v>230</v>
      </c>
      <c r="B247" t="s">
        <v>33</v>
      </c>
      <c r="C247" t="s">
        <v>32</v>
      </c>
    </row>
    <row r="248" spans="1:3" x14ac:dyDescent="0.25">
      <c r="A248">
        <v>353</v>
      </c>
      <c r="B248" t="s">
        <v>40</v>
      </c>
      <c r="C248" t="s">
        <v>39</v>
      </c>
    </row>
    <row r="249" spans="1:3" x14ac:dyDescent="0.25">
      <c r="A249">
        <v>188</v>
      </c>
      <c r="B249" t="s">
        <v>44</v>
      </c>
      <c r="C249" t="s">
        <v>113</v>
      </c>
    </row>
    <row r="250" spans="1:3" x14ac:dyDescent="0.25">
      <c r="A250">
        <v>405</v>
      </c>
      <c r="B250" t="s">
        <v>37</v>
      </c>
      <c r="C250" t="s">
        <v>111</v>
      </c>
    </row>
    <row r="251" spans="1:3" x14ac:dyDescent="0.25">
      <c r="A251">
        <v>99</v>
      </c>
      <c r="B251" t="s">
        <v>31</v>
      </c>
      <c r="C251" t="s">
        <v>30</v>
      </c>
    </row>
    <row r="252" spans="1:3" x14ac:dyDescent="0.25">
      <c r="A252">
        <v>196</v>
      </c>
      <c r="B252" t="s">
        <v>48</v>
      </c>
      <c r="C252" t="s">
        <v>80</v>
      </c>
    </row>
    <row r="253" spans="1:3" x14ac:dyDescent="0.25">
      <c r="A253">
        <v>271</v>
      </c>
      <c r="B253" t="s">
        <v>50</v>
      </c>
      <c r="C253" t="s">
        <v>49</v>
      </c>
    </row>
    <row r="254" spans="1:3" x14ac:dyDescent="0.25">
      <c r="A254">
        <v>210</v>
      </c>
      <c r="B254" t="s">
        <v>57</v>
      </c>
      <c r="C254" t="s">
        <v>81</v>
      </c>
    </row>
    <row r="255" spans="1:3" x14ac:dyDescent="0.25">
      <c r="A255">
        <v>178</v>
      </c>
      <c r="B255" t="s">
        <v>46</v>
      </c>
      <c r="C255" t="s">
        <v>73</v>
      </c>
    </row>
    <row r="256" spans="1:3" x14ac:dyDescent="0.25">
      <c r="A256">
        <v>423</v>
      </c>
      <c r="B256" t="s">
        <v>72</v>
      </c>
      <c r="C256" t="s">
        <v>102</v>
      </c>
    </row>
    <row r="257" spans="1:3" x14ac:dyDescent="0.25">
      <c r="A257">
        <v>70</v>
      </c>
      <c r="B257" t="s">
        <v>90</v>
      </c>
      <c r="C257" t="s">
        <v>63</v>
      </c>
    </row>
    <row r="258" spans="1:3" x14ac:dyDescent="0.25">
      <c r="A258">
        <v>335</v>
      </c>
      <c r="B258" t="s">
        <v>37</v>
      </c>
      <c r="C258" t="s">
        <v>111</v>
      </c>
    </row>
    <row r="259" spans="1:3" x14ac:dyDescent="0.25">
      <c r="A259">
        <v>427</v>
      </c>
      <c r="B259" t="s">
        <v>37</v>
      </c>
      <c r="C259" t="s">
        <v>93</v>
      </c>
    </row>
    <row r="260" spans="1:3" x14ac:dyDescent="0.25">
      <c r="A260">
        <v>303</v>
      </c>
      <c r="B260" t="s">
        <v>35</v>
      </c>
      <c r="C260" t="s">
        <v>38</v>
      </c>
    </row>
    <row r="261" spans="1:3" x14ac:dyDescent="0.25">
      <c r="A261">
        <v>398</v>
      </c>
      <c r="B261" t="s">
        <v>33</v>
      </c>
      <c r="C261" t="s">
        <v>32</v>
      </c>
    </row>
    <row r="262" spans="1:3" x14ac:dyDescent="0.25">
      <c r="A262">
        <v>290</v>
      </c>
      <c r="B262" t="s">
        <v>29</v>
      </c>
      <c r="C262" t="s">
        <v>61</v>
      </c>
    </row>
    <row r="263" spans="1:3" x14ac:dyDescent="0.25">
      <c r="A263">
        <v>386</v>
      </c>
      <c r="B263" t="s">
        <v>42</v>
      </c>
      <c r="C263" t="s">
        <v>67</v>
      </c>
    </row>
    <row r="264" spans="1:3" x14ac:dyDescent="0.25">
      <c r="A264">
        <v>350</v>
      </c>
      <c r="B264" t="s">
        <v>35</v>
      </c>
      <c r="C264" t="s">
        <v>58</v>
      </c>
    </row>
    <row r="265" spans="1:3" x14ac:dyDescent="0.25">
      <c r="A265">
        <v>329</v>
      </c>
      <c r="B265" t="s">
        <v>76</v>
      </c>
      <c r="C265" t="s">
        <v>79</v>
      </c>
    </row>
    <row r="266" spans="1:3" x14ac:dyDescent="0.25">
      <c r="A266">
        <v>233</v>
      </c>
      <c r="B266" t="s">
        <v>46</v>
      </c>
      <c r="C266" t="s">
        <v>73</v>
      </c>
    </row>
    <row r="267" spans="1:3" x14ac:dyDescent="0.25">
      <c r="A267">
        <v>293</v>
      </c>
      <c r="B267" t="s">
        <v>48</v>
      </c>
      <c r="C267" t="s">
        <v>64</v>
      </c>
    </row>
    <row r="268" spans="1:3" x14ac:dyDescent="0.25">
      <c r="A268">
        <v>286</v>
      </c>
      <c r="B268" t="s">
        <v>46</v>
      </c>
      <c r="C268" t="s">
        <v>73</v>
      </c>
    </row>
    <row r="269" spans="1:3" x14ac:dyDescent="0.25">
      <c r="A269">
        <v>11</v>
      </c>
      <c r="B269" t="s">
        <v>37</v>
      </c>
      <c r="C269" t="s">
        <v>93</v>
      </c>
    </row>
    <row r="270" spans="1:3" x14ac:dyDescent="0.25">
      <c r="A270">
        <v>142</v>
      </c>
      <c r="B270" t="s">
        <v>35</v>
      </c>
      <c r="C270" t="s">
        <v>38</v>
      </c>
    </row>
    <row r="271" spans="1:3" x14ac:dyDescent="0.25">
      <c r="A271">
        <v>466</v>
      </c>
      <c r="B271" t="s">
        <v>35</v>
      </c>
      <c r="C271" t="s">
        <v>34</v>
      </c>
    </row>
    <row r="272" spans="1:3" x14ac:dyDescent="0.25">
      <c r="A272">
        <v>71</v>
      </c>
      <c r="B272" t="s">
        <v>69</v>
      </c>
      <c r="C272" t="s">
        <v>68</v>
      </c>
    </row>
    <row r="273" spans="1:3" x14ac:dyDescent="0.25">
      <c r="A273">
        <v>480</v>
      </c>
      <c r="B273" t="s">
        <v>44</v>
      </c>
      <c r="C273" t="s">
        <v>65</v>
      </c>
    </row>
    <row r="274" spans="1:3" x14ac:dyDescent="0.25">
      <c r="A274">
        <v>129</v>
      </c>
      <c r="B274" t="s">
        <v>108</v>
      </c>
      <c r="C274" t="s">
        <v>110</v>
      </c>
    </row>
    <row r="275" spans="1:3" x14ac:dyDescent="0.25">
      <c r="A275">
        <v>283</v>
      </c>
      <c r="B275" t="s">
        <v>48</v>
      </c>
      <c r="C275" t="s">
        <v>80</v>
      </c>
    </row>
    <row r="276" spans="1:3" x14ac:dyDescent="0.25">
      <c r="A276">
        <v>313</v>
      </c>
      <c r="B276" t="s">
        <v>48</v>
      </c>
      <c r="C276" t="s">
        <v>64</v>
      </c>
    </row>
    <row r="277" spans="1:3" x14ac:dyDescent="0.25">
      <c r="A277">
        <v>18</v>
      </c>
      <c r="B277" t="s">
        <v>55</v>
      </c>
      <c r="C277" t="s">
        <v>54</v>
      </c>
    </row>
    <row r="278" spans="1:3" x14ac:dyDescent="0.25">
      <c r="A278">
        <v>145</v>
      </c>
      <c r="B278" t="s">
        <v>31</v>
      </c>
      <c r="C278" t="s">
        <v>30</v>
      </c>
    </row>
    <row r="279" spans="1:3" x14ac:dyDescent="0.25">
      <c r="A279">
        <v>491</v>
      </c>
      <c r="B279" t="s">
        <v>31</v>
      </c>
      <c r="C279" t="s">
        <v>95</v>
      </c>
    </row>
    <row r="280" spans="1:3" x14ac:dyDescent="0.25">
      <c r="A280">
        <v>29</v>
      </c>
      <c r="B280" t="s">
        <v>76</v>
      </c>
      <c r="C280" t="s">
        <v>75</v>
      </c>
    </row>
    <row r="281" spans="1:3" x14ac:dyDescent="0.25">
      <c r="A281">
        <v>50</v>
      </c>
      <c r="B281" t="s">
        <v>33</v>
      </c>
      <c r="C281" t="s">
        <v>51</v>
      </c>
    </row>
    <row r="282" spans="1:3" x14ac:dyDescent="0.25">
      <c r="A282">
        <v>336</v>
      </c>
      <c r="B282" t="s">
        <v>72</v>
      </c>
      <c r="C282" t="s">
        <v>71</v>
      </c>
    </row>
    <row r="283" spans="1:3" x14ac:dyDescent="0.25">
      <c r="A283">
        <v>440</v>
      </c>
      <c r="B283" t="s">
        <v>35</v>
      </c>
      <c r="C283" t="s">
        <v>38</v>
      </c>
    </row>
    <row r="284" spans="1:3" x14ac:dyDescent="0.25">
      <c r="A284">
        <v>51</v>
      </c>
      <c r="B284" t="s">
        <v>57</v>
      </c>
      <c r="C284" t="s">
        <v>78</v>
      </c>
    </row>
    <row r="285" spans="1:3" x14ac:dyDescent="0.25">
      <c r="A285">
        <v>371</v>
      </c>
      <c r="B285" t="s">
        <v>29</v>
      </c>
      <c r="C285" t="s">
        <v>89</v>
      </c>
    </row>
    <row r="286" spans="1:3" x14ac:dyDescent="0.25">
      <c r="A286">
        <v>14</v>
      </c>
      <c r="B286" t="s">
        <v>33</v>
      </c>
      <c r="C286" t="s">
        <v>112</v>
      </c>
    </row>
    <row r="287" spans="1:3" x14ac:dyDescent="0.25">
      <c r="A287">
        <v>312</v>
      </c>
      <c r="B287" t="s">
        <v>37</v>
      </c>
      <c r="C287" t="s">
        <v>111</v>
      </c>
    </row>
    <row r="288" spans="1:3" x14ac:dyDescent="0.25">
      <c r="A288">
        <v>477</v>
      </c>
      <c r="B288" t="s">
        <v>40</v>
      </c>
      <c r="C288" t="s">
        <v>91</v>
      </c>
    </row>
    <row r="289" spans="1:3" x14ac:dyDescent="0.25">
      <c r="A289">
        <v>91</v>
      </c>
      <c r="B289" t="s">
        <v>50</v>
      </c>
      <c r="C289" t="s">
        <v>49</v>
      </c>
    </row>
    <row r="290" spans="1:3" x14ac:dyDescent="0.25">
      <c r="A290">
        <v>52</v>
      </c>
      <c r="B290" t="s">
        <v>76</v>
      </c>
      <c r="C290" t="s">
        <v>75</v>
      </c>
    </row>
    <row r="291" spans="1:3" x14ac:dyDescent="0.25">
      <c r="A291">
        <v>383</v>
      </c>
      <c r="B291" t="s">
        <v>35</v>
      </c>
      <c r="C291" t="s">
        <v>38</v>
      </c>
    </row>
    <row r="292" spans="1:3" x14ac:dyDescent="0.25">
      <c r="A292">
        <v>252</v>
      </c>
      <c r="B292" t="s">
        <v>60</v>
      </c>
      <c r="C292" t="s">
        <v>70</v>
      </c>
    </row>
    <row r="293" spans="1:3" x14ac:dyDescent="0.25">
      <c r="A293">
        <v>365</v>
      </c>
      <c r="B293" t="s">
        <v>108</v>
      </c>
      <c r="C293" t="s">
        <v>110</v>
      </c>
    </row>
    <row r="294" spans="1:3" x14ac:dyDescent="0.25">
      <c r="A294">
        <v>420</v>
      </c>
      <c r="B294" t="s">
        <v>37</v>
      </c>
      <c r="C294" t="s">
        <v>87</v>
      </c>
    </row>
    <row r="295" spans="1:3" x14ac:dyDescent="0.25">
      <c r="A295">
        <v>97</v>
      </c>
      <c r="B295" t="s">
        <v>69</v>
      </c>
      <c r="C295" t="s">
        <v>100</v>
      </c>
    </row>
    <row r="296" spans="1:3" x14ac:dyDescent="0.25">
      <c r="A296">
        <v>47</v>
      </c>
      <c r="B296" t="s">
        <v>108</v>
      </c>
      <c r="C296" t="s">
        <v>109</v>
      </c>
    </row>
    <row r="297" spans="1:3" x14ac:dyDescent="0.25">
      <c r="A297">
        <v>187</v>
      </c>
      <c r="B297" t="s">
        <v>40</v>
      </c>
      <c r="C297" t="s">
        <v>39</v>
      </c>
    </row>
    <row r="298" spans="1:3" x14ac:dyDescent="0.25">
      <c r="A298">
        <v>429</v>
      </c>
      <c r="B298" t="s">
        <v>42</v>
      </c>
      <c r="C298" t="s">
        <v>67</v>
      </c>
    </row>
    <row r="299" spans="1:3" x14ac:dyDescent="0.25">
      <c r="A299">
        <v>93</v>
      </c>
      <c r="B299" t="s">
        <v>60</v>
      </c>
      <c r="C299" t="s">
        <v>107</v>
      </c>
    </row>
    <row r="300" spans="1:3" x14ac:dyDescent="0.25">
      <c r="A300">
        <v>198</v>
      </c>
      <c r="B300" t="s">
        <v>108</v>
      </c>
      <c r="C300" t="s">
        <v>14</v>
      </c>
    </row>
    <row r="301" spans="1:3" x14ac:dyDescent="0.25">
      <c r="A301">
        <v>362</v>
      </c>
      <c r="B301" t="s">
        <v>37</v>
      </c>
      <c r="C301" t="s">
        <v>93</v>
      </c>
    </row>
    <row r="302" spans="1:3" x14ac:dyDescent="0.25">
      <c r="A302">
        <v>461</v>
      </c>
      <c r="B302" t="s">
        <v>35</v>
      </c>
      <c r="C302" t="s">
        <v>34</v>
      </c>
    </row>
    <row r="303" spans="1:3" x14ac:dyDescent="0.25">
      <c r="A303">
        <v>84</v>
      </c>
      <c r="B303" t="s">
        <v>53</v>
      </c>
      <c r="C303" t="s">
        <v>52</v>
      </c>
    </row>
    <row r="304" spans="1:3" x14ac:dyDescent="0.25">
      <c r="A304">
        <v>172</v>
      </c>
      <c r="B304" t="s">
        <v>35</v>
      </c>
      <c r="C304" t="s">
        <v>34</v>
      </c>
    </row>
    <row r="305" spans="1:3" x14ac:dyDescent="0.25">
      <c r="A305">
        <v>171</v>
      </c>
      <c r="B305" t="s">
        <v>60</v>
      </c>
      <c r="C305" t="s">
        <v>107</v>
      </c>
    </row>
    <row r="306" spans="1:3" x14ac:dyDescent="0.25">
      <c r="A306">
        <v>194</v>
      </c>
      <c r="B306" t="s">
        <v>76</v>
      </c>
      <c r="C306" t="s">
        <v>106</v>
      </c>
    </row>
    <row r="307" spans="1:3" x14ac:dyDescent="0.25">
      <c r="A307">
        <v>235</v>
      </c>
      <c r="B307" t="s">
        <v>37</v>
      </c>
      <c r="C307" t="s">
        <v>93</v>
      </c>
    </row>
    <row r="308" spans="1:3" x14ac:dyDescent="0.25">
      <c r="A308">
        <v>458</v>
      </c>
      <c r="B308" t="s">
        <v>40</v>
      </c>
      <c r="C308" t="s">
        <v>91</v>
      </c>
    </row>
    <row r="309" spans="1:3" x14ac:dyDescent="0.25">
      <c r="A309">
        <v>193</v>
      </c>
      <c r="B309" t="s">
        <v>76</v>
      </c>
      <c r="C309" t="s">
        <v>106</v>
      </c>
    </row>
    <row r="310" spans="1:3" x14ac:dyDescent="0.25">
      <c r="A310">
        <v>450</v>
      </c>
      <c r="B310" t="s">
        <v>37</v>
      </c>
      <c r="C310" t="s">
        <v>87</v>
      </c>
    </row>
    <row r="311" spans="1:3" x14ac:dyDescent="0.25">
      <c r="A311">
        <v>163</v>
      </c>
      <c r="B311" t="s">
        <v>76</v>
      </c>
      <c r="C311" t="s">
        <v>96</v>
      </c>
    </row>
    <row r="312" spans="1:3" x14ac:dyDescent="0.25">
      <c r="A312">
        <v>12</v>
      </c>
      <c r="B312" t="s">
        <v>40</v>
      </c>
      <c r="C312" t="s">
        <v>101</v>
      </c>
    </row>
    <row r="313" spans="1:3" x14ac:dyDescent="0.25">
      <c r="A313">
        <v>61</v>
      </c>
      <c r="B313" t="s">
        <v>46</v>
      </c>
      <c r="C313" t="s">
        <v>66</v>
      </c>
    </row>
    <row r="314" spans="1:3" x14ac:dyDescent="0.25">
      <c r="A314">
        <v>15</v>
      </c>
      <c r="B314" t="s">
        <v>29</v>
      </c>
      <c r="C314" t="s">
        <v>94</v>
      </c>
    </row>
    <row r="315" spans="1:3" x14ac:dyDescent="0.25">
      <c r="A315">
        <v>90</v>
      </c>
      <c r="B315" t="s">
        <v>53</v>
      </c>
      <c r="C315" t="s">
        <v>105</v>
      </c>
    </row>
    <row r="316" spans="1:3" x14ac:dyDescent="0.25">
      <c r="A316">
        <v>396</v>
      </c>
      <c r="B316" t="s">
        <v>44</v>
      </c>
      <c r="C316" t="s">
        <v>43</v>
      </c>
    </row>
    <row r="317" spans="1:3" x14ac:dyDescent="0.25">
      <c r="A317">
        <v>481</v>
      </c>
      <c r="B317" t="s">
        <v>72</v>
      </c>
      <c r="C317" t="s">
        <v>102</v>
      </c>
    </row>
    <row r="318" spans="1:3" x14ac:dyDescent="0.25">
      <c r="A318">
        <v>246</v>
      </c>
      <c r="B318" t="s">
        <v>50</v>
      </c>
      <c r="C318" t="s">
        <v>104</v>
      </c>
    </row>
    <row r="319" spans="1:3" x14ac:dyDescent="0.25">
      <c r="A319">
        <v>174</v>
      </c>
      <c r="B319" t="s">
        <v>60</v>
      </c>
      <c r="C319" t="s">
        <v>88</v>
      </c>
    </row>
    <row r="320" spans="1:3" x14ac:dyDescent="0.25">
      <c r="A320">
        <v>479</v>
      </c>
      <c r="B320" t="s">
        <v>31</v>
      </c>
      <c r="C320" t="s">
        <v>103</v>
      </c>
    </row>
    <row r="321" spans="1:3" x14ac:dyDescent="0.25">
      <c r="A321">
        <v>224</v>
      </c>
      <c r="B321" t="s">
        <v>72</v>
      </c>
      <c r="C321" t="s">
        <v>102</v>
      </c>
    </row>
    <row r="322" spans="1:3" x14ac:dyDescent="0.25">
      <c r="A322">
        <v>42</v>
      </c>
      <c r="B322" t="s">
        <v>90</v>
      </c>
      <c r="C322" t="s">
        <v>63</v>
      </c>
    </row>
    <row r="323" spans="1:3" x14ac:dyDescent="0.25">
      <c r="A323">
        <v>267</v>
      </c>
      <c r="B323" t="s">
        <v>31</v>
      </c>
      <c r="C323" t="s">
        <v>30</v>
      </c>
    </row>
    <row r="324" spans="1:3" x14ac:dyDescent="0.25">
      <c r="A324">
        <v>161</v>
      </c>
      <c r="B324" t="s">
        <v>44</v>
      </c>
      <c r="C324" t="s">
        <v>99</v>
      </c>
    </row>
    <row r="325" spans="1:3" x14ac:dyDescent="0.25">
      <c r="A325">
        <v>315</v>
      </c>
      <c r="B325" t="s">
        <v>46</v>
      </c>
      <c r="C325" t="s">
        <v>45</v>
      </c>
    </row>
    <row r="326" spans="1:3" x14ac:dyDescent="0.25">
      <c r="A326">
        <v>121</v>
      </c>
      <c r="B326" t="s">
        <v>72</v>
      </c>
      <c r="C326" t="s">
        <v>102</v>
      </c>
    </row>
    <row r="327" spans="1:3" x14ac:dyDescent="0.25">
      <c r="A327">
        <v>433</v>
      </c>
      <c r="B327" t="s">
        <v>55</v>
      </c>
      <c r="C327" t="s">
        <v>54</v>
      </c>
    </row>
    <row r="328" spans="1:3" x14ac:dyDescent="0.25">
      <c r="A328">
        <v>453</v>
      </c>
      <c r="B328" t="s">
        <v>40</v>
      </c>
      <c r="C328" t="s">
        <v>101</v>
      </c>
    </row>
    <row r="329" spans="1:3" x14ac:dyDescent="0.25">
      <c r="A329">
        <v>248</v>
      </c>
      <c r="B329" t="s">
        <v>48</v>
      </c>
      <c r="C329" t="s">
        <v>83</v>
      </c>
    </row>
    <row r="330" spans="1:3" x14ac:dyDescent="0.25">
      <c r="A330">
        <v>492</v>
      </c>
      <c r="B330" t="s">
        <v>55</v>
      </c>
      <c r="C330" t="s">
        <v>86</v>
      </c>
    </row>
    <row r="331" spans="1:3" x14ac:dyDescent="0.25">
      <c r="A331">
        <v>122</v>
      </c>
      <c r="B331" t="s">
        <v>35</v>
      </c>
      <c r="C331" t="s">
        <v>58</v>
      </c>
    </row>
    <row r="332" spans="1:3" x14ac:dyDescent="0.25">
      <c r="A332">
        <v>62</v>
      </c>
      <c r="B332" t="s">
        <v>55</v>
      </c>
      <c r="C332" t="s">
        <v>97</v>
      </c>
    </row>
    <row r="333" spans="1:3" x14ac:dyDescent="0.25">
      <c r="A333">
        <v>119</v>
      </c>
      <c r="B333" t="s">
        <v>69</v>
      </c>
      <c r="C333" t="s">
        <v>100</v>
      </c>
    </row>
    <row r="334" spans="1:3" x14ac:dyDescent="0.25">
      <c r="A334">
        <v>388</v>
      </c>
      <c r="B334" t="s">
        <v>55</v>
      </c>
      <c r="C334" t="s">
        <v>54</v>
      </c>
    </row>
    <row r="335" spans="1:3" x14ac:dyDescent="0.25">
      <c r="A335">
        <v>66</v>
      </c>
      <c r="B335" t="s">
        <v>53</v>
      </c>
      <c r="C335" t="s">
        <v>84</v>
      </c>
    </row>
    <row r="336" spans="1:3" x14ac:dyDescent="0.25">
      <c r="A336">
        <v>125</v>
      </c>
      <c r="B336" t="s">
        <v>90</v>
      </c>
      <c r="C336" t="s">
        <v>85</v>
      </c>
    </row>
    <row r="337" spans="1:3" x14ac:dyDescent="0.25">
      <c r="A337">
        <v>274</v>
      </c>
      <c r="B337" t="s">
        <v>44</v>
      </c>
      <c r="C337" t="s">
        <v>99</v>
      </c>
    </row>
    <row r="338" spans="1:3" x14ac:dyDescent="0.25">
      <c r="A338">
        <v>471</v>
      </c>
      <c r="B338" t="s">
        <v>31</v>
      </c>
      <c r="C338" t="s">
        <v>95</v>
      </c>
    </row>
    <row r="339" spans="1:3" x14ac:dyDescent="0.25">
      <c r="A339">
        <v>395</v>
      </c>
      <c r="B339" t="s">
        <v>76</v>
      </c>
      <c r="C339" t="s">
        <v>79</v>
      </c>
    </row>
    <row r="340" spans="1:3" x14ac:dyDescent="0.25">
      <c r="A340">
        <v>474</v>
      </c>
      <c r="B340" t="s">
        <v>44</v>
      </c>
      <c r="C340" t="s">
        <v>99</v>
      </c>
    </row>
    <row r="341" spans="1:3" x14ac:dyDescent="0.25">
      <c r="A341">
        <v>63</v>
      </c>
      <c r="B341" t="s">
        <v>55</v>
      </c>
      <c r="C341" t="s">
        <v>97</v>
      </c>
    </row>
    <row r="342" spans="1:3" x14ac:dyDescent="0.25">
      <c r="A342">
        <v>89</v>
      </c>
      <c r="B342" t="s">
        <v>48</v>
      </c>
      <c r="C342" t="s">
        <v>80</v>
      </c>
    </row>
    <row r="343" spans="1:3" x14ac:dyDescent="0.25">
      <c r="A343">
        <v>27</v>
      </c>
      <c r="B343" t="s">
        <v>40</v>
      </c>
      <c r="C343" t="s">
        <v>39</v>
      </c>
    </row>
    <row r="344" spans="1:3" x14ac:dyDescent="0.25">
      <c r="A344">
        <v>127</v>
      </c>
      <c r="B344" t="s">
        <v>31</v>
      </c>
      <c r="C344" t="s">
        <v>30</v>
      </c>
    </row>
    <row r="345" spans="1:3" x14ac:dyDescent="0.25">
      <c r="A345">
        <v>426</v>
      </c>
      <c r="B345" t="s">
        <v>69</v>
      </c>
      <c r="C345" t="s">
        <v>98</v>
      </c>
    </row>
    <row r="346" spans="1:3" x14ac:dyDescent="0.25">
      <c r="A346">
        <v>355</v>
      </c>
      <c r="B346" t="s">
        <v>53</v>
      </c>
      <c r="C346" t="s">
        <v>82</v>
      </c>
    </row>
    <row r="347" spans="1:3" x14ac:dyDescent="0.25">
      <c r="A347">
        <v>113</v>
      </c>
      <c r="B347" t="s">
        <v>33</v>
      </c>
      <c r="C347" t="s">
        <v>51</v>
      </c>
    </row>
    <row r="348" spans="1:3" x14ac:dyDescent="0.25">
      <c r="A348">
        <v>291</v>
      </c>
      <c r="B348" t="s">
        <v>55</v>
      </c>
      <c r="C348" t="s">
        <v>97</v>
      </c>
    </row>
    <row r="349" spans="1:3" x14ac:dyDescent="0.25">
      <c r="A349">
        <v>182</v>
      </c>
      <c r="B349" t="s">
        <v>76</v>
      </c>
      <c r="C349" t="s">
        <v>96</v>
      </c>
    </row>
    <row r="350" spans="1:3" x14ac:dyDescent="0.25">
      <c r="A350">
        <v>105</v>
      </c>
      <c r="B350" t="s">
        <v>35</v>
      </c>
      <c r="C350" t="s">
        <v>58</v>
      </c>
    </row>
    <row r="351" spans="1:3" x14ac:dyDescent="0.25">
      <c r="A351">
        <v>199</v>
      </c>
      <c r="B351" t="s">
        <v>40</v>
      </c>
      <c r="C351" t="s">
        <v>91</v>
      </c>
    </row>
    <row r="352" spans="1:3" x14ac:dyDescent="0.25">
      <c r="A352">
        <v>211</v>
      </c>
      <c r="B352" t="s">
        <v>31</v>
      </c>
      <c r="C352" t="s">
        <v>62</v>
      </c>
    </row>
    <row r="353" spans="1:3" x14ac:dyDescent="0.25">
      <c r="A353">
        <v>22</v>
      </c>
      <c r="B353" t="s">
        <v>48</v>
      </c>
      <c r="C353" t="s">
        <v>64</v>
      </c>
    </row>
    <row r="354" spans="1:3" x14ac:dyDescent="0.25">
      <c r="A354">
        <v>150</v>
      </c>
      <c r="B354" t="s">
        <v>55</v>
      </c>
      <c r="C354" t="s">
        <v>54</v>
      </c>
    </row>
    <row r="355" spans="1:3" x14ac:dyDescent="0.25">
      <c r="A355">
        <v>191</v>
      </c>
      <c r="B355" t="s">
        <v>57</v>
      </c>
      <c r="C355" t="s">
        <v>81</v>
      </c>
    </row>
    <row r="356" spans="1:3" x14ac:dyDescent="0.25">
      <c r="A356">
        <v>245</v>
      </c>
      <c r="B356" t="s">
        <v>29</v>
      </c>
      <c r="C356" t="s">
        <v>61</v>
      </c>
    </row>
    <row r="357" spans="1:3" x14ac:dyDescent="0.25">
      <c r="A357">
        <v>154</v>
      </c>
      <c r="B357" t="s">
        <v>31</v>
      </c>
      <c r="C357" t="s">
        <v>95</v>
      </c>
    </row>
    <row r="358" spans="1:3" x14ac:dyDescent="0.25">
      <c r="A358">
        <v>266</v>
      </c>
      <c r="B358" t="s">
        <v>55</v>
      </c>
      <c r="C358" t="s">
        <v>54</v>
      </c>
    </row>
    <row r="359" spans="1:3" x14ac:dyDescent="0.25">
      <c r="A359">
        <v>143</v>
      </c>
      <c r="B359" t="s">
        <v>29</v>
      </c>
      <c r="C359" t="s">
        <v>94</v>
      </c>
    </row>
    <row r="360" spans="1:3" x14ac:dyDescent="0.25">
      <c r="A360">
        <v>475</v>
      </c>
      <c r="B360" t="s">
        <v>37</v>
      </c>
      <c r="C360" t="s">
        <v>93</v>
      </c>
    </row>
    <row r="361" spans="1:3" x14ac:dyDescent="0.25">
      <c r="A361">
        <v>292</v>
      </c>
      <c r="B361" t="s">
        <v>57</v>
      </c>
      <c r="C361" t="s">
        <v>78</v>
      </c>
    </row>
    <row r="362" spans="1:3" x14ac:dyDescent="0.25">
      <c r="A362">
        <v>307</v>
      </c>
      <c r="B362" t="s">
        <v>50</v>
      </c>
      <c r="C362" t="s">
        <v>92</v>
      </c>
    </row>
    <row r="363" spans="1:3" x14ac:dyDescent="0.25">
      <c r="A363">
        <v>39</v>
      </c>
      <c r="B363" t="s">
        <v>50</v>
      </c>
      <c r="C363" t="s">
        <v>49</v>
      </c>
    </row>
    <row r="364" spans="1:3" x14ac:dyDescent="0.25">
      <c r="A364">
        <v>316</v>
      </c>
      <c r="B364" t="s">
        <v>40</v>
      </c>
      <c r="C364" t="s">
        <v>91</v>
      </c>
    </row>
    <row r="365" spans="1:3" x14ac:dyDescent="0.25">
      <c r="A365">
        <v>228</v>
      </c>
      <c r="B365" t="s">
        <v>90</v>
      </c>
      <c r="C365" t="s">
        <v>63</v>
      </c>
    </row>
    <row r="366" spans="1:3" x14ac:dyDescent="0.25">
      <c r="A366">
        <v>269</v>
      </c>
      <c r="B366" t="s">
        <v>29</v>
      </c>
      <c r="C366" t="s">
        <v>89</v>
      </c>
    </row>
    <row r="367" spans="1:3" x14ac:dyDescent="0.25">
      <c r="A367">
        <v>151</v>
      </c>
      <c r="B367" t="s">
        <v>44</v>
      </c>
      <c r="C367" t="s">
        <v>65</v>
      </c>
    </row>
    <row r="368" spans="1:3" x14ac:dyDescent="0.25">
      <c r="A368">
        <v>101</v>
      </c>
      <c r="B368" t="s">
        <v>60</v>
      </c>
      <c r="C368" t="s">
        <v>88</v>
      </c>
    </row>
    <row r="369" spans="1:3" x14ac:dyDescent="0.25">
      <c r="A369">
        <v>411</v>
      </c>
      <c r="B369" t="s">
        <v>37</v>
      </c>
      <c r="C369" t="s">
        <v>87</v>
      </c>
    </row>
    <row r="370" spans="1:3" x14ac:dyDescent="0.25">
      <c r="A370">
        <v>381</v>
      </c>
      <c r="B370" t="s">
        <v>55</v>
      </c>
      <c r="C370" t="s">
        <v>86</v>
      </c>
    </row>
    <row r="371" spans="1:3" x14ac:dyDescent="0.25">
      <c r="A371">
        <v>400</v>
      </c>
      <c r="B371" t="s">
        <v>44</v>
      </c>
      <c r="C371" t="s">
        <v>65</v>
      </c>
    </row>
    <row r="372" spans="1:3" x14ac:dyDescent="0.25">
      <c r="A372">
        <v>55</v>
      </c>
      <c r="B372" t="s">
        <v>42</v>
      </c>
      <c r="C372" t="s">
        <v>85</v>
      </c>
    </row>
    <row r="373" spans="1:3" x14ac:dyDescent="0.25">
      <c r="A373">
        <v>372</v>
      </c>
      <c r="B373" t="s">
        <v>53</v>
      </c>
      <c r="C373" t="s">
        <v>84</v>
      </c>
    </row>
    <row r="374" spans="1:3" x14ac:dyDescent="0.25">
      <c r="A374">
        <v>80</v>
      </c>
      <c r="B374" t="s">
        <v>48</v>
      </c>
      <c r="C374" t="s">
        <v>83</v>
      </c>
    </row>
    <row r="375" spans="1:3" x14ac:dyDescent="0.25">
      <c r="A375">
        <v>413</v>
      </c>
      <c r="B375" t="s">
        <v>53</v>
      </c>
      <c r="C375" t="s">
        <v>82</v>
      </c>
    </row>
    <row r="376" spans="1:3" x14ac:dyDescent="0.25">
      <c r="A376">
        <v>46</v>
      </c>
      <c r="B376" t="s">
        <v>46</v>
      </c>
      <c r="C376" t="s">
        <v>77</v>
      </c>
    </row>
    <row r="377" spans="1:3" x14ac:dyDescent="0.25">
      <c r="A377">
        <v>1</v>
      </c>
      <c r="B377" t="s">
        <v>42</v>
      </c>
      <c r="C377" t="s">
        <v>41</v>
      </c>
    </row>
    <row r="378" spans="1:3" x14ac:dyDescent="0.25">
      <c r="A378">
        <v>478</v>
      </c>
      <c r="B378" t="s">
        <v>48</v>
      </c>
      <c r="C378" t="s">
        <v>80</v>
      </c>
    </row>
    <row r="379" spans="1:3" x14ac:dyDescent="0.25">
      <c r="A379">
        <v>456</v>
      </c>
      <c r="B379" t="s">
        <v>57</v>
      </c>
      <c r="C379" t="s">
        <v>81</v>
      </c>
    </row>
    <row r="380" spans="1:3" x14ac:dyDescent="0.25">
      <c r="A380">
        <v>38</v>
      </c>
      <c r="B380" t="s">
        <v>48</v>
      </c>
      <c r="C380" t="s">
        <v>80</v>
      </c>
    </row>
    <row r="381" spans="1:3" x14ac:dyDescent="0.25">
      <c r="A381">
        <v>134</v>
      </c>
      <c r="B381" t="s">
        <v>55</v>
      </c>
      <c r="C381" t="s">
        <v>54</v>
      </c>
    </row>
    <row r="382" spans="1:3" x14ac:dyDescent="0.25">
      <c r="A382">
        <v>77</v>
      </c>
      <c r="B382" t="s">
        <v>40</v>
      </c>
      <c r="C382" t="s">
        <v>39</v>
      </c>
    </row>
    <row r="383" spans="1:3" x14ac:dyDescent="0.25">
      <c r="A383">
        <v>455</v>
      </c>
      <c r="B383" t="s">
        <v>76</v>
      </c>
      <c r="C383" t="s">
        <v>79</v>
      </c>
    </row>
    <row r="384" spans="1:3" x14ac:dyDescent="0.25">
      <c r="A384">
        <v>218</v>
      </c>
      <c r="B384" t="s">
        <v>57</v>
      </c>
      <c r="C384" t="s">
        <v>78</v>
      </c>
    </row>
    <row r="385" spans="1:3" x14ac:dyDescent="0.25">
      <c r="A385">
        <v>263</v>
      </c>
      <c r="B385" t="s">
        <v>46</v>
      </c>
      <c r="C385" t="s">
        <v>77</v>
      </c>
    </row>
    <row r="386" spans="1:3" x14ac:dyDescent="0.25">
      <c r="A386">
        <v>254</v>
      </c>
      <c r="B386" t="s">
        <v>76</v>
      </c>
      <c r="C386" t="s">
        <v>75</v>
      </c>
    </row>
    <row r="387" spans="1:3" x14ac:dyDescent="0.25">
      <c r="A387">
        <v>370</v>
      </c>
      <c r="B387" t="s">
        <v>33</v>
      </c>
      <c r="C387" t="s">
        <v>32</v>
      </c>
    </row>
    <row r="388" spans="1:3" x14ac:dyDescent="0.25">
      <c r="A388">
        <v>301</v>
      </c>
      <c r="B388" t="s">
        <v>35</v>
      </c>
      <c r="C388" t="s">
        <v>74</v>
      </c>
    </row>
    <row r="389" spans="1:3" x14ac:dyDescent="0.25">
      <c r="A389">
        <v>259</v>
      </c>
      <c r="B389" t="s">
        <v>46</v>
      </c>
      <c r="C389" t="s">
        <v>73</v>
      </c>
    </row>
    <row r="390" spans="1:3" x14ac:dyDescent="0.25">
      <c r="A390">
        <v>468</v>
      </c>
      <c r="B390" t="s">
        <v>46</v>
      </c>
      <c r="C390" t="s">
        <v>45</v>
      </c>
    </row>
    <row r="391" spans="1:3" x14ac:dyDescent="0.25">
      <c r="A391">
        <v>200</v>
      </c>
      <c r="B391" t="s">
        <v>72</v>
      </c>
      <c r="C391" t="s">
        <v>71</v>
      </c>
    </row>
    <row r="392" spans="1:3" x14ac:dyDescent="0.25">
      <c r="A392">
        <v>354</v>
      </c>
      <c r="B392" t="s">
        <v>60</v>
      </c>
      <c r="C392" t="s">
        <v>70</v>
      </c>
    </row>
    <row r="393" spans="1:3" x14ac:dyDescent="0.25">
      <c r="A393">
        <v>460</v>
      </c>
      <c r="B393" t="s">
        <v>53</v>
      </c>
      <c r="C393" t="s">
        <v>52</v>
      </c>
    </row>
    <row r="394" spans="1:3" x14ac:dyDescent="0.25">
      <c r="A394">
        <v>184</v>
      </c>
      <c r="B394" t="s">
        <v>48</v>
      </c>
      <c r="C394" t="s">
        <v>47</v>
      </c>
    </row>
    <row r="395" spans="1:3" x14ac:dyDescent="0.25">
      <c r="A395">
        <v>308</v>
      </c>
      <c r="B395" t="s">
        <v>48</v>
      </c>
      <c r="C395" t="s">
        <v>64</v>
      </c>
    </row>
    <row r="396" spans="1:3" x14ac:dyDescent="0.25">
      <c r="A396">
        <v>407</v>
      </c>
      <c r="B396" t="s">
        <v>48</v>
      </c>
      <c r="C396" t="s">
        <v>47</v>
      </c>
    </row>
    <row r="397" spans="1:3" x14ac:dyDescent="0.25">
      <c r="A397">
        <v>148</v>
      </c>
      <c r="B397" t="s">
        <v>33</v>
      </c>
      <c r="C397" t="s">
        <v>32</v>
      </c>
    </row>
    <row r="398" spans="1:3" x14ac:dyDescent="0.25">
      <c r="A398">
        <v>152</v>
      </c>
      <c r="B398" t="s">
        <v>69</v>
      </c>
      <c r="C398" t="s">
        <v>68</v>
      </c>
    </row>
    <row r="399" spans="1:3" x14ac:dyDescent="0.25">
      <c r="A399">
        <v>326</v>
      </c>
      <c r="B399" t="s">
        <v>42</v>
      </c>
      <c r="C399" t="s">
        <v>67</v>
      </c>
    </row>
    <row r="400" spans="1:3" x14ac:dyDescent="0.25">
      <c r="A400">
        <v>352</v>
      </c>
      <c r="B400" t="s">
        <v>46</v>
      </c>
      <c r="C400" t="s">
        <v>66</v>
      </c>
    </row>
    <row r="401" spans="1:3" x14ac:dyDescent="0.25">
      <c r="A401">
        <v>44</v>
      </c>
      <c r="B401" t="s">
        <v>44</v>
      </c>
      <c r="C401" t="s">
        <v>65</v>
      </c>
    </row>
    <row r="402" spans="1:3" x14ac:dyDescent="0.25">
      <c r="A402">
        <v>183</v>
      </c>
      <c r="B402" t="s">
        <v>48</v>
      </c>
      <c r="C402" t="s">
        <v>64</v>
      </c>
    </row>
    <row r="403" spans="1:3" x14ac:dyDescent="0.25">
      <c r="A403">
        <v>88</v>
      </c>
      <c r="B403" t="s">
        <v>42</v>
      </c>
      <c r="C403" t="s">
        <v>63</v>
      </c>
    </row>
    <row r="404" spans="1:3" x14ac:dyDescent="0.25">
      <c r="A404">
        <v>347</v>
      </c>
      <c r="B404" t="s">
        <v>40</v>
      </c>
      <c r="C404" t="s">
        <v>39</v>
      </c>
    </row>
    <row r="405" spans="1:3" x14ac:dyDescent="0.25">
      <c r="A405">
        <v>342</v>
      </c>
      <c r="B405" t="s">
        <v>31</v>
      </c>
      <c r="C405" t="s">
        <v>62</v>
      </c>
    </row>
    <row r="406" spans="1:3" x14ac:dyDescent="0.25">
      <c r="A406">
        <v>59</v>
      </c>
      <c r="B406" t="s">
        <v>29</v>
      </c>
      <c r="C406" t="s">
        <v>61</v>
      </c>
    </row>
    <row r="407" spans="1:3" x14ac:dyDescent="0.25">
      <c r="A407">
        <v>16</v>
      </c>
      <c r="B407" t="s">
        <v>50</v>
      </c>
      <c r="C407" t="s">
        <v>49</v>
      </c>
    </row>
    <row r="408" spans="1:3" x14ac:dyDescent="0.25">
      <c r="A408">
        <v>220</v>
      </c>
      <c r="B408" t="s">
        <v>60</v>
      </c>
      <c r="C408" t="s">
        <v>59</v>
      </c>
    </row>
    <row r="409" spans="1:3" x14ac:dyDescent="0.25">
      <c r="A409">
        <v>439</v>
      </c>
      <c r="B409" t="s">
        <v>33</v>
      </c>
      <c r="C409" t="s">
        <v>51</v>
      </c>
    </row>
    <row r="410" spans="1:3" x14ac:dyDescent="0.25">
      <c r="A410">
        <v>437</v>
      </c>
      <c r="B410" t="s">
        <v>60</v>
      </c>
      <c r="C410" t="s">
        <v>59</v>
      </c>
    </row>
    <row r="411" spans="1:3" x14ac:dyDescent="0.25">
      <c r="A411">
        <v>73</v>
      </c>
      <c r="B411" t="s">
        <v>37</v>
      </c>
      <c r="C411" t="s">
        <v>36</v>
      </c>
    </row>
    <row r="412" spans="1:3" x14ac:dyDescent="0.25">
      <c r="A412">
        <v>208</v>
      </c>
      <c r="B412" t="s">
        <v>48</v>
      </c>
      <c r="C412" t="s">
        <v>47</v>
      </c>
    </row>
    <row r="413" spans="1:3" x14ac:dyDescent="0.25">
      <c r="A413">
        <v>6</v>
      </c>
      <c r="B413" t="s">
        <v>35</v>
      </c>
      <c r="C413" t="s">
        <v>58</v>
      </c>
    </row>
    <row r="414" spans="1:3" x14ac:dyDescent="0.25">
      <c r="A414">
        <v>318</v>
      </c>
      <c r="B414" t="s">
        <v>44</v>
      </c>
      <c r="C414" t="s">
        <v>43</v>
      </c>
    </row>
    <row r="415" spans="1:3" x14ac:dyDescent="0.25">
      <c r="A415">
        <v>327</v>
      </c>
      <c r="B415" t="s">
        <v>57</v>
      </c>
      <c r="C415" t="s">
        <v>56</v>
      </c>
    </row>
    <row r="416" spans="1:3" x14ac:dyDescent="0.25">
      <c r="A416">
        <v>416</v>
      </c>
      <c r="B416" t="s">
        <v>55</v>
      </c>
      <c r="C416" t="s">
        <v>54</v>
      </c>
    </row>
    <row r="417" spans="1:3" x14ac:dyDescent="0.25">
      <c r="A417">
        <v>374</v>
      </c>
      <c r="B417" t="s">
        <v>53</v>
      </c>
      <c r="C417" t="s">
        <v>52</v>
      </c>
    </row>
    <row r="418" spans="1:3" x14ac:dyDescent="0.25">
      <c r="A418">
        <v>289</v>
      </c>
      <c r="B418" t="s">
        <v>33</v>
      </c>
      <c r="C418" t="s">
        <v>51</v>
      </c>
    </row>
    <row r="419" spans="1:3" x14ac:dyDescent="0.25">
      <c r="A419">
        <v>173</v>
      </c>
      <c r="B419" t="s">
        <v>33</v>
      </c>
      <c r="C419" t="s">
        <v>32</v>
      </c>
    </row>
    <row r="420" spans="1:3" x14ac:dyDescent="0.25">
      <c r="A420">
        <v>114</v>
      </c>
      <c r="B420" t="s">
        <v>50</v>
      </c>
      <c r="C420" t="s">
        <v>49</v>
      </c>
    </row>
    <row r="421" spans="1:3" x14ac:dyDescent="0.25">
      <c r="A421">
        <v>170</v>
      </c>
      <c r="B421" t="s">
        <v>48</v>
      </c>
      <c r="C421" t="s">
        <v>47</v>
      </c>
    </row>
    <row r="422" spans="1:3" x14ac:dyDescent="0.25">
      <c r="A422">
        <v>9</v>
      </c>
      <c r="B422" t="s">
        <v>46</v>
      </c>
      <c r="C422" t="s">
        <v>45</v>
      </c>
    </row>
    <row r="423" spans="1:3" x14ac:dyDescent="0.25">
      <c r="A423">
        <v>302</v>
      </c>
      <c r="B423" t="s">
        <v>44</v>
      </c>
      <c r="C423" t="s">
        <v>43</v>
      </c>
    </row>
    <row r="424" spans="1:3" x14ac:dyDescent="0.25">
      <c r="A424">
        <v>48</v>
      </c>
      <c r="B424" t="s">
        <v>35</v>
      </c>
      <c r="C424" t="s">
        <v>38</v>
      </c>
    </row>
    <row r="425" spans="1:3" x14ac:dyDescent="0.25">
      <c r="A425">
        <v>3</v>
      </c>
      <c r="B425" t="s">
        <v>42</v>
      </c>
      <c r="C425" t="s">
        <v>41</v>
      </c>
    </row>
    <row r="426" spans="1:3" x14ac:dyDescent="0.25">
      <c r="A426">
        <v>168</v>
      </c>
      <c r="B426" t="s">
        <v>42</v>
      </c>
      <c r="C426" t="s">
        <v>41</v>
      </c>
    </row>
    <row r="427" spans="1:3" x14ac:dyDescent="0.25">
      <c r="A427">
        <v>13</v>
      </c>
      <c r="B427" t="s">
        <v>40</v>
      </c>
      <c r="C427" t="s">
        <v>39</v>
      </c>
    </row>
    <row r="428" spans="1:3" x14ac:dyDescent="0.25">
      <c r="A428">
        <v>141</v>
      </c>
      <c r="B428" t="s">
        <v>35</v>
      </c>
      <c r="C428" t="s">
        <v>38</v>
      </c>
    </row>
    <row r="429" spans="1:3" x14ac:dyDescent="0.25">
      <c r="A429">
        <v>120</v>
      </c>
      <c r="B429" t="s">
        <v>37</v>
      </c>
      <c r="C429" t="s">
        <v>36</v>
      </c>
    </row>
    <row r="430" spans="1:3" x14ac:dyDescent="0.25">
      <c r="A430">
        <v>418</v>
      </c>
      <c r="B430" t="s">
        <v>35</v>
      </c>
      <c r="C430" t="s">
        <v>34</v>
      </c>
    </row>
    <row r="431" spans="1:3" x14ac:dyDescent="0.25">
      <c r="A431">
        <v>294</v>
      </c>
      <c r="B431" t="s">
        <v>33</v>
      </c>
      <c r="C431" t="s">
        <v>32</v>
      </c>
    </row>
    <row r="432" spans="1:3" x14ac:dyDescent="0.25">
      <c r="A432">
        <v>175</v>
      </c>
      <c r="B432" t="s">
        <v>31</v>
      </c>
      <c r="C432" t="s">
        <v>30</v>
      </c>
    </row>
    <row r="433" spans="1:3" x14ac:dyDescent="0.25">
      <c r="A433">
        <v>469</v>
      </c>
      <c r="B433" t="s">
        <v>29</v>
      </c>
      <c r="C433" t="s">
        <v>28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7134B-74C0-4841-84B8-D85592F2E2A4}">
  <dimension ref="A1:N30"/>
  <sheetViews>
    <sheetView showGridLines="0" workbookViewId="0">
      <selection activeCell="A5" sqref="A5"/>
    </sheetView>
  </sheetViews>
  <sheetFormatPr defaultRowHeight="15" x14ac:dyDescent="0.25"/>
  <cols>
    <col min="1" max="1" width="17.28515625" bestFit="1" customWidth="1"/>
    <col min="2" max="2" width="30.140625" bestFit="1" customWidth="1"/>
    <col min="3" max="3" width="58.85546875" customWidth="1"/>
    <col min="5" max="5" width="31.7109375" customWidth="1"/>
    <col min="6" max="6" width="8.5703125" customWidth="1"/>
    <col min="10" max="10" width="9.140625" customWidth="1"/>
    <col min="12" max="12" width="23.42578125" customWidth="1"/>
    <col min="13" max="13" width="9.28515625" customWidth="1"/>
  </cols>
  <sheetData>
    <row r="1" spans="1:5" x14ac:dyDescent="0.25">
      <c r="A1" s="12" t="s">
        <v>1139</v>
      </c>
      <c r="B1" s="13">
        <v>1</v>
      </c>
      <c r="D1">
        <f>LARGE(B:B,1)</f>
        <v>62</v>
      </c>
      <c r="E1" t="str">
        <f>_xlfn.XLOOKUP(D1,B:B,A:A,"не найдено",0)</f>
        <v>15-17</v>
      </c>
    </row>
    <row r="2" spans="1:5" x14ac:dyDescent="0.25">
      <c r="D2">
        <f>SMALL(B:B,2)</f>
        <v>5</v>
      </c>
      <c r="E2" t="str">
        <f>_xlfn.XLOOKUP(D2,B4:B271,A4:A271,"не найдено",0)</f>
        <v>1-3</v>
      </c>
    </row>
    <row r="3" spans="1:5" x14ac:dyDescent="0.25">
      <c r="A3" s="12" t="s">
        <v>1042</v>
      </c>
      <c r="B3" t="s">
        <v>1140</v>
      </c>
    </row>
    <row r="4" spans="1:5" ht="15" customHeight="1" x14ac:dyDescent="0.25">
      <c r="A4" s="57" t="s">
        <v>1153</v>
      </c>
      <c r="B4">
        <v>5</v>
      </c>
    </row>
    <row r="5" spans="1:5" ht="15" customHeight="1" x14ac:dyDescent="0.25">
      <c r="A5" s="57" t="s">
        <v>1154</v>
      </c>
      <c r="B5">
        <v>7</v>
      </c>
    </row>
    <row r="6" spans="1:5" ht="15" customHeight="1" x14ac:dyDescent="0.25">
      <c r="A6" s="57" t="s">
        <v>1155</v>
      </c>
      <c r="B6">
        <v>8</v>
      </c>
    </row>
    <row r="7" spans="1:5" ht="15" customHeight="1" x14ac:dyDescent="0.25">
      <c r="A7" s="57" t="s">
        <v>1156</v>
      </c>
      <c r="B7">
        <v>13</v>
      </c>
    </row>
    <row r="8" spans="1:5" x14ac:dyDescent="0.25">
      <c r="A8" s="57" t="s">
        <v>1157</v>
      </c>
      <c r="B8">
        <v>24</v>
      </c>
    </row>
    <row r="9" spans="1:5" x14ac:dyDescent="0.25">
      <c r="A9" s="57" t="s">
        <v>1158</v>
      </c>
      <c r="B9">
        <v>44</v>
      </c>
    </row>
    <row r="10" spans="1:5" x14ac:dyDescent="0.25">
      <c r="A10" s="57" t="s">
        <v>1159</v>
      </c>
      <c r="B10">
        <v>45</v>
      </c>
    </row>
    <row r="11" spans="1:5" x14ac:dyDescent="0.25">
      <c r="A11" s="57" t="s">
        <v>1160</v>
      </c>
      <c r="B11">
        <v>62</v>
      </c>
    </row>
    <row r="12" spans="1:5" x14ac:dyDescent="0.25">
      <c r="A12" s="57" t="s">
        <v>1161</v>
      </c>
      <c r="B12">
        <v>60</v>
      </c>
    </row>
    <row r="13" spans="1:5" x14ac:dyDescent="0.25">
      <c r="A13" s="57" t="s">
        <v>1162</v>
      </c>
      <c r="B13">
        <v>58</v>
      </c>
    </row>
    <row r="14" spans="1:5" x14ac:dyDescent="0.25">
      <c r="A14" s="57" t="s">
        <v>1163</v>
      </c>
      <c r="B14">
        <v>49</v>
      </c>
    </row>
    <row r="15" spans="1:5" x14ac:dyDescent="0.25">
      <c r="A15" s="57" t="s">
        <v>1164</v>
      </c>
      <c r="B15">
        <v>35</v>
      </c>
    </row>
    <row r="16" spans="1:5" x14ac:dyDescent="0.25">
      <c r="A16" s="57" t="s">
        <v>1165</v>
      </c>
      <c r="B16">
        <v>17</v>
      </c>
    </row>
    <row r="17" spans="1:14" x14ac:dyDescent="0.25">
      <c r="A17" s="57" t="s">
        <v>1166</v>
      </c>
      <c r="B17">
        <v>7</v>
      </c>
    </row>
    <row r="25" spans="1:14" ht="15" customHeight="1" x14ac:dyDescent="0.25">
      <c r="E25" s="55"/>
      <c r="F25" s="55"/>
      <c r="G25" s="55"/>
      <c r="H25" s="55"/>
      <c r="I25" s="55"/>
      <c r="J25" s="55"/>
      <c r="K25" s="55"/>
      <c r="L25" s="55"/>
      <c r="M25" s="55"/>
      <c r="N25" s="55"/>
    </row>
    <row r="26" spans="1:14" ht="15" customHeight="1" x14ac:dyDescent="0.25">
      <c r="E26" s="55"/>
      <c r="F26" s="55"/>
      <c r="G26" s="55"/>
      <c r="H26" s="55"/>
      <c r="I26" s="55"/>
      <c r="J26" s="55"/>
      <c r="K26" s="55"/>
      <c r="L26" s="55"/>
      <c r="M26" s="55"/>
      <c r="N26" s="55"/>
    </row>
    <row r="27" spans="1:14" ht="15" customHeight="1" x14ac:dyDescent="0.25"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</row>
    <row r="28" spans="1:14" ht="15" customHeight="1" x14ac:dyDescent="0.25"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</row>
    <row r="29" spans="1:14" ht="15" customHeight="1" x14ac:dyDescent="0.25"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</row>
    <row r="30" spans="1:14" x14ac:dyDescent="0.25">
      <c r="C30" t="s">
        <v>1144</v>
      </c>
      <c r="D30" t="str">
        <f>_xlfn.XLOOKUP(D1,B:B,A:A,"не найдено",0)</f>
        <v>15-17</v>
      </c>
      <c r="E30" t="s">
        <v>1146</v>
      </c>
      <c r="F30" t="str">
        <f>_xlfn.XLOOKUP(D2,B4:B271,A4:A271,"не найдено",0)</f>
        <v>1-3</v>
      </c>
      <c r="G30" s="13" t="s">
        <v>1145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EC92-7494-4AE1-920B-52F252917E49}">
  <dimension ref="A3:M19"/>
  <sheetViews>
    <sheetView showGridLines="0" workbookViewId="0">
      <selection activeCell="B4" sqref="B4:B8"/>
    </sheetView>
  </sheetViews>
  <sheetFormatPr defaultRowHeight="15" x14ac:dyDescent="0.25"/>
  <cols>
    <col min="1" max="1" width="17.28515625" bestFit="1" customWidth="1"/>
    <col min="2" max="3" width="30.140625" bestFit="1" customWidth="1"/>
  </cols>
  <sheetData>
    <row r="3" spans="1:2" x14ac:dyDescent="0.25">
      <c r="A3" s="12" t="s">
        <v>1042</v>
      </c>
      <c r="B3" t="s">
        <v>1140</v>
      </c>
    </row>
    <row r="4" spans="1:2" x14ac:dyDescent="0.25">
      <c r="A4" s="13" t="s">
        <v>137</v>
      </c>
      <c r="B4">
        <v>146</v>
      </c>
    </row>
    <row r="5" spans="1:2" x14ac:dyDescent="0.25">
      <c r="A5" s="13" t="s">
        <v>132</v>
      </c>
      <c r="B5">
        <v>85</v>
      </c>
    </row>
    <row r="6" spans="1:2" x14ac:dyDescent="0.25">
      <c r="A6" s="13" t="s">
        <v>128</v>
      </c>
      <c r="B6">
        <v>78</v>
      </c>
    </row>
    <row r="7" spans="1:2" x14ac:dyDescent="0.25">
      <c r="A7" s="13" t="s">
        <v>130</v>
      </c>
      <c r="B7">
        <v>74</v>
      </c>
    </row>
    <row r="8" spans="1:2" x14ac:dyDescent="0.25">
      <c r="A8" s="13" t="s">
        <v>134</v>
      </c>
      <c r="B8">
        <v>51</v>
      </c>
    </row>
    <row r="13" spans="1:2" x14ac:dyDescent="0.25">
      <c r="A13" s="12" t="s">
        <v>1042</v>
      </c>
      <c r="B13" t="s">
        <v>1140</v>
      </c>
    </row>
    <row r="14" spans="1:2" x14ac:dyDescent="0.25">
      <c r="A14" s="13" t="s">
        <v>137</v>
      </c>
      <c r="B14" s="34">
        <v>0.33640552995391704</v>
      </c>
    </row>
    <row r="15" spans="1:2" x14ac:dyDescent="0.25">
      <c r="A15" s="13" t="s">
        <v>132</v>
      </c>
      <c r="B15" s="34">
        <v>0.19585253456221199</v>
      </c>
    </row>
    <row r="16" spans="1:2" x14ac:dyDescent="0.25">
      <c r="A16" s="13" t="s">
        <v>128</v>
      </c>
      <c r="B16" s="34">
        <v>0.17972350230414746</v>
      </c>
    </row>
    <row r="17" spans="1:13" x14ac:dyDescent="0.25">
      <c r="A17" s="13" t="s">
        <v>130</v>
      </c>
      <c r="B17" s="34">
        <v>0.17050691244239632</v>
      </c>
    </row>
    <row r="18" spans="1:13" x14ac:dyDescent="0.25">
      <c r="A18" s="13" t="s">
        <v>134</v>
      </c>
      <c r="B18" s="34">
        <v>0.11751152073732719</v>
      </c>
    </row>
    <row r="19" spans="1:13" ht="15" customHeight="1" x14ac:dyDescent="0.25">
      <c r="A19" s="13" t="s">
        <v>1043</v>
      </c>
      <c r="B19" s="34">
        <v>1</v>
      </c>
      <c r="D19" s="56" t="s">
        <v>1081</v>
      </c>
      <c r="E19" s="56"/>
      <c r="F19" s="56"/>
      <c r="G19" s="56"/>
      <c r="H19" s="56"/>
      <c r="I19" s="56"/>
      <c r="J19" s="56"/>
      <c r="K19" s="56"/>
      <c r="L19" s="56"/>
      <c r="M19" s="56"/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showGridLines="0" workbookViewId="0">
      <selection activeCell="AG3" sqref="AG3"/>
    </sheetView>
  </sheetViews>
  <sheetFormatPr defaultRowHeight="15" x14ac:dyDescent="0.25"/>
  <cols>
    <col min="1" max="1" width="16.42578125" bestFit="1" customWidth="1"/>
    <col min="2" max="2" width="27" bestFit="1" customWidth="1"/>
  </cols>
  <sheetData>
    <row r="1" spans="1:2" x14ac:dyDescent="0.25">
      <c r="A1" s="12" t="s">
        <v>6</v>
      </c>
      <c r="B1" t="s">
        <v>1065</v>
      </c>
    </row>
    <row r="3" spans="1:2" x14ac:dyDescent="0.25">
      <c r="A3" s="12" t="s">
        <v>1064</v>
      </c>
      <c r="B3" t="s">
        <v>1044</v>
      </c>
    </row>
    <row r="4" spans="1:2" x14ac:dyDescent="0.25">
      <c r="A4" s="13" t="s">
        <v>1045</v>
      </c>
      <c r="B4" s="20">
        <v>2908895</v>
      </c>
    </row>
    <row r="5" spans="1:2" x14ac:dyDescent="0.25">
      <c r="A5" s="14" t="s">
        <v>1046</v>
      </c>
      <c r="B5" s="20">
        <v>240500</v>
      </c>
    </row>
    <row r="6" spans="1:2" x14ac:dyDescent="0.25">
      <c r="A6" s="14" t="s">
        <v>1047</v>
      </c>
      <c r="B6" s="20">
        <v>210180</v>
      </c>
    </row>
    <row r="7" spans="1:2" x14ac:dyDescent="0.25">
      <c r="A7" s="14" t="s">
        <v>1048</v>
      </c>
      <c r="B7" s="20">
        <v>251740</v>
      </c>
    </row>
    <row r="8" spans="1:2" x14ac:dyDescent="0.25">
      <c r="A8" s="14" t="s">
        <v>1049</v>
      </c>
      <c r="B8" s="20">
        <v>279760</v>
      </c>
    </row>
    <row r="9" spans="1:2" x14ac:dyDescent="0.25">
      <c r="A9" s="14" t="s">
        <v>1050</v>
      </c>
      <c r="B9" s="20">
        <v>210500</v>
      </c>
    </row>
    <row r="10" spans="1:2" x14ac:dyDescent="0.25">
      <c r="A10" s="14" t="s">
        <v>1051</v>
      </c>
      <c r="B10" s="20">
        <v>264125</v>
      </c>
    </row>
    <row r="11" spans="1:2" x14ac:dyDescent="0.25">
      <c r="A11" s="14" t="s">
        <v>1052</v>
      </c>
      <c r="B11" s="20">
        <v>245855</v>
      </c>
    </row>
    <row r="12" spans="1:2" x14ac:dyDescent="0.25">
      <c r="A12" s="14" t="s">
        <v>1053</v>
      </c>
      <c r="B12" s="20">
        <v>294065</v>
      </c>
    </row>
    <row r="13" spans="1:2" x14ac:dyDescent="0.25">
      <c r="A13" s="14" t="s">
        <v>1054</v>
      </c>
      <c r="B13" s="20">
        <v>259360</v>
      </c>
    </row>
    <row r="14" spans="1:2" x14ac:dyDescent="0.25">
      <c r="A14" s="14" t="s">
        <v>1055</v>
      </c>
      <c r="B14" s="20">
        <v>185800</v>
      </c>
    </row>
    <row r="15" spans="1:2" x14ac:dyDescent="0.25">
      <c r="A15" s="14" t="s">
        <v>1056</v>
      </c>
      <c r="B15" s="20">
        <v>215925</v>
      </c>
    </row>
    <row r="16" spans="1:2" x14ac:dyDescent="0.25">
      <c r="A16" s="14" t="s">
        <v>1057</v>
      </c>
      <c r="B16" s="20">
        <v>251085</v>
      </c>
    </row>
    <row r="17" spans="1:16" x14ac:dyDescent="0.25">
      <c r="A17" s="13" t="s">
        <v>1058</v>
      </c>
      <c r="B17" s="20">
        <v>1093270</v>
      </c>
    </row>
    <row r="18" spans="1:16" x14ac:dyDescent="0.25">
      <c r="A18" s="14" t="s">
        <v>1046</v>
      </c>
      <c r="B18" s="20">
        <v>239340</v>
      </c>
    </row>
    <row r="19" spans="1:16" x14ac:dyDescent="0.25">
      <c r="A19" s="14" t="s">
        <v>1047</v>
      </c>
      <c r="B19" s="20">
        <v>197745</v>
      </c>
    </row>
    <row r="20" spans="1:16" x14ac:dyDescent="0.25">
      <c r="A20" s="14" t="s">
        <v>1048</v>
      </c>
      <c r="B20" s="20">
        <v>299875</v>
      </c>
    </row>
    <row r="21" spans="1:16" x14ac:dyDescent="0.25">
      <c r="A21" s="14" t="s">
        <v>1049</v>
      </c>
      <c r="B21" s="20">
        <v>238095</v>
      </c>
    </row>
    <row r="22" spans="1:16" x14ac:dyDescent="0.25">
      <c r="A22" s="14" t="s">
        <v>1050</v>
      </c>
      <c r="B22" s="20">
        <v>118215</v>
      </c>
    </row>
    <row r="23" spans="1:16" x14ac:dyDescent="0.25">
      <c r="A23" s="13" t="s">
        <v>1043</v>
      </c>
      <c r="B23" s="20">
        <v>4002165</v>
      </c>
    </row>
    <row r="29" spans="1:16" ht="140.25" customHeight="1" x14ac:dyDescent="0.25">
      <c r="D29" s="83" t="s">
        <v>1071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</row>
  </sheetData>
  <mergeCells count="1">
    <mergeCell ref="D29:P29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showGridLines="0" workbookViewId="0">
      <selection activeCell="D30" sqref="D30:P30"/>
    </sheetView>
  </sheetViews>
  <sheetFormatPr defaultRowHeight="15" x14ac:dyDescent="0.25"/>
  <cols>
    <col min="1" max="1" width="16.42578125" bestFit="1" customWidth="1"/>
    <col min="2" max="2" width="27" bestFit="1" customWidth="1"/>
  </cols>
  <sheetData>
    <row r="1" spans="1:2" x14ac:dyDescent="0.25">
      <c r="A1" s="12" t="s">
        <v>6</v>
      </c>
      <c r="B1" t="s">
        <v>24</v>
      </c>
    </row>
    <row r="3" spans="1:2" x14ac:dyDescent="0.25">
      <c r="A3" s="12" t="s">
        <v>1064</v>
      </c>
      <c r="B3" t="s">
        <v>1044</v>
      </c>
    </row>
    <row r="4" spans="1:2" x14ac:dyDescent="0.25">
      <c r="A4" s="13" t="s">
        <v>1045</v>
      </c>
      <c r="B4" s="20">
        <v>119865</v>
      </c>
    </row>
    <row r="5" spans="1:2" x14ac:dyDescent="0.25">
      <c r="A5" s="14" t="s">
        <v>1046</v>
      </c>
      <c r="B5" s="20">
        <v>14415</v>
      </c>
    </row>
    <row r="6" spans="1:2" x14ac:dyDescent="0.25">
      <c r="A6" s="14" t="s">
        <v>1047</v>
      </c>
      <c r="B6" s="20">
        <v>10055</v>
      </c>
    </row>
    <row r="7" spans="1:2" x14ac:dyDescent="0.25">
      <c r="A7" s="14" t="s">
        <v>1048</v>
      </c>
      <c r="B7" s="20">
        <v>12625</v>
      </c>
    </row>
    <row r="8" spans="1:2" x14ac:dyDescent="0.25">
      <c r="A8" s="14" t="s">
        <v>1049</v>
      </c>
      <c r="B8" s="20">
        <v>17375</v>
      </c>
    </row>
    <row r="9" spans="1:2" x14ac:dyDescent="0.25">
      <c r="A9" s="14" t="s">
        <v>1050</v>
      </c>
      <c r="B9" s="20">
        <v>1780</v>
      </c>
    </row>
    <row r="10" spans="1:2" x14ac:dyDescent="0.25">
      <c r="A10" s="14" t="s">
        <v>1051</v>
      </c>
      <c r="B10" s="20">
        <v>10065</v>
      </c>
    </row>
    <row r="11" spans="1:2" x14ac:dyDescent="0.25">
      <c r="A11" s="14" t="s">
        <v>1052</v>
      </c>
      <c r="B11" s="20">
        <v>17185</v>
      </c>
    </row>
    <row r="12" spans="1:2" x14ac:dyDescent="0.25">
      <c r="A12" s="14" t="s">
        <v>1053</v>
      </c>
      <c r="B12" s="20">
        <v>13510</v>
      </c>
    </row>
    <row r="13" spans="1:2" x14ac:dyDescent="0.25">
      <c r="A13" s="14" t="s">
        <v>1054</v>
      </c>
      <c r="B13" s="20">
        <v>13585</v>
      </c>
    </row>
    <row r="14" spans="1:2" x14ac:dyDescent="0.25">
      <c r="A14" s="14" t="s">
        <v>1056</v>
      </c>
      <c r="B14" s="20">
        <v>2690</v>
      </c>
    </row>
    <row r="15" spans="1:2" x14ac:dyDescent="0.25">
      <c r="A15" s="14" t="s">
        <v>1057</v>
      </c>
      <c r="B15" s="20">
        <v>6580</v>
      </c>
    </row>
    <row r="16" spans="1:2" x14ac:dyDescent="0.25">
      <c r="A16" s="13" t="s">
        <v>1058</v>
      </c>
      <c r="B16" s="20">
        <v>68315</v>
      </c>
    </row>
    <row r="17" spans="1:16" x14ac:dyDescent="0.25">
      <c r="A17" s="14" t="s">
        <v>1046</v>
      </c>
      <c r="B17" s="20">
        <v>7765</v>
      </c>
    </row>
    <row r="18" spans="1:16" x14ac:dyDescent="0.25">
      <c r="A18" s="14" t="s">
        <v>1047</v>
      </c>
      <c r="B18" s="20">
        <v>14290</v>
      </c>
    </row>
    <row r="19" spans="1:16" x14ac:dyDescent="0.25">
      <c r="A19" s="14" t="s">
        <v>1048</v>
      </c>
      <c r="B19" s="20">
        <v>21510</v>
      </c>
    </row>
    <row r="20" spans="1:16" x14ac:dyDescent="0.25">
      <c r="A20" s="14" t="s">
        <v>1049</v>
      </c>
      <c r="B20" s="20">
        <v>24750</v>
      </c>
    </row>
    <row r="21" spans="1:16" x14ac:dyDescent="0.25">
      <c r="A21" s="13" t="s">
        <v>1043</v>
      </c>
      <c r="B21" s="20">
        <v>188180</v>
      </c>
    </row>
    <row r="29" spans="1:16" ht="74.25" customHeight="1" x14ac:dyDescent="0.25">
      <c r="D29" s="83" t="s">
        <v>1067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</row>
    <row r="30" spans="1:16" ht="72" customHeight="1" x14ac:dyDescent="0.25">
      <c r="A30" s="21" t="s">
        <v>6</v>
      </c>
      <c r="B30" s="22" t="s">
        <v>24</v>
      </c>
      <c r="D30" s="83" t="s">
        <v>1068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</row>
    <row r="31" spans="1:16" ht="42.75" customHeight="1" x14ac:dyDescent="0.25"/>
    <row r="32" spans="1:16" x14ac:dyDescent="0.25">
      <c r="A32" s="23" t="s">
        <v>1042</v>
      </c>
      <c r="B32" s="22" t="s">
        <v>1070</v>
      </c>
    </row>
    <row r="33" spans="1:2" x14ac:dyDescent="0.25">
      <c r="A33" s="24" t="s">
        <v>1045</v>
      </c>
      <c r="B33" s="26">
        <v>-9.8529551368005105E-2</v>
      </c>
    </row>
    <row r="34" spans="1:2" x14ac:dyDescent="0.25">
      <c r="A34" s="25" t="s">
        <v>1058</v>
      </c>
      <c r="B34" s="27">
        <v>0.13123157993241019</v>
      </c>
    </row>
  </sheetData>
  <mergeCells count="2">
    <mergeCell ref="D29:P29"/>
    <mergeCell ref="D30:P30"/>
  </mergeCell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A45"/>
  <sheetViews>
    <sheetView showGridLines="0" zoomScale="87" zoomScaleNormal="87" workbookViewId="0">
      <selection activeCell="B4" sqref="B4:B23"/>
    </sheetView>
  </sheetViews>
  <sheetFormatPr defaultRowHeight="15" x14ac:dyDescent="0.25"/>
  <cols>
    <col min="1" max="1" width="23.85546875" bestFit="1" customWidth="1"/>
    <col min="2" max="2" width="37.7109375" customWidth="1"/>
  </cols>
  <sheetData>
    <row r="3" spans="1:2" x14ac:dyDescent="0.25">
      <c r="A3" s="21" t="s">
        <v>1042</v>
      </c>
      <c r="B3" s="22" t="s">
        <v>1070</v>
      </c>
    </row>
    <row r="4" spans="1:2" x14ac:dyDescent="0.25">
      <c r="A4" s="31" t="s">
        <v>18</v>
      </c>
      <c r="B4" s="26">
        <v>0.10062698971238108</v>
      </c>
    </row>
    <row r="5" spans="1:2" x14ac:dyDescent="0.25">
      <c r="A5" s="29" t="s">
        <v>25</v>
      </c>
      <c r="B5" s="33">
        <v>8.1840255375316515E-2</v>
      </c>
    </row>
    <row r="6" spans="1:2" x14ac:dyDescent="0.25">
      <c r="A6" s="29" t="s">
        <v>10</v>
      </c>
      <c r="B6" s="33">
        <v>5.8968409942088303E-2</v>
      </c>
    </row>
    <row r="7" spans="1:2" x14ac:dyDescent="0.25">
      <c r="A7" s="29" t="s">
        <v>20</v>
      </c>
      <c r="B7" s="33">
        <v>5.6287665956558271E-2</v>
      </c>
    </row>
    <row r="8" spans="1:2" x14ac:dyDescent="0.25">
      <c r="A8" s="29" t="s">
        <v>19</v>
      </c>
      <c r="B8" s="33">
        <v>4.7135772995875888E-2</v>
      </c>
    </row>
    <row r="9" spans="1:2" x14ac:dyDescent="0.25">
      <c r="A9" s="29" t="s">
        <v>27</v>
      </c>
      <c r="B9" s="33">
        <v>3.613108366981542E-2</v>
      </c>
    </row>
    <row r="10" spans="1:2" x14ac:dyDescent="0.25">
      <c r="A10" s="29" t="s">
        <v>15</v>
      </c>
      <c r="B10" s="33">
        <v>2.3330793858908173E-2</v>
      </c>
    </row>
    <row r="11" spans="1:2" x14ac:dyDescent="0.25">
      <c r="A11" s="29" t="s">
        <v>14</v>
      </c>
      <c r="B11" s="33">
        <v>1.0296276612656797E-2</v>
      </c>
    </row>
    <row r="12" spans="1:2" x14ac:dyDescent="0.25">
      <c r="A12" s="29" t="s">
        <v>13</v>
      </c>
      <c r="B12" s="33">
        <v>7.0069984701864327E-3</v>
      </c>
    </row>
    <row r="13" spans="1:2" x14ac:dyDescent="0.25">
      <c r="A13" s="29" t="s">
        <v>23</v>
      </c>
      <c r="B13" s="33">
        <v>5.2821684960563031E-3</v>
      </c>
    </row>
    <row r="14" spans="1:2" x14ac:dyDescent="0.25">
      <c r="A14" s="29" t="s">
        <v>8</v>
      </c>
      <c r="B14" s="33">
        <v>-8.094054282908528E-3</v>
      </c>
    </row>
    <row r="15" spans="1:2" x14ac:dyDescent="0.25">
      <c r="A15" s="29" t="s">
        <v>9</v>
      </c>
      <c r="B15" s="33">
        <v>-9.4885770216267366E-3</v>
      </c>
    </row>
    <row r="16" spans="1:2" x14ac:dyDescent="0.25">
      <c r="A16" s="29" t="s">
        <v>26</v>
      </c>
      <c r="B16" s="33">
        <v>-1.1341839275218986E-2</v>
      </c>
    </row>
    <row r="17" spans="1:2" x14ac:dyDescent="0.25">
      <c r="A17" s="29" t="s">
        <v>17</v>
      </c>
      <c r="B17" s="33">
        <v>-2.959425010257517E-2</v>
      </c>
    </row>
    <row r="18" spans="1:2" x14ac:dyDescent="0.25">
      <c r="A18" s="29" t="s">
        <v>24</v>
      </c>
      <c r="B18" s="33">
        <v>-3.2883513853600721E-2</v>
      </c>
    </row>
    <row r="19" spans="1:2" x14ac:dyDescent="0.25">
      <c r="A19" s="29" t="s">
        <v>22</v>
      </c>
      <c r="B19" s="33">
        <v>-3.9462244779638118E-2</v>
      </c>
    </row>
    <row r="20" spans="1:2" x14ac:dyDescent="0.25">
      <c r="A20" s="29" t="s">
        <v>16</v>
      </c>
      <c r="B20" s="33">
        <v>-4.2441773613568989E-2</v>
      </c>
    </row>
    <row r="21" spans="1:2" x14ac:dyDescent="0.25">
      <c r="A21" s="29" t="s">
        <v>11</v>
      </c>
      <c r="B21" s="33">
        <v>-5.0380082409471671E-2</v>
      </c>
    </row>
    <row r="22" spans="1:2" x14ac:dyDescent="0.25">
      <c r="A22" s="29" t="s">
        <v>12</v>
      </c>
      <c r="B22" s="33">
        <v>-6.3289069364215592E-2</v>
      </c>
    </row>
    <row r="23" spans="1:2" x14ac:dyDescent="0.25">
      <c r="A23" s="30" t="s">
        <v>21</v>
      </c>
      <c r="B23" s="27">
        <v>-0.10170732495505042</v>
      </c>
    </row>
    <row r="45" spans="4:27" ht="97.5" customHeight="1" x14ac:dyDescent="0.25">
      <c r="D45" s="84" t="s">
        <v>1132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</sheetData>
  <mergeCells count="1">
    <mergeCell ref="D45:AA45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D104"/>
  <sheetViews>
    <sheetView showGridLines="0" workbookViewId="0">
      <selection activeCell="D31" sqref="D31:AD31"/>
    </sheetView>
  </sheetViews>
  <sheetFormatPr defaultRowHeight="15" x14ac:dyDescent="0.25"/>
  <cols>
    <col min="1" max="1" width="21.85546875" bestFit="1" customWidth="1"/>
    <col min="2" max="2" width="31.5703125" customWidth="1"/>
    <col min="3" max="3" width="8.42578125" customWidth="1"/>
    <col min="4" max="4" width="9.42578125" bestFit="1" customWidth="1"/>
    <col min="5" max="5" width="5.85546875" customWidth="1"/>
    <col min="6" max="6" width="6.42578125" customWidth="1"/>
    <col min="7" max="7" width="10.85546875" bestFit="1" customWidth="1"/>
    <col min="8" max="8" width="8.42578125" customWidth="1"/>
    <col min="9" max="9" width="5.85546875" customWidth="1"/>
    <col min="10" max="10" width="7.42578125" customWidth="1"/>
    <col min="11" max="11" width="8.85546875" customWidth="1"/>
    <col min="12" max="12" width="5.5703125" customWidth="1"/>
    <col min="13" max="13" width="5.85546875" customWidth="1"/>
    <col min="14" max="14" width="6.28515625" customWidth="1"/>
    <col min="15" max="17" width="5.5703125" customWidth="1"/>
    <col min="18" max="18" width="8.140625" customWidth="1"/>
    <col min="19" max="20" width="5.5703125" customWidth="1"/>
    <col min="21" max="21" width="7" customWidth="1"/>
    <col min="22" max="22" width="11.85546875" bestFit="1" customWidth="1"/>
  </cols>
  <sheetData>
    <row r="3" spans="1:2" x14ac:dyDescent="0.25">
      <c r="A3" s="12" t="s">
        <v>1060</v>
      </c>
      <c r="B3" t="s">
        <v>1072</v>
      </c>
    </row>
    <row r="4" spans="1:2" x14ac:dyDescent="0.25">
      <c r="A4" s="13" t="s">
        <v>37</v>
      </c>
      <c r="B4" s="32">
        <v>300.31818181818198</v>
      </c>
    </row>
    <row r="5" spans="1:2" x14ac:dyDescent="0.25">
      <c r="A5" s="14" t="s">
        <v>111</v>
      </c>
      <c r="B5" s="32">
        <v>331.16666666666663</v>
      </c>
    </row>
    <row r="6" spans="1:2" x14ac:dyDescent="0.25">
      <c r="A6" s="14" t="s">
        <v>93</v>
      </c>
      <c r="B6" s="32">
        <v>316.59999999999997</v>
      </c>
    </row>
    <row r="7" spans="1:2" x14ac:dyDescent="0.25">
      <c r="A7" s="14" t="s">
        <v>87</v>
      </c>
      <c r="B7" s="32">
        <v>281.73333333333346</v>
      </c>
    </row>
    <row r="8" spans="1:2" x14ac:dyDescent="0.25">
      <c r="A8" s="14" t="s">
        <v>36</v>
      </c>
      <c r="B8" s="32">
        <v>264</v>
      </c>
    </row>
    <row r="9" spans="1:2" x14ac:dyDescent="0.25">
      <c r="A9" s="13" t="s">
        <v>44</v>
      </c>
      <c r="B9" s="32">
        <v>294.95238095238085</v>
      </c>
    </row>
    <row r="10" spans="1:2" x14ac:dyDescent="0.25">
      <c r="A10" s="14" t="s">
        <v>65</v>
      </c>
      <c r="B10" s="32">
        <v>322.54545454545456</v>
      </c>
    </row>
    <row r="11" spans="1:2" x14ac:dyDescent="0.25">
      <c r="A11" s="14" t="s">
        <v>99</v>
      </c>
      <c r="B11" s="32">
        <v>318.81818181818187</v>
      </c>
    </row>
    <row r="12" spans="1:2" x14ac:dyDescent="0.25">
      <c r="A12" s="14" t="s">
        <v>43</v>
      </c>
      <c r="B12" s="32">
        <v>274.77777777777771</v>
      </c>
    </row>
    <row r="13" spans="1:2" x14ac:dyDescent="0.25">
      <c r="A13" s="14" t="s">
        <v>113</v>
      </c>
      <c r="B13" s="32">
        <v>193.5</v>
      </c>
    </row>
    <row r="14" spans="1:2" x14ac:dyDescent="0.25">
      <c r="A14" s="13" t="s">
        <v>57</v>
      </c>
      <c r="B14" s="32">
        <v>286.92307692307685</v>
      </c>
    </row>
    <row r="15" spans="1:2" x14ac:dyDescent="0.25">
      <c r="A15" s="14" t="s">
        <v>56</v>
      </c>
      <c r="B15" s="32">
        <v>320.25</v>
      </c>
    </row>
    <row r="16" spans="1:2" x14ac:dyDescent="0.25">
      <c r="A16" s="14" t="s">
        <v>78</v>
      </c>
      <c r="B16" s="32">
        <v>312.66666666666669</v>
      </c>
    </row>
    <row r="17" spans="1:30" x14ac:dyDescent="0.25">
      <c r="A17" s="14" t="s">
        <v>81</v>
      </c>
      <c r="B17" s="32">
        <v>273.58333333333337</v>
      </c>
    </row>
    <row r="18" spans="1:30" x14ac:dyDescent="0.25">
      <c r="A18" s="14" t="s">
        <v>119</v>
      </c>
      <c r="B18" s="32">
        <v>82</v>
      </c>
    </row>
    <row r="19" spans="1:30" x14ac:dyDescent="0.25">
      <c r="A19" s="13" t="s">
        <v>69</v>
      </c>
      <c r="B19" s="32">
        <v>283.46808510638311</v>
      </c>
    </row>
    <row r="20" spans="1:30" x14ac:dyDescent="0.25">
      <c r="A20" s="14" t="s">
        <v>100</v>
      </c>
      <c r="B20" s="32">
        <v>323.07692307692298</v>
      </c>
    </row>
    <row r="21" spans="1:30" x14ac:dyDescent="0.25">
      <c r="A21" s="14" t="s">
        <v>98</v>
      </c>
      <c r="B21" s="32">
        <v>321.63636363636357</v>
      </c>
    </row>
    <row r="22" spans="1:30" x14ac:dyDescent="0.25">
      <c r="A22" s="14" t="s">
        <v>68</v>
      </c>
      <c r="B22" s="32">
        <v>249.5</v>
      </c>
    </row>
    <row r="23" spans="1:30" x14ac:dyDescent="0.25">
      <c r="A23" s="14" t="s">
        <v>124</v>
      </c>
      <c r="B23" s="32">
        <v>232.4444444444444</v>
      </c>
    </row>
    <row r="24" spans="1:30" x14ac:dyDescent="0.25">
      <c r="A24" s="13" t="s">
        <v>35</v>
      </c>
      <c r="B24" s="32">
        <v>274.1627906976745</v>
      </c>
    </row>
    <row r="25" spans="1:30" x14ac:dyDescent="0.25">
      <c r="A25" s="14" t="s">
        <v>34</v>
      </c>
      <c r="B25" s="32">
        <v>369.2</v>
      </c>
    </row>
    <row r="26" spans="1:30" x14ac:dyDescent="0.25">
      <c r="A26" s="14" t="s">
        <v>58</v>
      </c>
      <c r="B26" s="32">
        <v>280.66666666666669</v>
      </c>
    </row>
    <row r="27" spans="1:30" x14ac:dyDescent="0.25">
      <c r="A27" s="14" t="s">
        <v>38</v>
      </c>
      <c r="B27" s="32">
        <v>258.30769230769232</v>
      </c>
    </row>
    <row r="28" spans="1:30" x14ac:dyDescent="0.25">
      <c r="A28" s="14" t="s">
        <v>74</v>
      </c>
      <c r="B28" s="32">
        <v>253.6875</v>
      </c>
    </row>
    <row r="29" spans="1:30" x14ac:dyDescent="0.25">
      <c r="A29" s="13" t="s">
        <v>72</v>
      </c>
      <c r="B29" s="32">
        <v>273.72549019607862</v>
      </c>
    </row>
    <row r="30" spans="1:30" x14ac:dyDescent="0.25">
      <c r="A30" s="14" t="s">
        <v>122</v>
      </c>
      <c r="B30" s="32">
        <v>320.5714285714285</v>
      </c>
    </row>
    <row r="31" spans="1:30" x14ac:dyDescent="0.25">
      <c r="A31" s="14" t="s">
        <v>102</v>
      </c>
      <c r="B31" s="32">
        <v>280.2380952380953</v>
      </c>
      <c r="D31" s="86" t="s">
        <v>1075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</row>
    <row r="32" spans="1:30" x14ac:dyDescent="0.25">
      <c r="A32" s="14" t="s">
        <v>71</v>
      </c>
      <c r="B32" s="32">
        <v>266.2727272727272</v>
      </c>
    </row>
    <row r="33" spans="1:2" x14ac:dyDescent="0.25">
      <c r="A33" s="14" t="s">
        <v>117</v>
      </c>
      <c r="B33" s="32">
        <v>241.83333333333337</v>
      </c>
    </row>
    <row r="34" spans="1:2" x14ac:dyDescent="0.25">
      <c r="A34" s="13" t="s">
        <v>108</v>
      </c>
      <c r="B34" s="32">
        <v>271.74545454545438</v>
      </c>
    </row>
    <row r="35" spans="1:2" x14ac:dyDescent="0.25">
      <c r="A35" s="14" t="s">
        <v>14</v>
      </c>
      <c r="B35" s="32">
        <v>316.58333333333337</v>
      </c>
    </row>
    <row r="36" spans="1:2" x14ac:dyDescent="0.25">
      <c r="A36" s="14" t="s">
        <v>110</v>
      </c>
      <c r="B36" s="32">
        <v>311.19999999999993</v>
      </c>
    </row>
    <row r="37" spans="1:2" x14ac:dyDescent="0.25">
      <c r="A37" s="14" t="s">
        <v>109</v>
      </c>
      <c r="B37" s="32">
        <v>272.35294117647067</v>
      </c>
    </row>
    <row r="38" spans="1:2" x14ac:dyDescent="0.25">
      <c r="A38" s="14" t="s">
        <v>115</v>
      </c>
      <c r="B38" s="32">
        <v>212.8125</v>
      </c>
    </row>
    <row r="39" spans="1:2" x14ac:dyDescent="0.25">
      <c r="A39" s="13" t="s">
        <v>60</v>
      </c>
      <c r="B39" s="32">
        <v>271.18181818181785</v>
      </c>
    </row>
    <row r="40" spans="1:2" x14ac:dyDescent="0.25">
      <c r="A40" s="14" t="s">
        <v>107</v>
      </c>
      <c r="B40" s="32">
        <v>291.45454545454533</v>
      </c>
    </row>
    <row r="41" spans="1:2" x14ac:dyDescent="0.25">
      <c r="A41" s="14" t="s">
        <v>59</v>
      </c>
      <c r="B41" s="32">
        <v>281.75</v>
      </c>
    </row>
    <row r="42" spans="1:2" x14ac:dyDescent="0.25">
      <c r="A42" s="14" t="s">
        <v>70</v>
      </c>
      <c r="B42" s="32">
        <v>260.15789473684202</v>
      </c>
    </row>
    <row r="43" spans="1:2" x14ac:dyDescent="0.25">
      <c r="A43" s="14" t="s">
        <v>88</v>
      </c>
      <c r="B43" s="32">
        <v>243.3</v>
      </c>
    </row>
    <row r="44" spans="1:2" x14ac:dyDescent="0.25">
      <c r="A44" s="13" t="s">
        <v>33</v>
      </c>
      <c r="B44" s="32">
        <v>268.60344827586209</v>
      </c>
    </row>
    <row r="45" spans="1:2" x14ac:dyDescent="0.25">
      <c r="A45" s="14" t="s">
        <v>32</v>
      </c>
      <c r="B45" s="32">
        <v>281.96875</v>
      </c>
    </row>
    <row r="46" spans="1:2" x14ac:dyDescent="0.25">
      <c r="A46" s="14" t="s">
        <v>112</v>
      </c>
      <c r="B46" s="32">
        <v>272.25</v>
      </c>
    </row>
    <row r="47" spans="1:2" x14ac:dyDescent="0.25">
      <c r="A47" s="14" t="s">
        <v>121</v>
      </c>
      <c r="B47" s="32">
        <v>254.18181818181819</v>
      </c>
    </row>
    <row r="48" spans="1:2" x14ac:dyDescent="0.25">
      <c r="A48" s="14" t="s">
        <v>51</v>
      </c>
      <c r="B48" s="32">
        <v>242.81818181818181</v>
      </c>
    </row>
    <row r="49" spans="1:2" x14ac:dyDescent="0.25">
      <c r="A49" s="13" t="s">
        <v>48</v>
      </c>
      <c r="B49" s="32">
        <v>267.85483870967744</v>
      </c>
    </row>
    <row r="50" spans="1:2" x14ac:dyDescent="0.25">
      <c r="A50" s="14" t="s">
        <v>80</v>
      </c>
      <c r="B50" s="32">
        <v>288.2380952380953</v>
      </c>
    </row>
    <row r="51" spans="1:2" x14ac:dyDescent="0.25">
      <c r="A51" s="14" t="s">
        <v>83</v>
      </c>
      <c r="B51" s="32">
        <v>273.625</v>
      </c>
    </row>
    <row r="52" spans="1:2" x14ac:dyDescent="0.25">
      <c r="A52" s="14" t="s">
        <v>47</v>
      </c>
      <c r="B52" s="32">
        <v>268</v>
      </c>
    </row>
    <row r="53" spans="1:2" x14ac:dyDescent="0.25">
      <c r="A53" s="14" t="s">
        <v>64</v>
      </c>
      <c r="B53" s="32">
        <v>250.25925925925918</v>
      </c>
    </row>
    <row r="54" spans="1:2" x14ac:dyDescent="0.25">
      <c r="A54" s="13" t="s">
        <v>40</v>
      </c>
      <c r="B54" s="32">
        <v>265.47674418604646</v>
      </c>
    </row>
    <row r="55" spans="1:2" x14ac:dyDescent="0.25">
      <c r="A55" s="14" t="s">
        <v>101</v>
      </c>
      <c r="B55" s="32">
        <v>329.2727272727272</v>
      </c>
    </row>
    <row r="56" spans="1:2" x14ac:dyDescent="0.25">
      <c r="A56" s="14" t="s">
        <v>39</v>
      </c>
      <c r="B56" s="32">
        <v>276.67567567567562</v>
      </c>
    </row>
    <row r="57" spans="1:2" x14ac:dyDescent="0.25">
      <c r="A57" s="14" t="s">
        <v>91</v>
      </c>
      <c r="B57" s="32">
        <v>236.27586206896555</v>
      </c>
    </row>
    <row r="58" spans="1:2" x14ac:dyDescent="0.25">
      <c r="A58" s="14" t="s">
        <v>116</v>
      </c>
      <c r="B58" s="32">
        <v>235.5555555555556</v>
      </c>
    </row>
    <row r="59" spans="1:2" x14ac:dyDescent="0.25">
      <c r="A59" s="13" t="s">
        <v>76</v>
      </c>
      <c r="B59" s="32">
        <v>264.8679245283019</v>
      </c>
    </row>
    <row r="60" spans="1:2" x14ac:dyDescent="0.25">
      <c r="A60" s="14" t="s">
        <v>96</v>
      </c>
      <c r="B60" s="32">
        <v>320.84615384615387</v>
      </c>
    </row>
    <row r="61" spans="1:2" x14ac:dyDescent="0.25">
      <c r="A61" s="14" t="s">
        <v>106</v>
      </c>
      <c r="B61" s="32">
        <v>273.69999999999993</v>
      </c>
    </row>
    <row r="62" spans="1:2" x14ac:dyDescent="0.25">
      <c r="A62" s="14" t="s">
        <v>75</v>
      </c>
      <c r="B62" s="32">
        <v>238.16666666666663</v>
      </c>
    </row>
    <row r="63" spans="1:2" x14ac:dyDescent="0.25">
      <c r="A63" s="14" t="s">
        <v>79</v>
      </c>
      <c r="B63" s="32">
        <v>236.91666666666663</v>
      </c>
    </row>
    <row r="64" spans="1:2" x14ac:dyDescent="0.25">
      <c r="A64" s="13" t="s">
        <v>46</v>
      </c>
      <c r="B64" s="32">
        <v>263.25423728813558</v>
      </c>
    </row>
    <row r="65" spans="1:2" x14ac:dyDescent="0.25">
      <c r="A65" s="14" t="s">
        <v>77</v>
      </c>
      <c r="B65" s="32">
        <v>293.66666666666669</v>
      </c>
    </row>
    <row r="66" spans="1:2" x14ac:dyDescent="0.25">
      <c r="A66" s="14" t="s">
        <v>45</v>
      </c>
      <c r="B66" s="32">
        <v>287.09999999999997</v>
      </c>
    </row>
    <row r="67" spans="1:2" x14ac:dyDescent="0.25">
      <c r="A67" s="14" t="s">
        <v>73</v>
      </c>
      <c r="B67" s="32">
        <v>257.78260869565207</v>
      </c>
    </row>
    <row r="68" spans="1:2" x14ac:dyDescent="0.25">
      <c r="A68" s="14" t="s">
        <v>66</v>
      </c>
      <c r="B68" s="32">
        <v>248.5</v>
      </c>
    </row>
    <row r="69" spans="1:2" x14ac:dyDescent="0.25">
      <c r="A69" s="13" t="s">
        <v>50</v>
      </c>
      <c r="B69" s="32">
        <v>262.6349206349206</v>
      </c>
    </row>
    <row r="70" spans="1:2" x14ac:dyDescent="0.25">
      <c r="A70" s="14" t="s">
        <v>92</v>
      </c>
      <c r="B70" s="32">
        <v>311.33333333333331</v>
      </c>
    </row>
    <row r="71" spans="1:2" x14ac:dyDescent="0.25">
      <c r="A71" s="14" t="s">
        <v>49</v>
      </c>
      <c r="B71" s="32">
        <v>271</v>
      </c>
    </row>
    <row r="72" spans="1:2" x14ac:dyDescent="0.25">
      <c r="A72" s="14" t="s">
        <v>104</v>
      </c>
      <c r="B72" s="32">
        <v>238.72222222222223</v>
      </c>
    </row>
    <row r="73" spans="1:2" x14ac:dyDescent="0.25">
      <c r="A73" s="14" t="s">
        <v>123</v>
      </c>
      <c r="B73" s="32">
        <v>168</v>
      </c>
    </row>
    <row r="74" spans="1:2" x14ac:dyDescent="0.25">
      <c r="A74" s="13" t="s">
        <v>55</v>
      </c>
      <c r="B74" s="32">
        <v>258.5128205128205</v>
      </c>
    </row>
    <row r="75" spans="1:2" x14ac:dyDescent="0.25">
      <c r="A75" s="14" t="s">
        <v>86</v>
      </c>
      <c r="B75" s="32">
        <v>292.66666666666669</v>
      </c>
    </row>
    <row r="76" spans="1:2" x14ac:dyDescent="0.25">
      <c r="A76" s="14" t="s">
        <v>97</v>
      </c>
      <c r="B76" s="32">
        <v>289.88888888888891</v>
      </c>
    </row>
    <row r="77" spans="1:2" x14ac:dyDescent="0.25">
      <c r="A77" s="14" t="s">
        <v>54</v>
      </c>
      <c r="B77" s="32">
        <v>260.64705882352933</v>
      </c>
    </row>
    <row r="78" spans="1:2" x14ac:dyDescent="0.25">
      <c r="A78" s="14" t="s">
        <v>118</v>
      </c>
      <c r="B78" s="32">
        <v>216.40000000000003</v>
      </c>
    </row>
    <row r="79" spans="1:2" x14ac:dyDescent="0.25">
      <c r="A79" s="13" t="s">
        <v>90</v>
      </c>
      <c r="B79" s="32">
        <v>258.375</v>
      </c>
    </row>
    <row r="80" spans="1:2" x14ac:dyDescent="0.25">
      <c r="A80" s="14" t="s">
        <v>120</v>
      </c>
      <c r="B80" s="32">
        <v>317.85714285714283</v>
      </c>
    </row>
    <row r="81" spans="1:2" x14ac:dyDescent="0.25">
      <c r="A81" s="14" t="s">
        <v>114</v>
      </c>
      <c r="B81" s="32">
        <v>269.7058823529411</v>
      </c>
    </row>
    <row r="82" spans="1:2" x14ac:dyDescent="0.25">
      <c r="A82" s="14" t="s">
        <v>85</v>
      </c>
      <c r="B82" s="32">
        <v>187</v>
      </c>
    </row>
    <row r="83" spans="1:2" x14ac:dyDescent="0.25">
      <c r="A83" s="14" t="s">
        <v>63</v>
      </c>
      <c r="B83" s="32">
        <v>181.57142857142861</v>
      </c>
    </row>
    <row r="84" spans="1:2" x14ac:dyDescent="0.25">
      <c r="A84" s="13" t="s">
        <v>42</v>
      </c>
      <c r="B84" s="32">
        <v>255.11627906976778</v>
      </c>
    </row>
    <row r="85" spans="1:2" x14ac:dyDescent="0.25">
      <c r="A85" s="14" t="s">
        <v>85</v>
      </c>
      <c r="B85" s="32">
        <v>274.28571428571428</v>
      </c>
    </row>
    <row r="86" spans="1:2" x14ac:dyDescent="0.25">
      <c r="A86" s="14" t="s">
        <v>41</v>
      </c>
      <c r="B86" s="32">
        <v>252.09090909090904</v>
      </c>
    </row>
    <row r="87" spans="1:2" x14ac:dyDescent="0.25">
      <c r="A87" s="14" t="s">
        <v>67</v>
      </c>
      <c r="B87" s="32">
        <v>251.91666666666663</v>
      </c>
    </row>
    <row r="88" spans="1:2" x14ac:dyDescent="0.25">
      <c r="A88" s="14" t="s">
        <v>63</v>
      </c>
      <c r="B88" s="32">
        <v>250.30769230769235</v>
      </c>
    </row>
    <row r="89" spans="1:2" x14ac:dyDescent="0.25">
      <c r="A89" s="13" t="s">
        <v>29</v>
      </c>
      <c r="B89" s="32">
        <v>252.76271186440678</v>
      </c>
    </row>
    <row r="90" spans="1:2" x14ac:dyDescent="0.25">
      <c r="A90" s="14" t="s">
        <v>89</v>
      </c>
      <c r="B90" s="32">
        <v>293.41176470588232</v>
      </c>
    </row>
    <row r="91" spans="1:2" x14ac:dyDescent="0.25">
      <c r="A91" s="14" t="s">
        <v>61</v>
      </c>
      <c r="B91" s="32">
        <v>240.5</v>
      </c>
    </row>
    <row r="92" spans="1:2" x14ac:dyDescent="0.25">
      <c r="A92" s="14" t="s">
        <v>28</v>
      </c>
      <c r="B92" s="32">
        <v>240.26666666666677</v>
      </c>
    </row>
    <row r="93" spans="1:2" x14ac:dyDescent="0.25">
      <c r="A93" s="14" t="s">
        <v>94</v>
      </c>
      <c r="B93" s="32">
        <v>215.85714285714286</v>
      </c>
    </row>
    <row r="94" spans="1:2" x14ac:dyDescent="0.25">
      <c r="A94" s="13" t="s">
        <v>31</v>
      </c>
      <c r="B94" s="32">
        <v>250.48780487804882</v>
      </c>
    </row>
    <row r="95" spans="1:2" x14ac:dyDescent="0.25">
      <c r="A95" s="14" t="s">
        <v>62</v>
      </c>
      <c r="B95" s="32">
        <v>303.82352941176475</v>
      </c>
    </row>
    <row r="96" spans="1:2" x14ac:dyDescent="0.25">
      <c r="A96" s="14" t="s">
        <v>103</v>
      </c>
      <c r="B96" s="32">
        <v>247.66666666666666</v>
      </c>
    </row>
    <row r="97" spans="1:2" x14ac:dyDescent="0.25">
      <c r="A97" s="14" t="s">
        <v>30</v>
      </c>
      <c r="B97" s="32">
        <v>208</v>
      </c>
    </row>
    <row r="98" spans="1:2" x14ac:dyDescent="0.25">
      <c r="A98" s="14" t="s">
        <v>95</v>
      </c>
      <c r="B98" s="32">
        <v>159.19999999999999</v>
      </c>
    </row>
    <row r="99" spans="1:2" x14ac:dyDescent="0.25">
      <c r="A99" s="13" t="s">
        <v>53</v>
      </c>
      <c r="B99" s="32">
        <v>249.0238095238096</v>
      </c>
    </row>
    <row r="100" spans="1:2" x14ac:dyDescent="0.25">
      <c r="A100" s="14" t="s">
        <v>82</v>
      </c>
      <c r="B100" s="32">
        <v>276.21052631578948</v>
      </c>
    </row>
    <row r="101" spans="1:2" x14ac:dyDescent="0.25">
      <c r="A101" s="14" t="s">
        <v>105</v>
      </c>
      <c r="B101" s="32">
        <v>256.90000000000003</v>
      </c>
    </row>
    <row r="102" spans="1:2" x14ac:dyDescent="0.25">
      <c r="A102" s="14" t="s">
        <v>84</v>
      </c>
      <c r="B102" s="32">
        <v>222.2</v>
      </c>
    </row>
    <row r="103" spans="1:2" x14ac:dyDescent="0.25">
      <c r="A103" s="14" t="s">
        <v>52</v>
      </c>
      <c r="B103" s="32">
        <v>140</v>
      </c>
    </row>
    <row r="104" spans="1:2" x14ac:dyDescent="0.25">
      <c r="A104" s="13" t="s">
        <v>1043</v>
      </c>
      <c r="B104" s="32">
        <v>268.08999999999963</v>
      </c>
    </row>
  </sheetData>
  <mergeCells count="1">
    <mergeCell ref="D31:AD31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W32"/>
  <sheetViews>
    <sheetView showGridLines="0" workbookViewId="0">
      <selection activeCell="D32" sqref="D32:W32"/>
    </sheetView>
  </sheetViews>
  <sheetFormatPr defaultRowHeight="15" x14ac:dyDescent="0.25"/>
  <cols>
    <col min="1" max="1" width="12.5703125" bestFit="1" customWidth="1"/>
    <col min="2" max="2" width="27" bestFit="1" customWidth="1"/>
  </cols>
  <sheetData>
    <row r="3" spans="1:2" x14ac:dyDescent="0.25">
      <c r="A3" s="12" t="s">
        <v>1059</v>
      </c>
      <c r="B3" t="s">
        <v>1044</v>
      </c>
    </row>
    <row r="4" spans="1:2" x14ac:dyDescent="0.25">
      <c r="A4" s="13" t="s">
        <v>40</v>
      </c>
      <c r="B4" s="20">
        <v>334725</v>
      </c>
    </row>
    <row r="5" spans="1:2" x14ac:dyDescent="0.25">
      <c r="A5" s="13" t="s">
        <v>48</v>
      </c>
      <c r="B5" s="20">
        <v>243985</v>
      </c>
    </row>
    <row r="6" spans="1:2" x14ac:dyDescent="0.25">
      <c r="A6" s="13" t="s">
        <v>108</v>
      </c>
      <c r="B6" s="20">
        <v>236115</v>
      </c>
    </row>
    <row r="7" spans="1:2" x14ac:dyDescent="0.25">
      <c r="A7" s="13" t="s">
        <v>33</v>
      </c>
      <c r="B7" s="20">
        <v>229310</v>
      </c>
    </row>
    <row r="8" spans="1:2" x14ac:dyDescent="0.25">
      <c r="A8" s="13" t="s">
        <v>72</v>
      </c>
      <c r="B8" s="20">
        <v>222695</v>
      </c>
    </row>
    <row r="9" spans="1:2" x14ac:dyDescent="0.25">
      <c r="A9" s="13" t="s">
        <v>76</v>
      </c>
      <c r="B9" s="20">
        <v>222340</v>
      </c>
    </row>
    <row r="10" spans="1:2" x14ac:dyDescent="0.25">
      <c r="A10" s="13" t="s">
        <v>50</v>
      </c>
      <c r="B10" s="20">
        <v>221325</v>
      </c>
    </row>
    <row r="11" spans="1:2" x14ac:dyDescent="0.25">
      <c r="A11" s="13" t="s">
        <v>29</v>
      </c>
      <c r="B11" s="20">
        <v>220755</v>
      </c>
    </row>
    <row r="12" spans="1:2" x14ac:dyDescent="0.25">
      <c r="A12" s="13" t="s">
        <v>60</v>
      </c>
      <c r="B12" s="20">
        <v>218130</v>
      </c>
    </row>
    <row r="13" spans="1:2" x14ac:dyDescent="0.25">
      <c r="A13" s="13" t="s">
        <v>37</v>
      </c>
      <c r="B13" s="20">
        <v>211760</v>
      </c>
    </row>
    <row r="14" spans="1:2" x14ac:dyDescent="0.25">
      <c r="A14" s="13" t="s">
        <v>44</v>
      </c>
      <c r="B14" s="20">
        <v>210825</v>
      </c>
    </row>
    <row r="15" spans="1:2" x14ac:dyDescent="0.25">
      <c r="A15" s="13" t="s">
        <v>46</v>
      </c>
      <c r="B15" s="20">
        <v>208725</v>
      </c>
    </row>
    <row r="16" spans="1:2" x14ac:dyDescent="0.25">
      <c r="A16" s="13" t="s">
        <v>69</v>
      </c>
      <c r="B16" s="20">
        <v>198160</v>
      </c>
    </row>
    <row r="17" spans="1:23" x14ac:dyDescent="0.25">
      <c r="A17" s="13" t="s">
        <v>35</v>
      </c>
      <c r="B17" s="20">
        <v>169010</v>
      </c>
    </row>
    <row r="18" spans="1:23" x14ac:dyDescent="0.25">
      <c r="A18" s="13" t="s">
        <v>55</v>
      </c>
      <c r="B18" s="20">
        <v>162150</v>
      </c>
    </row>
    <row r="19" spans="1:23" x14ac:dyDescent="0.25">
      <c r="A19" s="13" t="s">
        <v>31</v>
      </c>
      <c r="B19" s="20">
        <v>155735</v>
      </c>
    </row>
    <row r="20" spans="1:23" x14ac:dyDescent="0.25">
      <c r="A20" s="13" t="s">
        <v>53</v>
      </c>
      <c r="B20" s="20">
        <v>152715</v>
      </c>
    </row>
    <row r="21" spans="1:23" x14ac:dyDescent="0.25">
      <c r="A21" s="13" t="s">
        <v>42</v>
      </c>
      <c r="B21" s="20">
        <v>140265</v>
      </c>
    </row>
    <row r="22" spans="1:23" x14ac:dyDescent="0.25">
      <c r="A22" s="13" t="s">
        <v>90</v>
      </c>
      <c r="B22" s="20">
        <v>136875</v>
      </c>
    </row>
    <row r="23" spans="1:23" x14ac:dyDescent="0.25">
      <c r="A23" s="13" t="s">
        <v>57</v>
      </c>
      <c r="B23" s="20">
        <v>106565</v>
      </c>
    </row>
    <row r="24" spans="1:23" x14ac:dyDescent="0.25">
      <c r="A24" s="13" t="s">
        <v>1043</v>
      </c>
      <c r="B24" s="20">
        <v>4002165</v>
      </c>
    </row>
    <row r="32" spans="1:23" x14ac:dyDescent="0.25">
      <c r="D32" s="86" t="s">
        <v>1076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</sheetData>
  <mergeCells count="1">
    <mergeCell ref="D32:W32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U34"/>
  <sheetViews>
    <sheetView showGridLines="0" workbookViewId="0">
      <selection activeCell="A8" sqref="A8"/>
    </sheetView>
  </sheetViews>
  <sheetFormatPr defaultRowHeight="15" x14ac:dyDescent="0.25"/>
  <cols>
    <col min="1" max="1" width="23.5703125" bestFit="1" customWidth="1"/>
    <col min="2" max="2" width="10.42578125" bestFit="1" customWidth="1"/>
  </cols>
  <sheetData>
    <row r="3" spans="1:2" x14ac:dyDescent="0.25">
      <c r="A3" s="19" t="s">
        <v>1062</v>
      </c>
      <c r="B3" s="28" t="s">
        <v>1063</v>
      </c>
    </row>
    <row r="4" spans="1:2" x14ac:dyDescent="0.25">
      <c r="A4" s="13" t="s">
        <v>22</v>
      </c>
      <c r="B4" s="20">
        <v>264220</v>
      </c>
    </row>
    <row r="5" spans="1:2" x14ac:dyDescent="0.25">
      <c r="A5" s="13" t="s">
        <v>17</v>
      </c>
      <c r="B5" s="20">
        <v>258945</v>
      </c>
    </row>
    <row r="6" spans="1:2" x14ac:dyDescent="0.25">
      <c r="A6" s="13" t="s">
        <v>15</v>
      </c>
      <c r="B6" s="20">
        <v>247900</v>
      </c>
    </row>
    <row r="7" spans="1:2" x14ac:dyDescent="0.25">
      <c r="A7" s="13" t="s">
        <v>12</v>
      </c>
      <c r="B7" s="20">
        <v>243730</v>
      </c>
    </row>
    <row r="8" spans="1:2" x14ac:dyDescent="0.25">
      <c r="A8" s="13" t="s">
        <v>11</v>
      </c>
      <c r="B8" s="20">
        <v>235140</v>
      </c>
    </row>
    <row r="9" spans="1:2" x14ac:dyDescent="0.25">
      <c r="A9" s="13" t="s">
        <v>10</v>
      </c>
      <c r="B9" s="20">
        <v>215490</v>
      </c>
    </row>
    <row r="10" spans="1:2" x14ac:dyDescent="0.25">
      <c r="A10" s="13" t="s">
        <v>23</v>
      </c>
      <c r="B10" s="20">
        <v>214185</v>
      </c>
    </row>
    <row r="11" spans="1:2" x14ac:dyDescent="0.25">
      <c r="A11" s="13" t="s">
        <v>25</v>
      </c>
      <c r="B11" s="20">
        <v>205530</v>
      </c>
    </row>
    <row r="12" spans="1:2" x14ac:dyDescent="0.25">
      <c r="A12" s="13" t="s">
        <v>8</v>
      </c>
      <c r="B12" s="20">
        <v>205050</v>
      </c>
    </row>
    <row r="13" spans="1:2" x14ac:dyDescent="0.25">
      <c r="A13" s="13" t="s">
        <v>14</v>
      </c>
      <c r="B13" s="20">
        <v>200145</v>
      </c>
    </row>
    <row r="14" spans="1:2" x14ac:dyDescent="0.25">
      <c r="A14" s="13" t="s">
        <v>19</v>
      </c>
      <c r="B14" s="20">
        <v>195840</v>
      </c>
    </row>
    <row r="15" spans="1:2" x14ac:dyDescent="0.25">
      <c r="A15" s="13" t="s">
        <v>18</v>
      </c>
      <c r="B15" s="20">
        <v>191560</v>
      </c>
    </row>
    <row r="16" spans="1:2" x14ac:dyDescent="0.25">
      <c r="A16" s="13" t="s">
        <v>24</v>
      </c>
      <c r="B16" s="20">
        <v>188180</v>
      </c>
    </row>
    <row r="17" spans="1:2" x14ac:dyDescent="0.25">
      <c r="A17" s="13" t="s">
        <v>27</v>
      </c>
      <c r="B17" s="20">
        <v>182240</v>
      </c>
    </row>
    <row r="18" spans="1:2" x14ac:dyDescent="0.25">
      <c r="A18" s="13" t="s">
        <v>16</v>
      </c>
      <c r="B18" s="20">
        <v>182180</v>
      </c>
    </row>
    <row r="19" spans="1:2" x14ac:dyDescent="0.25">
      <c r="A19" s="13" t="s">
        <v>13</v>
      </c>
      <c r="B19" s="20">
        <v>175060</v>
      </c>
    </row>
    <row r="20" spans="1:2" x14ac:dyDescent="0.25">
      <c r="A20" s="13" t="s">
        <v>9</v>
      </c>
      <c r="B20" s="20">
        <v>162315</v>
      </c>
    </row>
    <row r="21" spans="1:2" x14ac:dyDescent="0.25">
      <c r="A21" s="13" t="s">
        <v>26</v>
      </c>
      <c r="B21" s="20">
        <v>159770</v>
      </c>
    </row>
    <row r="22" spans="1:2" x14ac:dyDescent="0.25">
      <c r="A22" s="13" t="s">
        <v>21</v>
      </c>
      <c r="B22" s="20">
        <v>138310</v>
      </c>
    </row>
    <row r="23" spans="1:2" x14ac:dyDescent="0.25">
      <c r="A23" s="13" t="s">
        <v>20</v>
      </c>
      <c r="B23" s="20">
        <v>136375</v>
      </c>
    </row>
    <row r="24" spans="1:2" x14ac:dyDescent="0.25">
      <c r="A24" s="13" t="s">
        <v>1043</v>
      </c>
      <c r="B24" s="20">
        <v>4002165</v>
      </c>
    </row>
    <row r="34" spans="4:21" x14ac:dyDescent="0.25">
      <c r="D34" s="86" t="s">
        <v>1077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</row>
  </sheetData>
  <mergeCells count="1">
    <mergeCell ref="D34:U34"/>
  </mergeCell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"/>
  <sheetViews>
    <sheetView showGridLines="0" workbookViewId="0">
      <selection activeCell="D32" sqref="D32:U32"/>
    </sheetView>
  </sheetViews>
  <sheetFormatPr defaultRowHeight="15" x14ac:dyDescent="0.25"/>
  <cols>
    <col min="1" max="1" width="18.140625" bestFit="1" customWidth="1"/>
    <col min="2" max="2" width="27" customWidth="1"/>
    <col min="3" max="3" width="12.7109375" customWidth="1"/>
  </cols>
  <sheetData>
    <row r="1" spans="1:2" x14ac:dyDescent="0.25">
      <c r="A1" s="12" t="s">
        <v>1059</v>
      </c>
      <c r="B1" t="s">
        <v>1065</v>
      </c>
    </row>
    <row r="3" spans="1:2" x14ac:dyDescent="0.25">
      <c r="A3" s="12" t="s">
        <v>1042</v>
      </c>
      <c r="B3" t="s">
        <v>1044</v>
      </c>
    </row>
    <row r="4" spans="1:2" x14ac:dyDescent="0.25">
      <c r="A4" s="13" t="s">
        <v>39</v>
      </c>
      <c r="B4" s="20">
        <v>147150</v>
      </c>
    </row>
    <row r="5" spans="1:2" x14ac:dyDescent="0.25">
      <c r="A5" s="13" t="s">
        <v>32</v>
      </c>
      <c r="B5" s="20">
        <v>124360</v>
      </c>
    </row>
    <row r="6" spans="1:2" x14ac:dyDescent="0.25">
      <c r="A6" s="13" t="s">
        <v>49</v>
      </c>
      <c r="B6" s="20">
        <v>121000</v>
      </c>
    </row>
    <row r="7" spans="1:2" x14ac:dyDescent="0.25">
      <c r="A7" s="13" t="s">
        <v>107</v>
      </c>
      <c r="B7" s="20">
        <v>105955</v>
      </c>
    </row>
    <row r="8" spans="1:2" x14ac:dyDescent="0.25">
      <c r="A8" s="13" t="s">
        <v>64</v>
      </c>
      <c r="B8" s="20">
        <v>102310</v>
      </c>
    </row>
    <row r="9" spans="1:2" x14ac:dyDescent="0.25">
      <c r="A9" s="13" t="s">
        <v>91</v>
      </c>
      <c r="B9" s="20">
        <v>101725</v>
      </c>
    </row>
    <row r="10" spans="1:2" x14ac:dyDescent="0.25">
      <c r="A10" s="13" t="s">
        <v>43</v>
      </c>
      <c r="B10" s="20">
        <v>93695</v>
      </c>
    </row>
    <row r="11" spans="1:2" x14ac:dyDescent="0.25">
      <c r="A11" s="13" t="s">
        <v>102</v>
      </c>
      <c r="B11" s="20">
        <v>91840</v>
      </c>
    </row>
    <row r="12" spans="1:2" x14ac:dyDescent="0.25">
      <c r="A12" s="13" t="s">
        <v>114</v>
      </c>
      <c r="B12" s="20">
        <v>87355</v>
      </c>
    </row>
    <row r="13" spans="1:2" x14ac:dyDescent="0.25">
      <c r="A13" s="13" t="s">
        <v>80</v>
      </c>
      <c r="B13" s="20">
        <v>84370</v>
      </c>
    </row>
    <row r="14" spans="1:2" x14ac:dyDescent="0.25">
      <c r="A14" s="13" t="s">
        <v>82</v>
      </c>
      <c r="B14" s="20">
        <v>78755</v>
      </c>
    </row>
    <row r="15" spans="1:2" x14ac:dyDescent="0.25">
      <c r="A15" s="13" t="s">
        <v>62</v>
      </c>
      <c r="B15" s="20">
        <v>77905</v>
      </c>
    </row>
    <row r="16" spans="1:2" x14ac:dyDescent="0.25">
      <c r="A16" s="13" t="s">
        <v>54</v>
      </c>
      <c r="B16" s="20">
        <v>77535</v>
      </c>
    </row>
    <row r="17" spans="1:21" x14ac:dyDescent="0.25">
      <c r="A17" s="13" t="s">
        <v>109</v>
      </c>
      <c r="B17" s="20">
        <v>72285</v>
      </c>
    </row>
    <row r="18" spans="1:21" x14ac:dyDescent="0.25">
      <c r="A18" s="13" t="s">
        <v>61</v>
      </c>
      <c r="B18" s="20">
        <v>70770</v>
      </c>
    </row>
    <row r="19" spans="1:21" x14ac:dyDescent="0.25">
      <c r="A19" s="13" t="s">
        <v>73</v>
      </c>
      <c r="B19" s="20">
        <v>69935</v>
      </c>
    </row>
    <row r="20" spans="1:21" x14ac:dyDescent="0.25">
      <c r="A20" s="13" t="s">
        <v>70</v>
      </c>
      <c r="B20" s="20">
        <v>68860</v>
      </c>
    </row>
    <row r="21" spans="1:21" x14ac:dyDescent="0.25">
      <c r="A21" s="13" t="s">
        <v>89</v>
      </c>
      <c r="B21" s="20">
        <v>65530</v>
      </c>
    </row>
    <row r="22" spans="1:21" x14ac:dyDescent="0.25">
      <c r="A22" s="13" t="s">
        <v>87</v>
      </c>
      <c r="B22" s="20">
        <v>65280</v>
      </c>
    </row>
    <row r="23" spans="1:21" x14ac:dyDescent="0.25">
      <c r="A23" s="13" t="s">
        <v>14</v>
      </c>
      <c r="B23" s="20">
        <v>64495</v>
      </c>
    </row>
    <row r="24" spans="1:21" x14ac:dyDescent="0.25">
      <c r="A24" s="13" t="s">
        <v>66</v>
      </c>
      <c r="B24" s="20">
        <v>64255</v>
      </c>
    </row>
    <row r="25" spans="1:21" x14ac:dyDescent="0.25">
      <c r="A25" s="13" t="s">
        <v>75</v>
      </c>
      <c r="B25" s="20">
        <v>64065</v>
      </c>
    </row>
    <row r="26" spans="1:21" x14ac:dyDescent="0.25">
      <c r="A26" s="13" t="s">
        <v>93</v>
      </c>
      <c r="B26" s="20">
        <v>63560</v>
      </c>
    </row>
    <row r="27" spans="1:21" x14ac:dyDescent="0.25">
      <c r="A27" s="13" t="s">
        <v>68</v>
      </c>
      <c r="B27" s="20">
        <v>62370</v>
      </c>
    </row>
    <row r="28" spans="1:21" x14ac:dyDescent="0.25">
      <c r="A28" s="13" t="s">
        <v>104</v>
      </c>
      <c r="B28" s="20">
        <v>61035</v>
      </c>
    </row>
    <row r="29" spans="1:21" x14ac:dyDescent="0.25">
      <c r="A29" s="13" t="s">
        <v>28</v>
      </c>
      <c r="B29" s="20">
        <v>60390</v>
      </c>
    </row>
    <row r="30" spans="1:21" x14ac:dyDescent="0.25">
      <c r="A30" s="13" t="s">
        <v>96</v>
      </c>
      <c r="B30" s="20">
        <v>59685</v>
      </c>
    </row>
    <row r="31" spans="1:21" x14ac:dyDescent="0.25">
      <c r="A31" s="13" t="s">
        <v>65</v>
      </c>
      <c r="B31" s="20">
        <v>58150</v>
      </c>
    </row>
    <row r="32" spans="1:21" x14ac:dyDescent="0.25">
      <c r="A32" s="13" t="s">
        <v>74</v>
      </c>
      <c r="B32" s="20">
        <v>55500</v>
      </c>
      <c r="D32" s="86" t="s">
        <v>1074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</row>
    <row r="33" spans="1:2" x14ac:dyDescent="0.25">
      <c r="A33" s="13" t="s">
        <v>106</v>
      </c>
      <c r="B33" s="20">
        <v>54065</v>
      </c>
    </row>
    <row r="34" spans="1:2" x14ac:dyDescent="0.25">
      <c r="A34" s="13" t="s">
        <v>99</v>
      </c>
      <c r="B34" s="20">
        <v>53570</v>
      </c>
    </row>
    <row r="35" spans="1:2" x14ac:dyDescent="0.25">
      <c r="A35" s="13" t="s">
        <v>38</v>
      </c>
      <c r="B35" s="20">
        <v>53100</v>
      </c>
    </row>
    <row r="36" spans="1:2" x14ac:dyDescent="0.25">
      <c r="A36" s="13" t="s">
        <v>111</v>
      </c>
      <c r="B36" s="20">
        <v>52255</v>
      </c>
    </row>
    <row r="37" spans="1:2" x14ac:dyDescent="0.25">
      <c r="A37" s="13" t="s">
        <v>63</v>
      </c>
      <c r="B37" s="20">
        <v>51115</v>
      </c>
    </row>
    <row r="38" spans="1:2" x14ac:dyDescent="0.25">
      <c r="A38" s="13" t="s">
        <v>115</v>
      </c>
      <c r="B38" s="20">
        <v>50840</v>
      </c>
    </row>
    <row r="39" spans="1:2" x14ac:dyDescent="0.25">
      <c r="A39" s="13" t="s">
        <v>98</v>
      </c>
      <c r="B39" s="20">
        <v>49500</v>
      </c>
    </row>
    <row r="40" spans="1:2" x14ac:dyDescent="0.25">
      <c r="A40" s="13" t="s">
        <v>110</v>
      </c>
      <c r="B40" s="20">
        <v>48495</v>
      </c>
    </row>
    <row r="41" spans="1:2" x14ac:dyDescent="0.25">
      <c r="A41" s="13" t="s">
        <v>100</v>
      </c>
      <c r="B41" s="20">
        <v>46470</v>
      </c>
    </row>
    <row r="42" spans="1:2" x14ac:dyDescent="0.25">
      <c r="A42" s="13" t="s">
        <v>81</v>
      </c>
      <c r="B42" s="20">
        <v>46430</v>
      </c>
    </row>
    <row r="43" spans="1:2" x14ac:dyDescent="0.25">
      <c r="A43" s="13" t="s">
        <v>101</v>
      </c>
      <c r="B43" s="20">
        <v>45615</v>
      </c>
    </row>
    <row r="44" spans="1:2" x14ac:dyDescent="0.25">
      <c r="A44" s="13" t="s">
        <v>71</v>
      </c>
      <c r="B44" s="20">
        <v>44770</v>
      </c>
    </row>
    <row r="45" spans="1:2" x14ac:dyDescent="0.25">
      <c r="A45" s="13" t="s">
        <v>79</v>
      </c>
      <c r="B45" s="20">
        <v>44525</v>
      </c>
    </row>
    <row r="46" spans="1:2" x14ac:dyDescent="0.25">
      <c r="A46" s="13" t="s">
        <v>51</v>
      </c>
      <c r="B46" s="20">
        <v>44305</v>
      </c>
    </row>
    <row r="47" spans="1:2" x14ac:dyDescent="0.25">
      <c r="A47" s="13" t="s">
        <v>78</v>
      </c>
      <c r="B47" s="20">
        <v>44205</v>
      </c>
    </row>
    <row r="48" spans="1:2" x14ac:dyDescent="0.25">
      <c r="A48" s="13" t="s">
        <v>117</v>
      </c>
      <c r="B48" s="20">
        <v>43245</v>
      </c>
    </row>
    <row r="49" spans="1:2" x14ac:dyDescent="0.25">
      <c r="A49" s="13" t="s">
        <v>122</v>
      </c>
      <c r="B49" s="20">
        <v>42840</v>
      </c>
    </row>
    <row r="50" spans="1:2" x14ac:dyDescent="0.25">
      <c r="A50" s="13" t="s">
        <v>45</v>
      </c>
      <c r="B50" s="20">
        <v>42715</v>
      </c>
    </row>
    <row r="51" spans="1:2" x14ac:dyDescent="0.25">
      <c r="A51" s="13" t="s">
        <v>67</v>
      </c>
      <c r="B51" s="20">
        <v>42510</v>
      </c>
    </row>
    <row r="52" spans="1:2" x14ac:dyDescent="0.25">
      <c r="A52" s="13" t="s">
        <v>121</v>
      </c>
      <c r="B52" s="20">
        <v>41185</v>
      </c>
    </row>
    <row r="53" spans="1:2" x14ac:dyDescent="0.25">
      <c r="A53" s="13" t="s">
        <v>41</v>
      </c>
      <c r="B53" s="20">
        <v>41150</v>
      </c>
    </row>
    <row r="54" spans="1:2" x14ac:dyDescent="0.25">
      <c r="A54" s="13" t="s">
        <v>116</v>
      </c>
      <c r="B54" s="20">
        <v>40235</v>
      </c>
    </row>
    <row r="55" spans="1:2" x14ac:dyDescent="0.25">
      <c r="A55" s="13" t="s">
        <v>124</v>
      </c>
      <c r="B55" s="20">
        <v>39820</v>
      </c>
    </row>
    <row r="56" spans="1:2" x14ac:dyDescent="0.25">
      <c r="A56" s="13" t="s">
        <v>97</v>
      </c>
      <c r="B56" s="20">
        <v>37100</v>
      </c>
    </row>
    <row r="57" spans="1:2" x14ac:dyDescent="0.25">
      <c r="A57" s="13" t="s">
        <v>103</v>
      </c>
      <c r="B57" s="20">
        <v>36195</v>
      </c>
    </row>
    <row r="58" spans="1:2" x14ac:dyDescent="0.25">
      <c r="A58" s="13" t="s">
        <v>84</v>
      </c>
      <c r="B58" s="20">
        <v>36120</v>
      </c>
    </row>
    <row r="59" spans="1:2" x14ac:dyDescent="0.25">
      <c r="A59" s="13" t="s">
        <v>30</v>
      </c>
      <c r="B59" s="20">
        <v>33905</v>
      </c>
    </row>
    <row r="60" spans="1:2" x14ac:dyDescent="0.25">
      <c r="A60" s="13" t="s">
        <v>105</v>
      </c>
      <c r="B60" s="20">
        <v>31835</v>
      </c>
    </row>
    <row r="61" spans="1:2" x14ac:dyDescent="0.25">
      <c r="A61" s="13" t="s">
        <v>77</v>
      </c>
      <c r="B61" s="20">
        <v>31820</v>
      </c>
    </row>
    <row r="62" spans="1:2" x14ac:dyDescent="0.25">
      <c r="A62" s="13" t="s">
        <v>92</v>
      </c>
      <c r="B62" s="20">
        <v>31645</v>
      </c>
    </row>
    <row r="63" spans="1:2" x14ac:dyDescent="0.25">
      <c r="A63" s="13" t="s">
        <v>34</v>
      </c>
      <c r="B63" s="20">
        <v>30930</v>
      </c>
    </row>
    <row r="64" spans="1:2" x14ac:dyDescent="0.25">
      <c r="A64" s="13" t="s">
        <v>83</v>
      </c>
      <c r="B64" s="20">
        <v>30810</v>
      </c>
    </row>
    <row r="65" spans="1:2" x14ac:dyDescent="0.25">
      <c r="A65" s="13" t="s">
        <v>36</v>
      </c>
      <c r="B65" s="20">
        <v>30665</v>
      </c>
    </row>
    <row r="66" spans="1:2" x14ac:dyDescent="0.25">
      <c r="A66" s="13" t="s">
        <v>88</v>
      </c>
      <c r="B66" s="20">
        <v>29575</v>
      </c>
    </row>
    <row r="67" spans="1:2" x14ac:dyDescent="0.25">
      <c r="A67" s="13" t="s">
        <v>120</v>
      </c>
      <c r="B67" s="20">
        <v>29515</v>
      </c>
    </row>
    <row r="68" spans="1:2" x14ac:dyDescent="0.25">
      <c r="A68" s="13" t="s">
        <v>58</v>
      </c>
      <c r="B68" s="20">
        <v>29480</v>
      </c>
    </row>
    <row r="69" spans="1:2" x14ac:dyDescent="0.25">
      <c r="A69" s="13" t="s">
        <v>118</v>
      </c>
      <c r="B69" s="20">
        <v>29390</v>
      </c>
    </row>
    <row r="70" spans="1:2" x14ac:dyDescent="0.25">
      <c r="A70" s="13" t="s">
        <v>47</v>
      </c>
      <c r="B70" s="20">
        <v>26495</v>
      </c>
    </row>
    <row r="71" spans="1:2" x14ac:dyDescent="0.25">
      <c r="A71" s="13" t="s">
        <v>85</v>
      </c>
      <c r="B71" s="20">
        <v>25495</v>
      </c>
    </row>
    <row r="72" spans="1:2" x14ac:dyDescent="0.25">
      <c r="A72" s="13" t="s">
        <v>94</v>
      </c>
      <c r="B72" s="20">
        <v>24065</v>
      </c>
    </row>
    <row r="73" spans="1:2" x14ac:dyDescent="0.25">
      <c r="A73" s="13" t="s">
        <v>112</v>
      </c>
      <c r="B73" s="20">
        <v>19460</v>
      </c>
    </row>
    <row r="74" spans="1:2" x14ac:dyDescent="0.25">
      <c r="A74" s="13" t="s">
        <v>86</v>
      </c>
      <c r="B74" s="20">
        <v>18125</v>
      </c>
    </row>
    <row r="75" spans="1:2" x14ac:dyDescent="0.25">
      <c r="A75" s="13" t="s">
        <v>56</v>
      </c>
      <c r="B75" s="20">
        <v>15520</v>
      </c>
    </row>
    <row r="76" spans="1:2" x14ac:dyDescent="0.25">
      <c r="A76" s="13" t="s">
        <v>59</v>
      </c>
      <c r="B76" s="20">
        <v>13740</v>
      </c>
    </row>
    <row r="77" spans="1:2" x14ac:dyDescent="0.25">
      <c r="A77" s="13" t="s">
        <v>95</v>
      </c>
      <c r="B77" s="20">
        <v>7730</v>
      </c>
    </row>
    <row r="78" spans="1:2" x14ac:dyDescent="0.25">
      <c r="A78" s="13" t="s">
        <v>123</v>
      </c>
      <c r="B78" s="20">
        <v>7645</v>
      </c>
    </row>
    <row r="79" spans="1:2" x14ac:dyDescent="0.25">
      <c r="A79" s="13" t="s">
        <v>52</v>
      </c>
      <c r="B79" s="20">
        <v>6005</v>
      </c>
    </row>
    <row r="80" spans="1:2" x14ac:dyDescent="0.25">
      <c r="A80" s="13" t="s">
        <v>113</v>
      </c>
      <c r="B80" s="20">
        <v>5410</v>
      </c>
    </row>
    <row r="81" spans="1:2" x14ac:dyDescent="0.25">
      <c r="A81" s="13" t="s">
        <v>119</v>
      </c>
      <c r="B81" s="20">
        <v>410</v>
      </c>
    </row>
    <row r="82" spans="1:2" x14ac:dyDescent="0.25">
      <c r="A82" s="13" t="s">
        <v>1043</v>
      </c>
      <c r="B82" s="20">
        <v>4002165</v>
      </c>
    </row>
  </sheetData>
  <mergeCells count="1">
    <mergeCell ref="D32:U32"/>
  </mergeCell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4975-88E6-4C5F-8CBE-FE6549CEAED5}">
  <dimension ref="A3:R21"/>
  <sheetViews>
    <sheetView showGridLines="0" workbookViewId="0">
      <selection activeCell="P21" sqref="P21"/>
    </sheetView>
  </sheetViews>
  <sheetFormatPr defaultRowHeight="15" x14ac:dyDescent="0.25"/>
  <cols>
    <col min="1" max="1" width="17.28515625" bestFit="1" customWidth="1"/>
    <col min="2" max="2" width="27" bestFit="1" customWidth="1"/>
  </cols>
  <sheetData>
    <row r="3" spans="1:2" x14ac:dyDescent="0.25">
      <c r="A3" s="12" t="s">
        <v>1042</v>
      </c>
      <c r="B3" t="s">
        <v>1044</v>
      </c>
    </row>
    <row r="4" spans="1:2" x14ac:dyDescent="0.25">
      <c r="A4" s="13" t="s">
        <v>137</v>
      </c>
      <c r="B4" s="20">
        <v>1256650</v>
      </c>
    </row>
    <row r="5" spans="1:2" x14ac:dyDescent="0.25">
      <c r="A5" s="13" t="s">
        <v>132</v>
      </c>
      <c r="B5" s="20">
        <v>816470</v>
      </c>
    </row>
    <row r="6" spans="1:2" x14ac:dyDescent="0.25">
      <c r="A6" s="13" t="s">
        <v>128</v>
      </c>
      <c r="B6" s="20">
        <v>737715</v>
      </c>
    </row>
    <row r="7" spans="1:2" x14ac:dyDescent="0.25">
      <c r="A7" s="13" t="s">
        <v>130</v>
      </c>
      <c r="B7" s="20">
        <v>697365</v>
      </c>
    </row>
    <row r="8" spans="1:2" x14ac:dyDescent="0.25">
      <c r="A8" s="13" t="s">
        <v>134</v>
      </c>
      <c r="B8" s="20">
        <v>493965</v>
      </c>
    </row>
    <row r="9" spans="1:2" x14ac:dyDescent="0.25">
      <c r="A9" s="13" t="s">
        <v>1043</v>
      </c>
      <c r="B9" s="20">
        <v>4002165</v>
      </c>
    </row>
    <row r="12" spans="1:2" x14ac:dyDescent="0.25">
      <c r="A12" s="12" t="s">
        <v>1042</v>
      </c>
      <c r="B12" t="s">
        <v>1044</v>
      </c>
    </row>
    <row r="13" spans="1:2" x14ac:dyDescent="0.25">
      <c r="A13" s="13" t="s">
        <v>137</v>
      </c>
      <c r="B13" s="34">
        <v>0.31399255153148359</v>
      </c>
    </row>
    <row r="14" spans="1:2" x14ac:dyDescent="0.25">
      <c r="A14" s="13" t="s">
        <v>132</v>
      </c>
      <c r="B14" s="34">
        <v>0.20400708116731819</v>
      </c>
    </row>
    <row r="15" spans="1:2" x14ac:dyDescent="0.25">
      <c r="A15" s="13" t="s">
        <v>128</v>
      </c>
      <c r="B15" s="34">
        <v>0.18432898193852576</v>
      </c>
    </row>
    <row r="16" spans="1:2" x14ac:dyDescent="0.25">
      <c r="A16" s="13" t="s">
        <v>130</v>
      </c>
      <c r="B16" s="34">
        <v>0.1742469388443505</v>
      </c>
    </row>
    <row r="17" spans="1:18" x14ac:dyDescent="0.25">
      <c r="A17" s="13" t="s">
        <v>134</v>
      </c>
      <c r="B17" s="34">
        <v>0.12342444651832196</v>
      </c>
    </row>
    <row r="18" spans="1:18" x14ac:dyDescent="0.25">
      <c r="A18" s="13" t="s">
        <v>1043</v>
      </c>
      <c r="B18" s="34">
        <v>1</v>
      </c>
    </row>
    <row r="19" spans="1:18" x14ac:dyDescent="0.25">
      <c r="E19" s="87" t="s">
        <v>1134</v>
      </c>
      <c r="F19" s="87"/>
      <c r="G19" s="87"/>
      <c r="H19" s="87"/>
      <c r="I19" s="87"/>
      <c r="J19" s="87"/>
      <c r="K19" s="87"/>
      <c r="L19" s="87"/>
    </row>
    <row r="20" spans="1:18" x14ac:dyDescent="0.25">
      <c r="E20" s="87"/>
      <c r="F20" s="87"/>
      <c r="G20" s="87"/>
      <c r="H20" s="87"/>
      <c r="I20" s="87"/>
      <c r="J20" s="87"/>
      <c r="K20" s="87"/>
      <c r="L20" s="87"/>
    </row>
    <row r="21" spans="1:18" x14ac:dyDescent="0.25">
      <c r="E21" s="87"/>
      <c r="F21" s="87"/>
      <c r="G21" s="87"/>
      <c r="H21" s="87"/>
      <c r="I21" s="87"/>
      <c r="J21" s="87"/>
      <c r="K21" s="87"/>
      <c r="L21" s="87"/>
      <c r="R21" t="s">
        <v>1129</v>
      </c>
    </row>
  </sheetData>
  <mergeCells count="1">
    <mergeCell ref="E19:L21"/>
  </mergeCells>
  <pageMargins left="0.7" right="0.7" top="0.75" bottom="0.75" header="0.3" footer="0.3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W32"/>
  <sheetViews>
    <sheetView showGridLines="0" workbookViewId="0">
      <selection activeCell="D31" sqref="D31"/>
    </sheetView>
  </sheetViews>
  <sheetFormatPr defaultRowHeight="15" x14ac:dyDescent="0.25"/>
  <cols>
    <col min="1" max="1" width="12.5703125" customWidth="1"/>
    <col min="2" max="2" width="35.7109375" customWidth="1"/>
  </cols>
  <sheetData>
    <row r="3" spans="1:2" x14ac:dyDescent="0.25">
      <c r="A3" s="12" t="s">
        <v>1059</v>
      </c>
      <c r="B3" t="s">
        <v>1078</v>
      </c>
    </row>
    <row r="4" spans="1:2" x14ac:dyDescent="0.25">
      <c r="A4" s="13" t="s">
        <v>44</v>
      </c>
      <c r="B4" s="36">
        <v>3.2380952380952381</v>
      </c>
    </row>
    <row r="5" spans="1:2" x14ac:dyDescent="0.25">
      <c r="A5" s="13" t="s">
        <v>90</v>
      </c>
      <c r="B5" s="36">
        <v>3.1875</v>
      </c>
    </row>
    <row r="6" spans="1:2" x14ac:dyDescent="0.25">
      <c r="A6" s="13" t="s">
        <v>31</v>
      </c>
      <c r="B6" s="36">
        <v>3.1463414634146343</v>
      </c>
    </row>
    <row r="7" spans="1:2" x14ac:dyDescent="0.25">
      <c r="A7" s="13" t="s">
        <v>29</v>
      </c>
      <c r="B7" s="36">
        <v>3.1355932203389831</v>
      </c>
    </row>
    <row r="8" spans="1:2" x14ac:dyDescent="0.25">
      <c r="A8" s="13" t="s">
        <v>55</v>
      </c>
      <c r="B8" s="36">
        <v>3.1282051282051282</v>
      </c>
    </row>
    <row r="9" spans="1:2" x14ac:dyDescent="0.25">
      <c r="A9" s="13" t="s">
        <v>108</v>
      </c>
      <c r="B9" s="36">
        <v>3.1272727272727274</v>
      </c>
    </row>
    <row r="10" spans="1:2" x14ac:dyDescent="0.25">
      <c r="A10" s="13" t="s">
        <v>37</v>
      </c>
      <c r="B10" s="36">
        <v>3.0909090909090908</v>
      </c>
    </row>
    <row r="11" spans="1:2" x14ac:dyDescent="0.25">
      <c r="A11" s="13" t="s">
        <v>76</v>
      </c>
      <c r="B11" s="36">
        <v>3.0754716981132075</v>
      </c>
    </row>
    <row r="12" spans="1:2" x14ac:dyDescent="0.25">
      <c r="A12" s="13" t="s">
        <v>69</v>
      </c>
      <c r="B12" s="36">
        <v>3.0638297872340425</v>
      </c>
    </row>
    <row r="13" spans="1:2" x14ac:dyDescent="0.25">
      <c r="A13" s="13" t="s">
        <v>72</v>
      </c>
      <c r="B13" s="36">
        <v>3.0588235294117645</v>
      </c>
    </row>
    <row r="14" spans="1:2" x14ac:dyDescent="0.25">
      <c r="A14" s="13" t="s">
        <v>53</v>
      </c>
      <c r="B14" s="36">
        <v>3.0476190476190474</v>
      </c>
    </row>
    <row r="15" spans="1:2" x14ac:dyDescent="0.25">
      <c r="A15" s="13" t="s">
        <v>48</v>
      </c>
      <c r="B15" s="36">
        <v>2.9838709677419355</v>
      </c>
    </row>
    <row r="16" spans="1:2" x14ac:dyDescent="0.25">
      <c r="A16" s="13" t="s">
        <v>33</v>
      </c>
      <c r="B16" s="36">
        <v>2.9827586206896552</v>
      </c>
    </row>
    <row r="17" spans="1:23" x14ac:dyDescent="0.25">
      <c r="A17" s="13" t="s">
        <v>35</v>
      </c>
      <c r="B17" s="36">
        <v>2.9534883720930232</v>
      </c>
    </row>
    <row r="18" spans="1:23" x14ac:dyDescent="0.25">
      <c r="A18" s="13" t="s">
        <v>40</v>
      </c>
      <c r="B18" s="36">
        <v>2.941860465116279</v>
      </c>
    </row>
    <row r="19" spans="1:23" x14ac:dyDescent="0.25">
      <c r="A19" s="13" t="s">
        <v>60</v>
      </c>
      <c r="B19" s="36">
        <v>2.9272727272727272</v>
      </c>
    </row>
    <row r="20" spans="1:23" x14ac:dyDescent="0.25">
      <c r="A20" s="13" t="s">
        <v>57</v>
      </c>
      <c r="B20" s="36">
        <v>2.8846153846153846</v>
      </c>
    </row>
    <row r="21" spans="1:23" x14ac:dyDescent="0.25">
      <c r="A21" s="13" t="s">
        <v>46</v>
      </c>
      <c r="B21" s="36">
        <v>2.7627118644067798</v>
      </c>
    </row>
    <row r="22" spans="1:23" x14ac:dyDescent="0.25">
      <c r="A22" s="13" t="s">
        <v>42</v>
      </c>
      <c r="B22" s="36">
        <v>2.7209302325581395</v>
      </c>
    </row>
    <row r="23" spans="1:23" x14ac:dyDescent="0.25">
      <c r="A23" s="13" t="s">
        <v>50</v>
      </c>
      <c r="B23" s="36">
        <v>2.5873015873015874</v>
      </c>
    </row>
    <row r="24" spans="1:23" x14ac:dyDescent="0.25">
      <c r="A24" s="13" t="s">
        <v>1043</v>
      </c>
      <c r="B24" s="36">
        <v>2.99</v>
      </c>
    </row>
    <row r="31" spans="1:23" x14ac:dyDescent="0.25">
      <c r="D31" t="s">
        <v>1079</v>
      </c>
    </row>
    <row r="32" spans="1:23" x14ac:dyDescent="0.25"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</row>
  </sheetData>
  <mergeCells count="1">
    <mergeCell ref="D32:W32"/>
  </mergeCells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5E34-37C1-4BC8-8196-37C83DC55DE9}">
  <dimension ref="A3:P28"/>
  <sheetViews>
    <sheetView showGridLines="0" workbookViewId="0">
      <selection activeCell="B9" sqref="B9"/>
    </sheetView>
  </sheetViews>
  <sheetFormatPr defaultRowHeight="15" x14ac:dyDescent="0.25"/>
  <cols>
    <col min="1" max="1" width="17.28515625" bestFit="1" customWidth="1"/>
    <col min="2" max="2" width="30.42578125" bestFit="1" customWidth="1"/>
  </cols>
  <sheetData>
    <row r="3" spans="1:2" x14ac:dyDescent="0.25">
      <c r="A3" s="12" t="s">
        <v>1042</v>
      </c>
      <c r="B3" t="s">
        <v>1088</v>
      </c>
    </row>
    <row r="4" spans="1:2" x14ac:dyDescent="0.25">
      <c r="A4" s="13" t="s">
        <v>1089</v>
      </c>
      <c r="B4">
        <v>31</v>
      </c>
    </row>
    <row r="5" spans="1:2" x14ac:dyDescent="0.25">
      <c r="A5" s="13" t="s">
        <v>1090</v>
      </c>
      <c r="B5">
        <v>74</v>
      </c>
    </row>
    <row r="6" spans="1:2" x14ac:dyDescent="0.25">
      <c r="A6" s="13" t="s">
        <v>1091</v>
      </c>
      <c r="B6">
        <v>149</v>
      </c>
    </row>
    <row r="7" spans="1:2" x14ac:dyDescent="0.25">
      <c r="A7" s="13" t="s">
        <v>1092</v>
      </c>
      <c r="B7">
        <v>174</v>
      </c>
    </row>
    <row r="8" spans="1:2" x14ac:dyDescent="0.25">
      <c r="A8" s="13" t="s">
        <v>1093</v>
      </c>
      <c r="B8">
        <v>202</v>
      </c>
    </row>
    <row r="9" spans="1:2" x14ac:dyDescent="0.25">
      <c r="A9" s="13" t="s">
        <v>1094</v>
      </c>
      <c r="B9">
        <v>181</v>
      </c>
    </row>
    <row r="10" spans="1:2" x14ac:dyDescent="0.25">
      <c r="A10" s="13" t="s">
        <v>1095</v>
      </c>
      <c r="B10">
        <v>119</v>
      </c>
    </row>
    <row r="11" spans="1:2" x14ac:dyDescent="0.25">
      <c r="A11" s="13" t="s">
        <v>1096</v>
      </c>
      <c r="B11">
        <v>60</v>
      </c>
    </row>
    <row r="12" spans="1:2" x14ac:dyDescent="0.25">
      <c r="A12" s="13" t="s">
        <v>1097</v>
      </c>
      <c r="B12">
        <v>10</v>
      </c>
    </row>
    <row r="27" spans="4:16" ht="48.75" customHeight="1" x14ac:dyDescent="0.25">
      <c r="D27" s="81" t="s">
        <v>1147</v>
      </c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 spans="4:16" ht="65.25" customHeight="1" x14ac:dyDescent="0.25"/>
  </sheetData>
  <mergeCells count="1">
    <mergeCell ref="D27:P27"/>
  </mergeCell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M24"/>
  <sheetViews>
    <sheetView showGridLines="0" workbookViewId="0">
      <selection activeCell="U19" sqref="U19"/>
    </sheetView>
  </sheetViews>
  <sheetFormatPr defaultRowHeight="15" x14ac:dyDescent="0.25"/>
  <cols>
    <col min="1" max="1" width="11.85546875" customWidth="1"/>
    <col min="2" max="2" width="8.5703125" bestFit="1" customWidth="1"/>
  </cols>
  <sheetData>
    <row r="3" spans="1:2" x14ac:dyDescent="0.25">
      <c r="A3" s="12" t="s">
        <v>139</v>
      </c>
      <c r="B3" t="s">
        <v>1082</v>
      </c>
    </row>
    <row r="4" spans="1:2" x14ac:dyDescent="0.25">
      <c r="A4" s="13" t="s">
        <v>143</v>
      </c>
      <c r="B4" s="35">
        <v>215</v>
      </c>
    </row>
    <row r="5" spans="1:2" x14ac:dyDescent="0.25">
      <c r="A5" s="13" t="s">
        <v>140</v>
      </c>
      <c r="B5" s="35">
        <v>219</v>
      </c>
    </row>
    <row r="6" spans="1:2" x14ac:dyDescent="0.25">
      <c r="A6" s="13" t="s">
        <v>1043</v>
      </c>
      <c r="B6" s="35">
        <v>434</v>
      </c>
    </row>
    <row r="10" spans="1:2" x14ac:dyDescent="0.25">
      <c r="A10" s="13"/>
      <c r="B10" s="35"/>
    </row>
    <row r="13" spans="1:2" x14ac:dyDescent="0.25">
      <c r="A13" s="12" t="s">
        <v>139</v>
      </c>
      <c r="B13" t="s">
        <v>1080</v>
      </c>
    </row>
    <row r="14" spans="1:2" x14ac:dyDescent="0.25">
      <c r="A14" s="13" t="s">
        <v>143</v>
      </c>
      <c r="B14" s="34">
        <v>0.49539170506912444</v>
      </c>
    </row>
    <row r="15" spans="1:2" x14ac:dyDescent="0.25">
      <c r="A15" s="13" t="s">
        <v>140</v>
      </c>
      <c r="B15" s="34">
        <v>0.50460829493087556</v>
      </c>
    </row>
    <row r="16" spans="1:2" x14ac:dyDescent="0.25">
      <c r="A16" s="13" t="s">
        <v>1043</v>
      </c>
      <c r="B16" s="34">
        <v>1</v>
      </c>
    </row>
    <row r="19" spans="4:13" ht="64.5" customHeight="1" x14ac:dyDescent="0.25">
      <c r="D19" s="81" t="s">
        <v>1083</v>
      </c>
      <c r="E19" s="81"/>
      <c r="F19" s="81"/>
      <c r="G19" s="81"/>
      <c r="H19" s="81"/>
      <c r="I19" s="81"/>
      <c r="J19" s="81"/>
      <c r="K19" s="81"/>
      <c r="L19" s="81"/>
      <c r="M19" s="81"/>
    </row>
    <row r="24" spans="4:13" ht="78" customHeight="1" x14ac:dyDescent="0.25"/>
  </sheetData>
  <mergeCells count="1">
    <mergeCell ref="D19:M19"/>
  </mergeCells>
  <pageMargins left="0.7" right="0.7" top="0.75" bottom="0.75" header="0.3" footer="0.3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7535-E34E-40BF-AFA1-264B62565298}">
  <dimension ref="A3:T34"/>
  <sheetViews>
    <sheetView showGridLines="0" workbookViewId="0">
      <selection activeCell="J33" sqref="J33"/>
    </sheetView>
  </sheetViews>
  <sheetFormatPr defaultRowHeight="15" x14ac:dyDescent="0.25"/>
  <cols>
    <col min="1" max="1" width="17.28515625" bestFit="1" customWidth="1"/>
    <col min="2" max="2" width="30.42578125" bestFit="1" customWidth="1"/>
  </cols>
  <sheetData>
    <row r="3" spans="1:2" x14ac:dyDescent="0.25">
      <c r="A3" s="12" t="s">
        <v>1042</v>
      </c>
      <c r="B3" t="s">
        <v>1088</v>
      </c>
    </row>
    <row r="4" spans="1:2" x14ac:dyDescent="0.25">
      <c r="A4" s="13" t="s">
        <v>1111</v>
      </c>
      <c r="B4">
        <v>6</v>
      </c>
    </row>
    <row r="5" spans="1:2" x14ac:dyDescent="0.25">
      <c r="A5" s="13" t="s">
        <v>1123</v>
      </c>
      <c r="B5">
        <v>6</v>
      </c>
    </row>
    <row r="6" spans="1:2" x14ac:dyDescent="0.25">
      <c r="A6" s="13" t="s">
        <v>1105</v>
      </c>
      <c r="B6">
        <v>6</v>
      </c>
    </row>
    <row r="7" spans="1:2" x14ac:dyDescent="0.25">
      <c r="A7" s="13" t="s">
        <v>1125</v>
      </c>
      <c r="B7">
        <v>5</v>
      </c>
    </row>
    <row r="8" spans="1:2" x14ac:dyDescent="0.25">
      <c r="A8" s="13" t="s">
        <v>1121</v>
      </c>
      <c r="B8">
        <v>5</v>
      </c>
    </row>
    <row r="9" spans="1:2" x14ac:dyDescent="0.25">
      <c r="A9" s="13" t="s">
        <v>1119</v>
      </c>
      <c r="B9">
        <v>5</v>
      </c>
    </row>
    <row r="10" spans="1:2" x14ac:dyDescent="0.25">
      <c r="A10" s="13" t="s">
        <v>1112</v>
      </c>
      <c r="B10">
        <v>5</v>
      </c>
    </row>
    <row r="11" spans="1:2" x14ac:dyDescent="0.25">
      <c r="A11" s="13" t="s">
        <v>1114</v>
      </c>
      <c r="B11">
        <v>5</v>
      </c>
    </row>
    <row r="12" spans="1:2" x14ac:dyDescent="0.25">
      <c r="A12" s="13" t="s">
        <v>1126</v>
      </c>
      <c r="B12">
        <v>5</v>
      </c>
    </row>
    <row r="13" spans="1:2" x14ac:dyDescent="0.25">
      <c r="A13" s="13" t="s">
        <v>1113</v>
      </c>
      <c r="B13">
        <v>4</v>
      </c>
    </row>
    <row r="14" spans="1:2" x14ac:dyDescent="0.25">
      <c r="A14" s="13" t="s">
        <v>1109</v>
      </c>
      <c r="B14">
        <v>4</v>
      </c>
    </row>
    <row r="15" spans="1:2" x14ac:dyDescent="0.25">
      <c r="A15" s="13" t="s">
        <v>1107</v>
      </c>
      <c r="B15">
        <v>4</v>
      </c>
    </row>
    <row r="16" spans="1:2" x14ac:dyDescent="0.25">
      <c r="A16" s="13" t="s">
        <v>1124</v>
      </c>
      <c r="B16">
        <v>4</v>
      </c>
    </row>
    <row r="17" spans="1:20" x14ac:dyDescent="0.25">
      <c r="A17" s="13" t="s">
        <v>1120</v>
      </c>
      <c r="B17">
        <v>4</v>
      </c>
    </row>
    <row r="18" spans="1:20" x14ac:dyDescent="0.25">
      <c r="A18" s="13" t="s">
        <v>1106</v>
      </c>
      <c r="B18">
        <v>4</v>
      </c>
    </row>
    <row r="19" spans="1:20" x14ac:dyDescent="0.25">
      <c r="A19" s="13" t="s">
        <v>1122</v>
      </c>
      <c r="B19">
        <v>4</v>
      </c>
    </row>
    <row r="20" spans="1:20" x14ac:dyDescent="0.25">
      <c r="A20" s="13" t="s">
        <v>1117</v>
      </c>
      <c r="B20">
        <v>4</v>
      </c>
    </row>
    <row r="21" spans="1:20" x14ac:dyDescent="0.25">
      <c r="A21" s="13" t="s">
        <v>1110</v>
      </c>
      <c r="B21">
        <v>4</v>
      </c>
    </row>
    <row r="22" spans="1:20" x14ac:dyDescent="0.25">
      <c r="A22" s="13" t="s">
        <v>1118</v>
      </c>
      <c r="B22">
        <v>4</v>
      </c>
    </row>
    <row r="23" spans="1:20" x14ac:dyDescent="0.25">
      <c r="A23" s="13" t="s">
        <v>1108</v>
      </c>
      <c r="B23">
        <v>4</v>
      </c>
    </row>
    <row r="24" spans="1:20" x14ac:dyDescent="0.25">
      <c r="A24" s="13" t="s">
        <v>1116</v>
      </c>
      <c r="B24">
        <v>4</v>
      </c>
    </row>
    <row r="25" spans="1:20" x14ac:dyDescent="0.25">
      <c r="A25" s="13" t="s">
        <v>1115</v>
      </c>
      <c r="B25">
        <v>4</v>
      </c>
    </row>
    <row r="30" spans="1:20" x14ac:dyDescent="0.25">
      <c r="D30" t="str">
        <f>CONCATENATE(D32,D33,D34,E33,D34,F33,D34,G33,D34,H33,D34,I33,D34,J33,D34,K33,E34)</f>
        <v>Топ 8 имен клиентов: Алевтина, Феврония, Василиса, Любовь, Марфа, Вера, Эмилия, Жанна.</v>
      </c>
    </row>
    <row r="32" spans="1:20" x14ac:dyDescent="0.25">
      <c r="D32" t="s">
        <v>1130</v>
      </c>
      <c r="M32" s="13"/>
      <c r="N32" s="13"/>
      <c r="O32" s="13"/>
      <c r="P32" s="13"/>
      <c r="Q32" s="13"/>
      <c r="R32" s="13"/>
      <c r="S32" s="13"/>
      <c r="T32" s="13"/>
    </row>
    <row r="33" spans="4:11" x14ac:dyDescent="0.25">
      <c r="D33" t="s">
        <v>1105</v>
      </c>
      <c r="E33" t="s">
        <v>1123</v>
      </c>
      <c r="F33" t="s">
        <v>1111</v>
      </c>
      <c r="G33" t="s">
        <v>1119</v>
      </c>
      <c r="H33" t="s">
        <v>1121</v>
      </c>
      <c r="I33" t="s">
        <v>1112</v>
      </c>
      <c r="J33" t="s">
        <v>1125</v>
      </c>
      <c r="K33" t="s">
        <v>1114</v>
      </c>
    </row>
    <row r="34" spans="4:11" x14ac:dyDescent="0.25">
      <c r="D34" t="s">
        <v>1127</v>
      </c>
      <c r="E34" t="s">
        <v>1128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>
      <selection activeCell="C2" sqref="C2:C7"/>
    </sheetView>
  </sheetViews>
  <sheetFormatPr defaultColWidth="8.85546875" defaultRowHeight="15" x14ac:dyDescent="0.25"/>
  <cols>
    <col min="1" max="1" width="12.7109375" bestFit="1" customWidth="1"/>
    <col min="2" max="2" width="5" bestFit="1" customWidth="1"/>
  </cols>
  <sheetData>
    <row r="1" spans="1:3" x14ac:dyDescent="0.25">
      <c r="A1" s="1" t="s">
        <v>139</v>
      </c>
      <c r="B1" s="1" t="s">
        <v>138</v>
      </c>
    </row>
    <row r="2" spans="1:3" x14ac:dyDescent="0.25">
      <c r="A2" t="s">
        <v>137</v>
      </c>
      <c r="B2" t="s">
        <v>135</v>
      </c>
      <c r="C2" t="s">
        <v>137</v>
      </c>
    </row>
    <row r="3" spans="1:3" x14ac:dyDescent="0.25">
      <c r="A3" t="s">
        <v>136</v>
      </c>
      <c r="B3" t="s">
        <v>135</v>
      </c>
      <c r="C3" t="s">
        <v>136</v>
      </c>
    </row>
    <row r="4" spans="1:3" x14ac:dyDescent="0.25">
      <c r="A4" t="s">
        <v>134</v>
      </c>
      <c r="B4" t="s">
        <v>133</v>
      </c>
      <c r="C4" t="s">
        <v>134</v>
      </c>
    </row>
    <row r="5" spans="1:3" x14ac:dyDescent="0.25">
      <c r="A5" t="s">
        <v>132</v>
      </c>
      <c r="B5" t="s">
        <v>131</v>
      </c>
      <c r="C5" t="s">
        <v>132</v>
      </c>
    </row>
    <row r="6" spans="1:3" x14ac:dyDescent="0.25">
      <c r="A6" t="s">
        <v>130</v>
      </c>
      <c r="B6" t="s">
        <v>129</v>
      </c>
      <c r="C6" t="s">
        <v>130</v>
      </c>
    </row>
    <row r="7" spans="1:3" x14ac:dyDescent="0.25">
      <c r="A7" t="s">
        <v>128</v>
      </c>
      <c r="B7" t="s">
        <v>127</v>
      </c>
      <c r="C7" t="s">
        <v>128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4BE04A-3560-436E-8419-8A5AE02C4C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интро</vt:lpstr>
      <vt:lpstr>Дашборд</vt:lpstr>
      <vt:lpstr>продажи</vt:lpstr>
      <vt:lpstr>клиенты</vt:lpstr>
      <vt:lpstr>товар</vt:lpstr>
      <vt:lpstr>лайфтайм клиента</vt:lpstr>
      <vt:lpstr>география клиентов</vt:lpstr>
      <vt:lpstr>продажи магазинов</vt:lpstr>
      <vt:lpstr>Магнит</vt:lpstr>
      <vt:lpstr>выгода клиентам</vt:lpstr>
      <vt:lpstr>цены внутри категории</vt:lpstr>
      <vt:lpstr>GMV по категориям</vt:lpstr>
      <vt:lpstr>GMV по магазинам</vt:lpstr>
      <vt:lpstr>GMV по поставщикам</vt:lpstr>
      <vt:lpstr>GMV по странам</vt:lpstr>
      <vt:lpstr>ср. кол-во по категориям</vt:lpstr>
      <vt:lpstr>кол-во дней с регистрации</vt:lpstr>
      <vt:lpstr>клиенты по программе лоял-ти</vt:lpstr>
      <vt:lpstr>частотность имен</vt:lpstr>
      <vt:lpstr>коды стран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Svetlana Nasonkova</cp:lastModifiedBy>
  <dcterms:created xsi:type="dcterms:W3CDTF">2024-05-23T18:05:44Z</dcterms:created>
  <dcterms:modified xsi:type="dcterms:W3CDTF">2025-11-04T19:39:59Z</dcterms:modified>
</cp:coreProperties>
</file>